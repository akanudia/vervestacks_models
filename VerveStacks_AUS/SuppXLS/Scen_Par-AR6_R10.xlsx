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\SuppXLS\"/>
    </mc:Choice>
  </mc:AlternateContent>
  <xr:revisionPtr revIDLastSave="0" documentId="8_{6D129925-2C42-44C1-AB02-CB52CBBFED04}" xr6:coauthVersionLast="47" xr6:coauthVersionMax="47" xr10:uidLastSave="{00000000-0000-0000-0000-000000000000}"/>
  <bookViews>
    <workbookView xWindow="-98" yWindow="-98" windowWidth="28996" windowHeight="17475" firstSheet="18" activeTab="1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s1p1v1_d" sheetId="7" r:id="rId6"/>
    <sheet name="s3p3v3_d" sheetId="8" r:id="rId7"/>
    <sheet name="s5p5v5_d" sheetId="9" r:id="rId8"/>
    <sheet name="s2_w" sheetId="10" r:id="rId9"/>
    <sheet name="s2_w_p2_d" sheetId="11" r:id="rId10"/>
    <sheet name="ts_012" sheetId="12" r:id="rId11"/>
    <sheet name="ts_024" sheetId="13" r:id="rId12"/>
    <sheet name="ts_048" sheetId="14" r:id="rId13"/>
    <sheet name="ts_064" sheetId="15" r:id="rId14"/>
    <sheet name="ts_096P50" sheetId="16" r:id="rId15"/>
    <sheet name="ts_096P10" sheetId="17" r:id="rId16"/>
    <sheet name="ts_096P90" sheetId="18" r:id="rId17"/>
    <sheet name="ts_annual" sheetId="19" r:id="rId18"/>
    <sheet name="ts_12t" sheetId="20" r:id="rId1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20" l="1"/>
  <c r="AG9" i="20"/>
  <c r="AC9" i="20"/>
  <c r="A10" i="6"/>
  <c r="X9" i="20"/>
  <c r="S9" i="20"/>
  <c r="N9" i="20"/>
  <c r="I9" i="20"/>
  <c r="A11" i="20"/>
  <c r="C9" i="20" s="1"/>
  <c r="AK9" i="19"/>
  <c r="AG9" i="19"/>
  <c r="AC9" i="19"/>
  <c r="X9" i="19"/>
  <c r="S9" i="19"/>
  <c r="N9" i="19"/>
  <c r="I9" i="19"/>
  <c r="A11" i="19"/>
  <c r="C9" i="19" s="1"/>
  <c r="AK9" i="18"/>
  <c r="AG9" i="18"/>
  <c r="AC9" i="18"/>
  <c r="X9" i="18"/>
  <c r="S9" i="18"/>
  <c r="N9" i="18"/>
  <c r="I9" i="18"/>
  <c r="A11" i="18"/>
  <c r="C9" i="18" s="1"/>
  <c r="AK9" i="17"/>
  <c r="AG9" i="17"/>
  <c r="AC9" i="17"/>
  <c r="X9" i="17"/>
  <c r="S9" i="17"/>
  <c r="N9" i="17"/>
  <c r="I9" i="17"/>
  <c r="A11" i="17"/>
  <c r="C9" i="17" s="1"/>
  <c r="AK9" i="16"/>
  <c r="AG9" i="16"/>
  <c r="AC9" i="16"/>
  <c r="X9" i="16"/>
  <c r="S9" i="16"/>
  <c r="N9" i="16"/>
  <c r="I9" i="16"/>
  <c r="A11" i="16"/>
  <c r="C9" i="16" s="1"/>
  <c r="AK9" i="15"/>
  <c r="AG9" i="15"/>
  <c r="AC9" i="15"/>
  <c r="X9" i="15"/>
  <c r="S9" i="15"/>
  <c r="N9" i="15"/>
  <c r="I9" i="15"/>
  <c r="A11" i="15"/>
  <c r="C9" i="15" s="1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<sst xmlns="http://schemas.openxmlformats.org/spreadsheetml/2006/main" count="44302" uniqueCount="1929">
  <si>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</si>
  <si>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</si>
  <si>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</si>
  <si>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</si>
  <si>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</si>
  <si>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</si>
  <si>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</si>
  <si>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</si>
  <si>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</si>
  <si>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</si>
  <si>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</si>
  <si>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</si>
  <si>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</si>
  <si>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</si>
  <si>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</si>
  <si>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</si>
  <si>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</si>
  <si>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</si>
  <si>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</si>
  <si>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</si>
  <si>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</si>
  <si>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</si>
  <si>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</si>
  <si>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</si>
  <si>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</si>
  <si>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</si>
  <si>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</si>
  <si>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</si>
  <si>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</si>
  <si>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</si>
  <si>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</si>
  <si>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</si>
  <si>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</si>
  <si>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</si>
  <si>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</si>
  <si>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</si>
  <si>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</si>
  <si>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</si>
  <si>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</si>
  <si>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</si>
  <si>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</si>
  <si>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</si>
  <si>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</si>
  <si>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</si>
  <si>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</si>
  <si>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</si>
  <si>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</si>
  <si>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</si>
  <si>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</si>
  <si>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</si>
  <si>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</si>
  <si>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</si>
  <si>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</si>
  <si>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</si>
  <si>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</si>
  <si>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</si>
  <si>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</si>
  <si>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</si>
  <si>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</si>
  <si>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</si>
  <si>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</si>
  <si>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</si>
  <si>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</si>
  <si>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</si>
  <si>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</si>
  <si>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</si>
  <si>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</si>
  <si>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</si>
  <si>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</si>
  <si>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</si>
  <si>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</si>
  <si>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</si>
  <si>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</si>
  <si>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</si>
  <si>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AUS</t>
  </si>
  <si>
    <t>R10PAC_OECD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</si>
  <si>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</si>
  <si>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</si>
  <si>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</si>
  <si>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</si>
  <si>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</si>
  <si>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</si>
  <si>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</si>
  <si>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</si>
  <si>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</si>
  <si>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</si>
  <si>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</si>
  <si>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</si>
  <si>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</si>
  <si>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</si>
  <si>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</si>
  <si>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</si>
  <si>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</si>
  <si>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</si>
  <si>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</si>
  <si>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</si>
  <si>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</si>
  <si>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</si>
  <si>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</si>
  <si>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</si>
  <si>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</si>
  <si>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</si>
  <si>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</si>
  <si>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</si>
  <si>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</si>
  <si>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</si>
  <si>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</si>
  <si>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</si>
  <si>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</si>
  <si>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</si>
  <si>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</si>
  <si>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</si>
  <si>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</si>
  <si>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</si>
  <si>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</si>
  <si>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</si>
  <si>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</si>
  <si>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</si>
  <si>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</si>
  <si>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</si>
  <si>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</si>
  <si>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</si>
  <si>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</si>
  <si>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</si>
  <si>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</si>
  <si>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</si>
  <si>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</si>
  <si>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</si>
  <si>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</si>
  <si>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</si>
  <si>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</si>
  <si>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</si>
  <si>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</si>
  <si>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</si>
  <si>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</si>
  <si>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</si>
  <si>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</si>
  <si>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f97p50</t>
  </si>
  <si>
    <t>g64</t>
  </si>
  <si>
    <t>h48</t>
  </si>
  <si>
    <t>i24</t>
  </si>
  <si>
    <t>j12</t>
  </si>
  <si>
    <t>k12</t>
  </si>
  <si>
    <t>kAnn</t>
  </si>
  <si>
    <t>Major LNG exporter, cheap domestic coal</t>
  </si>
  <si>
    <t>1-70</t>
  </si>
  <si>
    <t>season</t>
  </si>
  <si>
    <t>weekly</t>
  </si>
  <si>
    <t>daynite</t>
  </si>
  <si>
    <t>wparent</t>
  </si>
  <si>
    <t>dparent</t>
  </si>
  <si>
    <t>S01</t>
  </si>
  <si>
    <t>a</t>
  </si>
  <si>
    <t>0618h01</t>
  </si>
  <si>
    <t>S01,S02,S03,S04,S05,S06,S07,S08,S09,S10,S11,S12</t>
  </si>
  <si>
    <t>b</t>
  </si>
  <si>
    <t>S02</t>
  </si>
  <si>
    <t>0618h02</t>
  </si>
  <si>
    <t>S06</t>
  </si>
  <si>
    <t>S03</t>
  </si>
  <si>
    <t>c</t>
  </si>
  <si>
    <t>0618h03</t>
  </si>
  <si>
    <t>S09</t>
  </si>
  <si>
    <t>S04</t>
  </si>
  <si>
    <t>d</t>
  </si>
  <si>
    <t>0618h04</t>
  </si>
  <si>
    <t>S05</t>
  </si>
  <si>
    <t>0618h05</t>
  </si>
  <si>
    <t>0618h06</t>
  </si>
  <si>
    <t>S07</t>
  </si>
  <si>
    <t>0618h07</t>
  </si>
  <si>
    <t>S08</t>
  </si>
  <si>
    <t>0618h08</t>
  </si>
  <si>
    <t>0618h09</t>
  </si>
  <si>
    <t>S10</t>
  </si>
  <si>
    <t>0618h10</t>
  </si>
  <si>
    <t>S11</t>
  </si>
  <si>
    <t>0618h11</t>
  </si>
  <si>
    <t>S12</t>
  </si>
  <si>
    <t>0618h12</t>
  </si>
  <si>
    <t>0618h13</t>
  </si>
  <si>
    <t>0618h14</t>
  </si>
  <si>
    <t>0618h15</t>
  </si>
  <si>
    <t>0618h16</t>
  </si>
  <si>
    <t>0618h17</t>
  </si>
  <si>
    <t>0618h18</t>
  </si>
  <si>
    <t>0618h19</t>
  </si>
  <si>
    <t>0618h20</t>
  </si>
  <si>
    <t>0618h21</t>
  </si>
  <si>
    <t>0618h22</t>
  </si>
  <si>
    <t>0618h23</t>
  </si>
  <si>
    <t>0618h24</t>
  </si>
  <si>
    <t>0921h01</t>
  </si>
  <si>
    <t>0921h02</t>
  </si>
  <si>
    <t>0921h03</t>
  </si>
  <si>
    <t>0921h04</t>
  </si>
  <si>
    <t>0921h05</t>
  </si>
  <si>
    <t>0921h06</t>
  </si>
  <si>
    <t>0921h07</t>
  </si>
  <si>
    <t>0921h08</t>
  </si>
  <si>
    <t>0921h09</t>
  </si>
  <si>
    <t>0921h10</t>
  </si>
  <si>
    <t>0921h11</t>
  </si>
  <si>
    <t>0921h12</t>
  </si>
  <si>
    <t>0921h13</t>
  </si>
  <si>
    <t>0921h14</t>
  </si>
  <si>
    <t>0921h15</t>
  </si>
  <si>
    <t>0921h16</t>
  </si>
  <si>
    <t>0921h17</t>
  </si>
  <si>
    <t>0921h18</t>
  </si>
  <si>
    <t>0921h19</t>
  </si>
  <si>
    <t>0921h20</t>
  </si>
  <si>
    <t>0921h21</t>
  </si>
  <si>
    <t>0921h22</t>
  </si>
  <si>
    <t>0921h23</t>
  </si>
  <si>
    <t>0921h24</t>
  </si>
  <si>
    <t>0923h01</t>
  </si>
  <si>
    <t>0923h02</t>
  </si>
  <si>
    <t>0923h03</t>
  </si>
  <si>
    <t>0923h04</t>
  </si>
  <si>
    <t>0923h05</t>
  </si>
  <si>
    <t>0923h06</t>
  </si>
  <si>
    <t>0923h07</t>
  </si>
  <si>
    <t>0923h08</t>
  </si>
  <si>
    <t>0923h09</t>
  </si>
  <si>
    <t>0923h10</t>
  </si>
  <si>
    <t>0923h11</t>
  </si>
  <si>
    <t>0923h12</t>
  </si>
  <si>
    <t>0923h13</t>
  </si>
  <si>
    <t>0923h14</t>
  </si>
  <si>
    <t>0923h15</t>
  </si>
  <si>
    <t>0923h16</t>
  </si>
  <si>
    <t>0923h17</t>
  </si>
  <si>
    <t>0923h18</t>
  </si>
  <si>
    <t>0923h19</t>
  </si>
  <si>
    <t>0923h20</t>
  </si>
  <si>
    <t>0923h21</t>
  </si>
  <si>
    <t>0923h22</t>
  </si>
  <si>
    <t>0923h23</t>
  </si>
  <si>
    <t>0923h24</t>
  </si>
  <si>
    <t>H01</t>
  </si>
  <si>
    <t>H02</t>
  </si>
  <si>
    <t>H03</t>
  </si>
  <si>
    <t>H04</t>
  </si>
  <si>
    <t>H05</t>
  </si>
  <si>
    <t>H06</t>
  </si>
  <si>
    <t>H07</t>
  </si>
  <si>
    <t>H08</t>
  </si>
  <si>
    <t>com_fr</t>
  </si>
  <si>
    <t>elc_spv-AUS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</si>
  <si>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</si>
  <si>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</si>
  <si>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</si>
  <si>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</si>
  <si>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</si>
  <si>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</si>
  <si>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</si>
  <si>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</si>
  <si>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</si>
  <si>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</si>
  <si>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</si>
  <si>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</si>
  <si>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</si>
  <si>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</si>
  <si>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</si>
  <si>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</si>
  <si>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</si>
  <si>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</si>
  <si>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</si>
  <si>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</si>
  <si>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</si>
  <si>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</si>
  <si>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</si>
  <si>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</si>
  <si>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</si>
  <si>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</si>
  <si>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</si>
  <si>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</si>
  <si>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</si>
  <si>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</si>
  <si>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</si>
  <si>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</si>
  <si>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</si>
  <si>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</si>
  <si>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</si>
  <si>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</si>
  <si>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</si>
  <si>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</si>
  <si>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</si>
  <si>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</si>
  <si>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</si>
  <si>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</si>
  <si>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</si>
  <si>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</si>
  <si>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</si>
  <si>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</si>
  <si>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</si>
  <si>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</si>
  <si>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</si>
  <si>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S06b0618h01</t>
  </si>
  <si>
    <t>S06b0618h02</t>
  </si>
  <si>
    <t>S06b0618h03</t>
  </si>
  <si>
    <t>S06b0618h04</t>
  </si>
  <si>
    <t>S06b0618h05</t>
  </si>
  <si>
    <t>S06b0618h06</t>
  </si>
  <si>
    <t>S06b0618h07</t>
  </si>
  <si>
    <t>S06b0618h08</t>
  </si>
  <si>
    <t>S06b0618h09</t>
  </si>
  <si>
    <t>S06b0618h10</t>
  </si>
  <si>
    <t>S06b0618h11</t>
  </si>
  <si>
    <t>S06b0618h12</t>
  </si>
  <si>
    <t>S06b0618h13</t>
  </si>
  <si>
    <t>S06b0618h14</t>
  </si>
  <si>
    <t>S06b0618h15</t>
  </si>
  <si>
    <t>S06b0618h16</t>
  </si>
  <si>
    <t>S06b0618h17</t>
  </si>
  <si>
    <t>S06b0618h18</t>
  </si>
  <si>
    <t>S06b0618h19</t>
  </si>
  <si>
    <t>S06b0618h20</t>
  </si>
  <si>
    <t>S06b0618h21</t>
  </si>
  <si>
    <t>S06b0618h22</t>
  </si>
  <si>
    <t>S06b0618h23</t>
  </si>
  <si>
    <t>S06b0618h24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</si>
  <si>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</si>
  <si>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</si>
  <si>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</si>
  <si>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</si>
  <si>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</si>
  <si>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</si>
  <si>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</si>
  <si>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</si>
  <si>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</si>
  <si>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</si>
  <si>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</si>
  <si>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</si>
  <si>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</si>
  <si>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</si>
  <si>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</si>
  <si>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</si>
  <si>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</si>
  <si>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</si>
  <si>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</si>
  <si>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</si>
  <si>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</si>
  <si>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</si>
  <si>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</si>
  <si>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</si>
  <si>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S09c0921h01</t>
  </si>
  <si>
    <t>S09c0921h02</t>
  </si>
  <si>
    <t>S09c0921h03</t>
  </si>
  <si>
    <t>S09c0921h04</t>
  </si>
  <si>
    <t>S09c0921h05</t>
  </si>
  <si>
    <t>S09c0921h06</t>
  </si>
  <si>
    <t>S09c0921h07</t>
  </si>
  <si>
    <t>S09c0921h08</t>
  </si>
  <si>
    <t>S09c0921h09</t>
  </si>
  <si>
    <t>S09c0921h10</t>
  </si>
  <si>
    <t>S09c0921h11</t>
  </si>
  <si>
    <t>S09c0921h12</t>
  </si>
  <si>
    <t>S09c0921h13</t>
  </si>
  <si>
    <t>S09c0921h14</t>
  </si>
  <si>
    <t>S09c0921h15</t>
  </si>
  <si>
    <t>S09c0921h16</t>
  </si>
  <si>
    <t>S09c0921h17</t>
  </si>
  <si>
    <t>S09c0921h18</t>
  </si>
  <si>
    <t>S09c0921h19</t>
  </si>
  <si>
    <t>S09c0921h20</t>
  </si>
  <si>
    <t>S09c0921h21</t>
  </si>
  <si>
    <t>S09c0921h22</t>
  </si>
  <si>
    <t>S09c0921h23</t>
  </si>
  <si>
    <t>S09c0921h24</t>
  </si>
  <si>
    <t>S09d0923h01</t>
  </si>
  <si>
    <t>S09d0923h02</t>
  </si>
  <si>
    <t>S09d0923h03</t>
  </si>
  <si>
    <t>S09d0923h04</t>
  </si>
  <si>
    <t>S09d0923h05</t>
  </si>
  <si>
    <t>S09d0923h06</t>
  </si>
  <si>
    <t>S09d0923h07</t>
  </si>
  <si>
    <t>S09d0923h08</t>
  </si>
  <si>
    <t>S09d0923h09</t>
  </si>
  <si>
    <t>S09d0923h10</t>
  </si>
  <si>
    <t>S09d0923h11</t>
  </si>
  <si>
    <t>S09d0923h12</t>
  </si>
  <si>
    <t>S09d0923h13</t>
  </si>
  <si>
    <t>S09d0923h14</t>
  </si>
  <si>
    <t>S09d0923h15</t>
  </si>
  <si>
    <t>S09d0923h16</t>
  </si>
  <si>
    <t>S09d0923h17</t>
  </si>
  <si>
    <t>S09d0923h18</t>
  </si>
  <si>
    <t>S09d0923h19</t>
  </si>
  <si>
    <t>S09d0923h20</t>
  </si>
  <si>
    <t>S09d0923h21</t>
  </si>
  <si>
    <t>S09d0923h22</t>
  </si>
  <si>
    <t>S09d0923h23</t>
  </si>
  <si>
    <t>S09d0923h24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</si>
  <si>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</si>
  <si>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</si>
  <si>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</si>
  <si>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</si>
  <si>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</si>
  <si>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</si>
  <si>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</si>
  <si>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</si>
  <si>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</si>
  <si>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</si>
  <si>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</si>
  <si>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</si>
  <si>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</si>
  <si>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</si>
  <si>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</si>
  <si>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</si>
  <si>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</si>
  <si>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</si>
  <si>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</si>
  <si>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</si>
  <si>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</si>
  <si>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</si>
  <si>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</si>
  <si>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</si>
  <si>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elc_won-AUS</t>
  </si>
  <si>
    <t>elc_wof-AUS</t>
  </si>
  <si>
    <t>g_yrfr</t>
  </si>
  <si>
    <t>day_night</t>
  </si>
  <si>
    <t>D</t>
  </si>
  <si>
    <t>S03aH04,S06b0618h14,S06b0618h16,S08aH05,S09c0921h07,S09c0921h08,S09c0921h10,S09d0923h10,S11aH05,S12aH03,S01aH06,S02aH03,S06b0618h07,S07aH03,S08aH06,S09c0921h12,S09d0923h12,S02aH06,S03aH05,S05aH05,S06aH04,S06b0618h18,S08aH04,S09c0921h09,S11aH02,S01aH03,S05aH02,S05aH03,S05aH06,S06b0618h13,S09d0923h14,S03aH02,S07aH05,S09d0923h16,S03aH03,S09aH05,S09c0921h18,S02aH04,S02aH05,S09c0921h11,S10aH03,S10aH05,S04aH03,S06b0618h12,S06b0618h17,S07aH04,S08aH03,S09aH04,S09d0923h08,S09d0923h17,S12aH02,S04aH06,S05aH04,S06aH02,S06aH03,S09d0923h15,S10aH04,S12aH06,S01aH02,S04aH04,S06b0618h11,S09d0923h13,S04aH02,S06b0618h15,S09aH02,S09aH03,S09c0921h14,S09d0923h09,S09d0923h18,S11aH03,S11aH04,S04aH05,S06b0618h08,S09d0923h07,S02aH02,S06aH06,S09d0923h11,S08aH02,S09aH06,S09c0921h15,S09c0921h16,S01aH05,S03aH06,S06aH05,S06b0618h09,S09c0921h13,S10aH02,S10aH06,S11aH06,S12aH04,S12aH05,S01aH04,S06b0618h10,S07aH02,S07aH06,S09c0921h17</t>
  </si>
  <si>
    <t>N</t>
  </si>
  <si>
    <t>S01aH07,S02aH07,S05aH01,S01aH01,S04aH01,S09aH08,S09c0921h05,S09d0923h05,S11aH01,S06aH07,S07aH07,S07aH08,S08aH08,S09c0921h24,S09aH01,S09c0921h01,S09d0923h02,S09d0923h03,S09d0923h20,S11aH07,S06b0618h03,S08aH07,S09c0921h06,S09d0923h01,S09d0923h06,S06b0618h06,S06b0618h19,S06b0618h23,S09d0923h22,S11aH08,S03aH08,S04aH07,S06aH08,S06b0618h24,S09c0921h02,S09c0921h21,S09d0923h24,S12aH01,S02aH01,S06b0618h21,S06b0618h22,S09c0921h20,S05aH07,S06b0618h04,S07aH01,S09c0921h19,S09c0921h22,S10aH07,S01aH08,S02aH08,S03aH07,S09c0921h04,S09d0923h23,S05aH08,S09d0923h21,S10aH08,S03aH01,S06b0618h02,S09c0921h23,S09d0923h04,S12aH07,S04aH08,S06aH01,S06b0618h01,S09c0921h03,S12aH08,S06b0618h05,S06b0618h20,S08aH01,S09aH07,S09d0923h19,S10aH01</t>
  </si>
  <si>
    <t>com_pkflx</t>
  </si>
  <si>
    <t>ncap_afs</t>
  </si>
  <si>
    <t>pset_ci</t>
  </si>
  <si>
    <t>0617h01</t>
  </si>
  <si>
    <t>0617h02</t>
  </si>
  <si>
    <t>0617h03</t>
  </si>
  <si>
    <t>0617h04</t>
  </si>
  <si>
    <t>e</t>
  </si>
  <si>
    <t>0617h05</t>
  </si>
  <si>
    <t>f</t>
  </si>
  <si>
    <t>0617h06</t>
  </si>
  <si>
    <t>g</t>
  </si>
  <si>
    <t>0617h07</t>
  </si>
  <si>
    <t>h</t>
  </si>
  <si>
    <t>0617h08</t>
  </si>
  <si>
    <t>i</t>
  </si>
  <si>
    <t>0617h09</t>
  </si>
  <si>
    <t>j</t>
  </si>
  <si>
    <t>0617h10</t>
  </si>
  <si>
    <t>0617h11</t>
  </si>
  <si>
    <t>0617h12</t>
  </si>
  <si>
    <t>0617h13</t>
  </si>
  <si>
    <t>0617h14</t>
  </si>
  <si>
    <t>0617h15</t>
  </si>
  <si>
    <t>0617h16</t>
  </si>
  <si>
    <t>0617h17</t>
  </si>
  <si>
    <t>0617h18</t>
  </si>
  <si>
    <t>0617h19</t>
  </si>
  <si>
    <t>0617h20</t>
  </si>
  <si>
    <t>0617h21</t>
  </si>
  <si>
    <t>0617h22</t>
  </si>
  <si>
    <t>0617h23</t>
  </si>
  <si>
    <t>0617h24</t>
  </si>
  <si>
    <t>0624h01</t>
  </si>
  <si>
    <t>0624h02</t>
  </si>
  <si>
    <t>0624h03</t>
  </si>
  <si>
    <t>0624h04</t>
  </si>
  <si>
    <t>0624h05</t>
  </si>
  <si>
    <t>0624h06</t>
  </si>
  <si>
    <t>0624h07</t>
  </si>
  <si>
    <t>0624h08</t>
  </si>
  <si>
    <t>0624h09</t>
  </si>
  <si>
    <t>0624h10</t>
  </si>
  <si>
    <t>0624h11</t>
  </si>
  <si>
    <t>0624h12</t>
  </si>
  <si>
    <t>0624h13</t>
  </si>
  <si>
    <t>0624h14</t>
  </si>
  <si>
    <t>0624h15</t>
  </si>
  <si>
    <t>0624h16</t>
  </si>
  <si>
    <t>0624h17</t>
  </si>
  <si>
    <t>0624h18</t>
  </si>
  <si>
    <t>0624h19</t>
  </si>
  <si>
    <t>0624h20</t>
  </si>
  <si>
    <t>0624h21</t>
  </si>
  <si>
    <t>0624h22</t>
  </si>
  <si>
    <t>0624h23</t>
  </si>
  <si>
    <t>0624h24</t>
  </si>
  <si>
    <t>0826h01</t>
  </si>
  <si>
    <t>0826h02</t>
  </si>
  <si>
    <t>0826h03</t>
  </si>
  <si>
    <t>0826h04</t>
  </si>
  <si>
    <t>0826h05</t>
  </si>
  <si>
    <t>0826h06</t>
  </si>
  <si>
    <t>0826h07</t>
  </si>
  <si>
    <t>0826h08</t>
  </si>
  <si>
    <t>0826h09</t>
  </si>
  <si>
    <t>0826h10</t>
  </si>
  <si>
    <t>0826h11</t>
  </si>
  <si>
    <t>0826h12</t>
  </si>
  <si>
    <t>0826h13</t>
  </si>
  <si>
    <t>0826h14</t>
  </si>
  <si>
    <t>0826h15</t>
  </si>
  <si>
    <t>0826h16</t>
  </si>
  <si>
    <t>0826h17</t>
  </si>
  <si>
    <t>0826h18</t>
  </si>
  <si>
    <t>0826h19</t>
  </si>
  <si>
    <t>0826h20</t>
  </si>
  <si>
    <t>0826h21</t>
  </si>
  <si>
    <t>0826h22</t>
  </si>
  <si>
    <t>0826h23</t>
  </si>
  <si>
    <t>0826h24</t>
  </si>
  <si>
    <t>0930h01</t>
  </si>
  <si>
    <t>0930h02</t>
  </si>
  <si>
    <t>0930h03</t>
  </si>
  <si>
    <t>0930h04</t>
  </si>
  <si>
    <t>0930h05</t>
  </si>
  <si>
    <t>0930h06</t>
  </si>
  <si>
    <t>0930h07</t>
  </si>
  <si>
    <t>0930h08</t>
  </si>
  <si>
    <t>0930h09</t>
  </si>
  <si>
    <t>0930h10</t>
  </si>
  <si>
    <t>0930h11</t>
  </si>
  <si>
    <t>0930h12</t>
  </si>
  <si>
    <t>0930h13</t>
  </si>
  <si>
    <t>0930h14</t>
  </si>
  <si>
    <t>0930h15</t>
  </si>
  <si>
    <t>0930h16</t>
  </si>
  <si>
    <t>0930h17</t>
  </si>
  <si>
    <t>0930h18</t>
  </si>
  <si>
    <t>0930h19</t>
  </si>
  <si>
    <t>0930h20</t>
  </si>
  <si>
    <t>0930h21</t>
  </si>
  <si>
    <t>0930h22</t>
  </si>
  <si>
    <t>0930h23</t>
  </si>
  <si>
    <t>0930h24</t>
  </si>
  <si>
    <t>1013h01</t>
  </si>
  <si>
    <t>1013h02</t>
  </si>
  <si>
    <t>1013h03</t>
  </si>
  <si>
    <t>1013h04</t>
  </si>
  <si>
    <t>1013h05</t>
  </si>
  <si>
    <t>1013h06</t>
  </si>
  <si>
    <t>1013h07</t>
  </si>
  <si>
    <t>1013h08</t>
  </si>
  <si>
    <t>1013h09</t>
  </si>
  <si>
    <t>1013h10</t>
  </si>
  <si>
    <t>1013h11</t>
  </si>
  <si>
    <t>1013h12</t>
  </si>
  <si>
    <t>1013h13</t>
  </si>
  <si>
    <t>1013h14</t>
  </si>
  <si>
    <t>1013h15</t>
  </si>
  <si>
    <t>1013h16</t>
  </si>
  <si>
    <t>1013h17</t>
  </si>
  <si>
    <t>1013h18</t>
  </si>
  <si>
    <t>1013h19</t>
  </si>
  <si>
    <t>1013h20</t>
  </si>
  <si>
    <t>1013h21</t>
  </si>
  <si>
    <t>1013h22</t>
  </si>
  <si>
    <t>1013h23</t>
  </si>
  <si>
    <t>1013h24</t>
  </si>
  <si>
    <t>1207h01</t>
  </si>
  <si>
    <t>1207h02</t>
  </si>
  <si>
    <t>1207h03</t>
  </si>
  <si>
    <t>1207h04</t>
  </si>
  <si>
    <t>1207h05</t>
  </si>
  <si>
    <t>1207h06</t>
  </si>
  <si>
    <t>1207h07</t>
  </si>
  <si>
    <t>1207h08</t>
  </si>
  <si>
    <t>1207h09</t>
  </si>
  <si>
    <t>1207h10</t>
  </si>
  <si>
    <t>1207h11</t>
  </si>
  <si>
    <t>1207h12</t>
  </si>
  <si>
    <t>1207h13</t>
  </si>
  <si>
    <t>1207h14</t>
  </si>
  <si>
    <t>1207h15</t>
  </si>
  <si>
    <t>1207h16</t>
  </si>
  <si>
    <t>1207h17</t>
  </si>
  <si>
    <t>1207h18</t>
  </si>
  <si>
    <t>1207h19</t>
  </si>
  <si>
    <t>1207h20</t>
  </si>
  <si>
    <t>1207h21</t>
  </si>
  <si>
    <t>1207h22</t>
  </si>
  <si>
    <t>1207h23</t>
  </si>
  <si>
    <t>1207h24</t>
  </si>
  <si>
    <t>S06b0617h01</t>
  </si>
  <si>
    <t>S06b0617h02</t>
  </si>
  <si>
    <t>S06b0617h03</t>
  </si>
  <si>
    <t>S06b0617h04</t>
  </si>
  <si>
    <t>S06b0617h05</t>
  </si>
  <si>
    <t>S06b0617h06</t>
  </si>
  <si>
    <t>S06b0617h07</t>
  </si>
  <si>
    <t>S06b0617h08</t>
  </si>
  <si>
    <t>S06b0617h09</t>
  </si>
  <si>
    <t>S06b0617h10</t>
  </si>
  <si>
    <t>S06b0617h11</t>
  </si>
  <si>
    <t>S06b0617h12</t>
  </si>
  <si>
    <t>S06b0617h13</t>
  </si>
  <si>
    <t>S06b0617h14</t>
  </si>
  <si>
    <t>S06b0617h15</t>
  </si>
  <si>
    <t>S06b0617h16</t>
  </si>
  <si>
    <t>S06b0617h17</t>
  </si>
  <si>
    <t>S06b0617h18</t>
  </si>
  <si>
    <t>S06b0617h19</t>
  </si>
  <si>
    <t>S06b0617h20</t>
  </si>
  <si>
    <t>S06b0617h21</t>
  </si>
  <si>
    <t>S06b0617h22</t>
  </si>
  <si>
    <t>S06b0617h23</t>
  </si>
  <si>
    <t>S06b0617h24</t>
  </si>
  <si>
    <t>S06c0618h01</t>
  </si>
  <si>
    <t>S06c0618h02</t>
  </si>
  <si>
    <t>S06c0618h03</t>
  </si>
  <si>
    <t>S06c0618h04</t>
  </si>
  <si>
    <t>S06c0618h05</t>
  </si>
  <si>
    <t>S06c0618h06</t>
  </si>
  <si>
    <t>S06c0618h07</t>
  </si>
  <si>
    <t>S06c0618h08</t>
  </si>
  <si>
    <t>S06c0618h09</t>
  </si>
  <si>
    <t>S06c0618h10</t>
  </si>
  <si>
    <t>S06c0618h11</t>
  </si>
  <si>
    <t>S06c0618h12</t>
  </si>
  <si>
    <t>S06c0618h13</t>
  </si>
  <si>
    <t>S06c0618h14</t>
  </si>
  <si>
    <t>S06c0618h15</t>
  </si>
  <si>
    <t>S06c0618h16</t>
  </si>
  <si>
    <t>S06c0618h17</t>
  </si>
  <si>
    <t>S06c0618h18</t>
  </si>
  <si>
    <t>S06c0618h19</t>
  </si>
  <si>
    <t>S06c0618h20</t>
  </si>
  <si>
    <t>S06c0618h21</t>
  </si>
  <si>
    <t>S06c0618h22</t>
  </si>
  <si>
    <t>S06c0618h23</t>
  </si>
  <si>
    <t>S06c0618h24</t>
  </si>
  <si>
    <t>S06d0624h01</t>
  </si>
  <si>
    <t>S06d0624h02</t>
  </si>
  <si>
    <t>S06d0624h03</t>
  </si>
  <si>
    <t>S06d0624h04</t>
  </si>
  <si>
    <t>S06d0624h05</t>
  </si>
  <si>
    <t>S06d0624h06</t>
  </si>
  <si>
    <t>S06d0624h07</t>
  </si>
  <si>
    <t>S06d0624h08</t>
  </si>
  <si>
    <t>S06d0624h09</t>
  </si>
  <si>
    <t>S06d0624h10</t>
  </si>
  <si>
    <t>S06d0624h11</t>
  </si>
  <si>
    <t>S06d0624h12</t>
  </si>
  <si>
    <t>S06d0624h13</t>
  </si>
  <si>
    <t>S06d0624h14</t>
  </si>
  <si>
    <t>S06d0624h15</t>
  </si>
  <si>
    <t>S06d0624h16</t>
  </si>
  <si>
    <t>S06d0624h17</t>
  </si>
  <si>
    <t>S06d0624h18</t>
  </si>
  <si>
    <t>S06d0624h19</t>
  </si>
  <si>
    <t>S06d0624h20</t>
  </si>
  <si>
    <t>S06d0624h21</t>
  </si>
  <si>
    <t>S06d0624h22</t>
  </si>
  <si>
    <t>S06d0624h23</t>
  </si>
  <si>
    <t>S06d0624h24</t>
  </si>
  <si>
    <t>S08e0826h01</t>
  </si>
  <si>
    <t>S08e0826h02</t>
  </si>
  <si>
    <t>S08e0826h03</t>
  </si>
  <si>
    <t>S08e0826h04</t>
  </si>
  <si>
    <t>S08e0826h05</t>
  </si>
  <si>
    <t>S08e0826h06</t>
  </si>
  <si>
    <t>S08e0826h07</t>
  </si>
  <si>
    <t>S08e0826h08</t>
  </si>
  <si>
    <t>S08e0826h09</t>
  </si>
  <si>
    <t>S08e0826h10</t>
  </si>
  <si>
    <t>S08e0826h11</t>
  </si>
  <si>
    <t>S08e0826h12</t>
  </si>
  <si>
    <t>S08e0826h13</t>
  </si>
  <si>
    <t>S08e0826h14</t>
  </si>
  <si>
    <t>S08e0826h15</t>
  </si>
  <si>
    <t>S08e0826h16</t>
  </si>
  <si>
    <t>S08e0826h17</t>
  </si>
  <si>
    <t>S08e0826h18</t>
  </si>
  <si>
    <t>S08e0826h19</t>
  </si>
  <si>
    <t>S08e0826h20</t>
  </si>
  <si>
    <t>S08e0826h21</t>
  </si>
  <si>
    <t>S08e0826h22</t>
  </si>
  <si>
    <t>S08e0826h23</t>
  </si>
  <si>
    <t>S08e0826h24</t>
  </si>
  <si>
    <t>S09f0921h01</t>
  </si>
  <si>
    <t>S09f0921h02</t>
  </si>
  <si>
    <t>S09f0921h03</t>
  </si>
  <si>
    <t>S09f0921h04</t>
  </si>
  <si>
    <t>S09f0921h05</t>
  </si>
  <si>
    <t>S09f0921h06</t>
  </si>
  <si>
    <t>S09f0921h07</t>
  </si>
  <si>
    <t>S09f0921h08</t>
  </si>
  <si>
    <t>S09f0921h09</t>
  </si>
  <si>
    <t>S09f0921h10</t>
  </si>
  <si>
    <t>S09f0921h11</t>
  </si>
  <si>
    <t>S09f0921h12</t>
  </si>
  <si>
    <t>S09f0921h13</t>
  </si>
  <si>
    <t>S09f0921h14</t>
  </si>
  <si>
    <t>S09f0921h15</t>
  </si>
  <si>
    <t>S09f0921h16</t>
  </si>
  <si>
    <t>S09f0921h17</t>
  </si>
  <si>
    <t>S09f0921h18</t>
  </si>
  <si>
    <t>S09f0921h19</t>
  </si>
  <si>
    <t>S09f0921h20</t>
  </si>
  <si>
    <t>S09f0921h21</t>
  </si>
  <si>
    <t>S09f0921h22</t>
  </si>
  <si>
    <t>S09f0921h23</t>
  </si>
  <si>
    <t>S09f0921h24</t>
  </si>
  <si>
    <t>S09g0923h01</t>
  </si>
  <si>
    <t>S09g0923h02</t>
  </si>
  <si>
    <t>S09g0923h03</t>
  </si>
  <si>
    <t>S09g0923h04</t>
  </si>
  <si>
    <t>S09g0923h05</t>
  </si>
  <si>
    <t>S09g0923h06</t>
  </si>
  <si>
    <t>S09g0923h07</t>
  </si>
  <si>
    <t>S09g0923h08</t>
  </si>
  <si>
    <t>S09g0923h09</t>
  </si>
  <si>
    <t>S09g0923h10</t>
  </si>
  <si>
    <t>S09g0923h11</t>
  </si>
  <si>
    <t>S09g0923h12</t>
  </si>
  <si>
    <t>S09g0923h13</t>
  </si>
  <si>
    <t>S09g0923h14</t>
  </si>
  <si>
    <t>S09g0923h15</t>
  </si>
  <si>
    <t>S09g0923h16</t>
  </si>
  <si>
    <t>S09g0923h17</t>
  </si>
  <si>
    <t>S09g0923h18</t>
  </si>
  <si>
    <t>S09g0923h19</t>
  </si>
  <si>
    <t>S09g0923h20</t>
  </si>
  <si>
    <t>S09g0923h21</t>
  </si>
  <si>
    <t>S09g0923h22</t>
  </si>
  <si>
    <t>S09g0923h23</t>
  </si>
  <si>
    <t>S09g0923h24</t>
  </si>
  <si>
    <t>S09h0930h01</t>
  </si>
  <si>
    <t>S09h0930h02</t>
  </si>
  <si>
    <t>S09h0930h03</t>
  </si>
  <si>
    <t>S09h0930h04</t>
  </si>
  <si>
    <t>S09h0930h05</t>
  </si>
  <si>
    <t>S09h0930h06</t>
  </si>
  <si>
    <t>S09h0930h07</t>
  </si>
  <si>
    <t>S09h0930h08</t>
  </si>
  <si>
    <t>S09h0930h09</t>
  </si>
  <si>
    <t>S09h0930h10</t>
  </si>
  <si>
    <t>S09h0930h11</t>
  </si>
  <si>
    <t>S09h0930h12</t>
  </si>
  <si>
    <t>S09h0930h13</t>
  </si>
  <si>
    <t>S09h0930h14</t>
  </si>
  <si>
    <t>S09h0930h15</t>
  </si>
  <si>
    <t>S09h0930h16</t>
  </si>
  <si>
    <t>S09h0930h17</t>
  </si>
  <si>
    <t>S09h0930h18</t>
  </si>
  <si>
    <t>S09h0930h19</t>
  </si>
  <si>
    <t>S09h0930h20</t>
  </si>
  <si>
    <t>S09h0930h21</t>
  </si>
  <si>
    <t>S09h0930h22</t>
  </si>
  <si>
    <t>S09h0930h23</t>
  </si>
  <si>
    <t>S09h0930h24</t>
  </si>
  <si>
    <t>S10i1013h01</t>
  </si>
  <si>
    <t>S10i1013h02</t>
  </si>
  <si>
    <t>S10i1013h03</t>
  </si>
  <si>
    <t>S10i1013h04</t>
  </si>
  <si>
    <t>S10i1013h05</t>
  </si>
  <si>
    <t>S10i1013h06</t>
  </si>
  <si>
    <t>S10i1013h07</t>
  </si>
  <si>
    <t>S10i1013h08</t>
  </si>
  <si>
    <t>S10i1013h09</t>
  </si>
  <si>
    <t>S10i1013h10</t>
  </si>
  <si>
    <t>S10i1013h11</t>
  </si>
  <si>
    <t>S10i1013h12</t>
  </si>
  <si>
    <t>S10i1013h13</t>
  </si>
  <si>
    <t>S10i1013h14</t>
  </si>
  <si>
    <t>S10i1013h15</t>
  </si>
  <si>
    <t>S10i1013h16</t>
  </si>
  <si>
    <t>S10i1013h17</t>
  </si>
  <si>
    <t>S10i1013h18</t>
  </si>
  <si>
    <t>S10i1013h19</t>
  </si>
  <si>
    <t>S10i1013h20</t>
  </si>
  <si>
    <t>S10i1013h21</t>
  </si>
  <si>
    <t>S10i1013h22</t>
  </si>
  <si>
    <t>S10i1013h23</t>
  </si>
  <si>
    <t>S10i1013h24</t>
  </si>
  <si>
    <t>S12j1207h01</t>
  </si>
  <si>
    <t>S12j1207h02</t>
  </si>
  <si>
    <t>S12j1207h03</t>
  </si>
  <si>
    <t>S12j1207h04</t>
  </si>
  <si>
    <t>S12j1207h05</t>
  </si>
  <si>
    <t>S12j1207h06</t>
  </si>
  <si>
    <t>S12j1207h07</t>
  </si>
  <si>
    <t>S12j1207h08</t>
  </si>
  <si>
    <t>S12j1207h09</t>
  </si>
  <si>
    <t>S12j1207h10</t>
  </si>
  <si>
    <t>S12j1207h11</t>
  </si>
  <si>
    <t>S12j1207h12</t>
  </si>
  <si>
    <t>S12j1207h13</t>
  </si>
  <si>
    <t>S12j1207h14</t>
  </si>
  <si>
    <t>S12j1207h15</t>
  </si>
  <si>
    <t>S12j1207h16</t>
  </si>
  <si>
    <t>S12j1207h17</t>
  </si>
  <si>
    <t>S12j1207h18</t>
  </si>
  <si>
    <t>S12j1207h19</t>
  </si>
  <si>
    <t>S12j1207h20</t>
  </si>
  <si>
    <t>S12j1207h21</t>
  </si>
  <si>
    <t>S12j1207h22</t>
  </si>
  <si>
    <t>S12j1207h23</t>
  </si>
  <si>
    <t>S12j1207h24</t>
  </si>
  <si>
    <t>S02aH06,S03aH05,S05aH05,S06aH04,S06c0618h08,S06c0618h10,S08aH04,S08e0826h14,S09g0923h14,S09g0923h17,S11aH02,S12j1207h07,S12j1207h14,S01aH04,S06b0617h09,S06c0618h17,S07aH02,S07aH06,S08e0826h15,S09f0921h08,S09f0921h10,S09g0923h15,S09h0930h15,S10i1013h12,S01aH02,S04aH04,S06c0618h13,S08e0826h09,S09f0921h15,S10i1013h11,S10i1013h14,S10i1013h18,S06b0617h13,S08aH02,S08e0826h11,S08e0826h18,S09aH06,S09f0921h13,S10i1013h08,S01aH06,S02aH03,S06b0617h11,S06c0618h16,S07aH03,S08aH06,S08e0826h07,S08e0826h10,S08e0826h12,S08e0826h16,S09g0923h12,S09h0930h11,S09h0930h12,S10i1013h16,S04aH06,S05aH04,S06aH02,S06aH03,S06b0617h14,S09f0921h14,S09f0921h17,S09g0923h10,S10aH04,S10i1013h13,S10i1013h15,S12aH06,S12j1207h10,S12j1207h13,S12j1207h16,S03aH04,S06b0617h18,S06c0618h09,S06c0618h12,S08aH05,S08e0826h13,S09g0923h07,S09h0930h16,S11aH05,S12aH03,S12j1207h11,S03aH02,S06b0617h12,S06c0618h07,S06c0618h18,S06d0624h14,S07aH05,S09f0921h11,S04aH05,S09h0930h13,S09h0930h14,S09h0930h17,S12j1207h18,S02aH04,S02aH05,S06b0617h07,S06b0617h10,S06b0617h17,S06c0618h11,S06c0618h14,S06d0624h08,S06d0624h09,S06d0624h15,S09f0921h07,S09g0923h18,S09h0930h18,S10aH03,S10aH05,S04aH02,S06b0617h15,S06b0617h16,S06d0624h07,S06d0624h10,S06d0624h16,S09aH02,S09aH03,S11aH03,S11aH04,S12j1207h08,S12j1207h09,S04aH03,S06d0624h12,S07aH04,S08aH03,S09aH04,S09f0921h09,S09g0923h11,S09h0930h10,S12aH02,S12j1207h17,S02aH02,S06aH06,S08e0826h08,S09f0921h18,S09g0923h09,S09g0923h13,S10i1013h07,S10i1013h09,S01aH05,S03aH06,S06aH05,S06d0624h18,S08e0826h17,S09f0921h16,S09h0930h08,S09h0930h09,S10aH02,S10aH06,S10i1013h10,S11aH06,S12aH04,S12aH05,S12j1207h12,S01aH03,S05aH02,S05aH03,S05aH06,S09f0921h12,S09g0923h08,S09g0923h16,S09h0930h07,S10i1013h17,S12j1207h15,S03aH03,S06b0617h08,S06c0618h15,S06d0624h11,S06d0624h13,S06d0624h17,S09aH05</t>
  </si>
  <si>
    <t>S06aH07,S06b0617h03,S06c0618h02,S06d0624h21,S07aH07,S07aH08,S08aH08,S09f0921h23,S09h0930h04,S12j1207h04,S12j1207h20,S12j1207h22,S06b0617h01,S06b0617h05,S06d0624h04,S06d0624h20,S08aH01,S08e0826h02,S09aH07,S09h0930h22,S10aH01,S12j1207h01,S12j1207h03,S12j1207h23,S01aH08,S02aH08,S03aH07,S06d0624h03,S08e0826h01,S09f0921h05,S09f0921h19,S09g0923h19,S04aH08,S06aH01,S06b0617h24,S06c0618h24,S08e0826h22,S09f0921h04,S09g0923h04,S10i1013h04,S12aH08,S01aH01,S04aH01,S06b0617h19,S06c0618h04,S06c0618h05,S09aH08,S09g0923h02,S09g0923h03,S09h0930h21,S10i1013h06,S11aH01,S05aH07,S06c0618h01,S06c0618h03,S07aH01,S09f0921h21,S09g0923h20,S09g0923h22,S10aH07,S10i1013h02,S01aH07,S02aH07,S05aH01,S06c0618h21,S06d0624h22,S08e0826h23,S09h0930h01,S10i1013h19,S10i1013h22,S06b0617h02,S06c0618h06,S06c0618h20,S06d0624h24,S08aH07,S09h0930h03,S10i1013h21,S12j1207h19,S12j1207h24,S05aH08,S06b0617h21,S06c0618h19,S06d0624h05,S09g0923h23,S09h0930h20,S09h0930h23,S10aH08,S10i1013h05,S10i1013h23,S12j1207h02,S12j1207h05,S03aH08,S04aH07,S06aH08,S06c0618h22,S06d0624h01,S06d0624h06,S08e0826h20,S09f0921h01,S09g0923h24,S09h0930h02,S09h0930h05,S10i1013h24,S12aH01,S09f0921h02,S10i1013h03,S12j1207h21,S02aH01,S06c0618h23,S08e0826h24,S09f0921h03,S09f0921h20,S09f0921h22,S09g0923h05,S09h0930h06,S10i1013h01,S03aH01,S06b0617h20,S08e0826h03,S08e0826h05,S08e0826h06,S09g0923h01,S10i1013h20,S12aH07,S12j1207h06,S08e0826h04,S08e0826h21,S09g0923h06,S09g0923h21,S09h0930h24,S06b0617h06,S06b0617h23,S06d0624h02,S06d0624h23,S08e0826h19,S09aH01,S09f0921h06,S09f0921h24,S09h0930h19,S11aH07,S06b0617h04,S06b0617h22,S06d0624h19,S11aH08</t>
  </si>
  <si>
    <t>0518h01</t>
  </si>
  <si>
    <t>0518h02</t>
  </si>
  <si>
    <t>0518h03</t>
  </si>
  <si>
    <t>0518h04</t>
  </si>
  <si>
    <t>0518h05</t>
  </si>
  <si>
    <t>0518h06</t>
  </si>
  <si>
    <t>0518h07</t>
  </si>
  <si>
    <t>0518h08</t>
  </si>
  <si>
    <t>0518h09</t>
  </si>
  <si>
    <t>0518h10</t>
  </si>
  <si>
    <t>k</t>
  </si>
  <si>
    <t>0518h11</t>
  </si>
  <si>
    <t>l</t>
  </si>
  <si>
    <t>0518h12</t>
  </si>
  <si>
    <t>m</t>
  </si>
  <si>
    <t>0518h13</t>
  </si>
  <si>
    <t>n</t>
  </si>
  <si>
    <t>0518h14</t>
  </si>
  <si>
    <t>o</t>
  </si>
  <si>
    <t>0518h15</t>
  </si>
  <si>
    <t>p</t>
  </si>
  <si>
    <t>0518h16</t>
  </si>
  <si>
    <t>0518h17</t>
  </si>
  <si>
    <t>0518h18</t>
  </si>
  <si>
    <t>0518h19</t>
  </si>
  <si>
    <t>0518h20</t>
  </si>
  <si>
    <t>0518h21</t>
  </si>
  <si>
    <t>0518h22</t>
  </si>
  <si>
    <t>0518h23</t>
  </si>
  <si>
    <t>0518h24</t>
  </si>
  <si>
    <t>0626h01</t>
  </si>
  <si>
    <t>0626h02</t>
  </si>
  <si>
    <t>0626h03</t>
  </si>
  <si>
    <t>0626h04</t>
  </si>
  <si>
    <t>0626h05</t>
  </si>
  <si>
    <t>0626h06</t>
  </si>
  <si>
    <t>0626h07</t>
  </si>
  <si>
    <t>0626h08</t>
  </si>
  <si>
    <t>0626h09</t>
  </si>
  <si>
    <t>0626h10</t>
  </si>
  <si>
    <t>0626h11</t>
  </si>
  <si>
    <t>0626h12</t>
  </si>
  <si>
    <t>0626h13</t>
  </si>
  <si>
    <t>0626h14</t>
  </si>
  <si>
    <t>0626h15</t>
  </si>
  <si>
    <t>0626h16</t>
  </si>
  <si>
    <t>0626h17</t>
  </si>
  <si>
    <t>0626h18</t>
  </si>
  <si>
    <t>0626h19</t>
  </si>
  <si>
    <t>0626h20</t>
  </si>
  <si>
    <t>0626h21</t>
  </si>
  <si>
    <t>0626h22</t>
  </si>
  <si>
    <t>0626h23</t>
  </si>
  <si>
    <t>0626h24</t>
  </si>
  <si>
    <t>0807h01</t>
  </si>
  <si>
    <t>0807h02</t>
  </si>
  <si>
    <t>0807h03</t>
  </si>
  <si>
    <t>0807h04</t>
  </si>
  <si>
    <t>0807h05</t>
  </si>
  <si>
    <t>0807h06</t>
  </si>
  <si>
    <t>0807h07</t>
  </si>
  <si>
    <t>0807h08</t>
  </si>
  <si>
    <t>0807h09</t>
  </si>
  <si>
    <t>0807h10</t>
  </si>
  <si>
    <t>0807h11</t>
  </si>
  <si>
    <t>0807h12</t>
  </si>
  <si>
    <t>0807h13</t>
  </si>
  <si>
    <t>0807h14</t>
  </si>
  <si>
    <t>0807h15</t>
  </si>
  <si>
    <t>0807h16</t>
  </si>
  <si>
    <t>0807h17</t>
  </si>
  <si>
    <t>0807h18</t>
  </si>
  <si>
    <t>0807h19</t>
  </si>
  <si>
    <t>0807h20</t>
  </si>
  <si>
    <t>0807h21</t>
  </si>
  <si>
    <t>0807h22</t>
  </si>
  <si>
    <t>0807h23</t>
  </si>
  <si>
    <t>0807h24</t>
  </si>
  <si>
    <t>0901h01</t>
  </si>
  <si>
    <t>0901h02</t>
  </si>
  <si>
    <t>0901h03</t>
  </si>
  <si>
    <t>0901h04</t>
  </si>
  <si>
    <t>0901h05</t>
  </si>
  <si>
    <t>0901h06</t>
  </si>
  <si>
    <t>0901h07</t>
  </si>
  <si>
    <t>0901h08</t>
  </si>
  <si>
    <t>0901h09</t>
  </si>
  <si>
    <t>0901h10</t>
  </si>
  <si>
    <t>0901h11</t>
  </si>
  <si>
    <t>0901h12</t>
  </si>
  <si>
    <t>0901h13</t>
  </si>
  <si>
    <t>0901h14</t>
  </si>
  <si>
    <t>0901h15</t>
  </si>
  <si>
    <t>0901h16</t>
  </si>
  <si>
    <t>0901h17</t>
  </si>
  <si>
    <t>0901h18</t>
  </si>
  <si>
    <t>0901h19</t>
  </si>
  <si>
    <t>0901h20</t>
  </si>
  <si>
    <t>0901h21</t>
  </si>
  <si>
    <t>0901h22</t>
  </si>
  <si>
    <t>0901h23</t>
  </si>
  <si>
    <t>0901h24</t>
  </si>
  <si>
    <t>1010h01</t>
  </si>
  <si>
    <t>1010h02</t>
  </si>
  <si>
    <t>1010h03</t>
  </si>
  <si>
    <t>1010h04</t>
  </si>
  <si>
    <t>1010h05</t>
  </si>
  <si>
    <t>1010h06</t>
  </si>
  <si>
    <t>1010h07</t>
  </si>
  <si>
    <t>1010h08</t>
  </si>
  <si>
    <t>1010h09</t>
  </si>
  <si>
    <t>1010h10</t>
  </si>
  <si>
    <t>1010h11</t>
  </si>
  <si>
    <t>1010h12</t>
  </si>
  <si>
    <t>1010h13</t>
  </si>
  <si>
    <t>1010h14</t>
  </si>
  <si>
    <t>1010h15</t>
  </si>
  <si>
    <t>1010h16</t>
  </si>
  <si>
    <t>1010h17</t>
  </si>
  <si>
    <t>1010h18</t>
  </si>
  <si>
    <t>1010h19</t>
  </si>
  <si>
    <t>1010h20</t>
  </si>
  <si>
    <t>1010h21</t>
  </si>
  <si>
    <t>1010h22</t>
  </si>
  <si>
    <t>1010h23</t>
  </si>
  <si>
    <t>1010h24</t>
  </si>
  <si>
    <t>1024h01</t>
  </si>
  <si>
    <t>1024h02</t>
  </si>
  <si>
    <t>1024h03</t>
  </si>
  <si>
    <t>1024h04</t>
  </si>
  <si>
    <t>1024h05</t>
  </si>
  <si>
    <t>1024h06</t>
  </si>
  <si>
    <t>1024h07</t>
  </si>
  <si>
    <t>1024h08</t>
  </si>
  <si>
    <t>1024h09</t>
  </si>
  <si>
    <t>1024h10</t>
  </si>
  <si>
    <t>1024h11</t>
  </si>
  <si>
    <t>1024h12</t>
  </si>
  <si>
    <t>1024h13</t>
  </si>
  <si>
    <t>1024h14</t>
  </si>
  <si>
    <t>1024h15</t>
  </si>
  <si>
    <t>1024h16</t>
  </si>
  <si>
    <t>1024h17</t>
  </si>
  <si>
    <t>1024h18</t>
  </si>
  <si>
    <t>1024h19</t>
  </si>
  <si>
    <t>1024h20</t>
  </si>
  <si>
    <t>1024h21</t>
  </si>
  <si>
    <t>1024h22</t>
  </si>
  <si>
    <t>1024h23</t>
  </si>
  <si>
    <t>1024h24</t>
  </si>
  <si>
    <t>S05b0518h01</t>
  </si>
  <si>
    <t>S05b0518h02</t>
  </si>
  <si>
    <t>S05b0518h03</t>
  </si>
  <si>
    <t>S05b0518h04</t>
  </si>
  <si>
    <t>S05b0518h05</t>
  </si>
  <si>
    <t>S05b0518h06</t>
  </si>
  <si>
    <t>S05b0518h07</t>
  </si>
  <si>
    <t>S05b0518h08</t>
  </si>
  <si>
    <t>S05b0518h09</t>
  </si>
  <si>
    <t>S05b0518h10</t>
  </si>
  <si>
    <t>S05b0518h11</t>
  </si>
  <si>
    <t>S05b0518h12</t>
  </si>
  <si>
    <t>S05b0518h13</t>
  </si>
  <si>
    <t>S05b0518h14</t>
  </si>
  <si>
    <t>S05b0518h15</t>
  </si>
  <si>
    <t>S05b0518h16</t>
  </si>
  <si>
    <t>S05b0518h17</t>
  </si>
  <si>
    <t>S05b0518h18</t>
  </si>
  <si>
    <t>S05b0518h19</t>
  </si>
  <si>
    <t>S05b0518h20</t>
  </si>
  <si>
    <t>S05b0518h21</t>
  </si>
  <si>
    <t>S05b0518h22</t>
  </si>
  <si>
    <t>S05b0518h23</t>
  </si>
  <si>
    <t>S05b0518h24</t>
  </si>
  <si>
    <t>S06c0617h01</t>
  </si>
  <si>
    <t>S06c0617h02</t>
  </si>
  <si>
    <t>S06c0617h03</t>
  </si>
  <si>
    <t>S06c0617h04</t>
  </si>
  <si>
    <t>S06c0617h05</t>
  </si>
  <si>
    <t>S06c0617h06</t>
  </si>
  <si>
    <t>S06c0617h07</t>
  </si>
  <si>
    <t>S06c0617h08</t>
  </si>
  <si>
    <t>S06c0617h09</t>
  </si>
  <si>
    <t>S06c0617h10</t>
  </si>
  <si>
    <t>S06c0617h11</t>
  </si>
  <si>
    <t>S06c0617h12</t>
  </si>
  <si>
    <t>S06c0617h13</t>
  </si>
  <si>
    <t>S06c0617h14</t>
  </si>
  <si>
    <t>S06c0617h15</t>
  </si>
  <si>
    <t>S06c0617h16</t>
  </si>
  <si>
    <t>S06c0617h17</t>
  </si>
  <si>
    <t>S06c0617h18</t>
  </si>
  <si>
    <t>S06c0617h19</t>
  </si>
  <si>
    <t>S06c0617h20</t>
  </si>
  <si>
    <t>S06c0617h21</t>
  </si>
  <si>
    <t>S06c0617h22</t>
  </si>
  <si>
    <t>S06c0617h23</t>
  </si>
  <si>
    <t>S06c0617h24</t>
  </si>
  <si>
    <t>S06d0618h01</t>
  </si>
  <si>
    <t>S06d0618h02</t>
  </si>
  <si>
    <t>S06d0618h03</t>
  </si>
  <si>
    <t>S06d0618h04</t>
  </si>
  <si>
    <t>S06d0618h05</t>
  </si>
  <si>
    <t>S06d0618h06</t>
  </si>
  <si>
    <t>S06d0618h07</t>
  </si>
  <si>
    <t>S06d0618h08</t>
  </si>
  <si>
    <t>S06d0618h09</t>
  </si>
  <si>
    <t>S06d0618h10</t>
  </si>
  <si>
    <t>S06d0618h11</t>
  </si>
  <si>
    <t>S06d0618h12</t>
  </si>
  <si>
    <t>S06d0618h13</t>
  </si>
  <si>
    <t>S06d0618h14</t>
  </si>
  <si>
    <t>S06d0618h15</t>
  </si>
  <si>
    <t>S06d0618h16</t>
  </si>
  <si>
    <t>S06d0618h17</t>
  </si>
  <si>
    <t>S06d0618h18</t>
  </si>
  <si>
    <t>S06d0618h19</t>
  </si>
  <si>
    <t>S06d0618h20</t>
  </si>
  <si>
    <t>S06d0618h21</t>
  </si>
  <si>
    <t>S06d0618h22</t>
  </si>
  <si>
    <t>S06d0618h23</t>
  </si>
  <si>
    <t>S06d0618h24</t>
  </si>
  <si>
    <t>S06e0624h01</t>
  </si>
  <si>
    <t>S06e0624h02</t>
  </si>
  <si>
    <t>S06e0624h03</t>
  </si>
  <si>
    <t>S06e0624h04</t>
  </si>
  <si>
    <t>S06e0624h05</t>
  </si>
  <si>
    <t>S06e0624h06</t>
  </si>
  <si>
    <t>S06e0624h07</t>
  </si>
  <si>
    <t>S06e0624h08</t>
  </si>
  <si>
    <t>S06e0624h09</t>
  </si>
  <si>
    <t>S06e0624h10</t>
  </si>
  <si>
    <t>S06e0624h11</t>
  </si>
  <si>
    <t>S06e0624h12</t>
  </si>
  <si>
    <t>S06e0624h13</t>
  </si>
  <si>
    <t>S06e0624h14</t>
  </si>
  <si>
    <t>S06e0624h15</t>
  </si>
  <si>
    <t>S06e0624h16</t>
  </si>
  <si>
    <t>S06e0624h17</t>
  </si>
  <si>
    <t>S06e0624h18</t>
  </si>
  <si>
    <t>S06e0624h19</t>
  </si>
  <si>
    <t>S06e0624h20</t>
  </si>
  <si>
    <t>S06e0624h21</t>
  </si>
  <si>
    <t>S06e0624h22</t>
  </si>
  <si>
    <t>S06e0624h23</t>
  </si>
  <si>
    <t>S06e0624h24</t>
  </si>
  <si>
    <t>S06f0626h01</t>
  </si>
  <si>
    <t>S06f0626h02</t>
  </si>
  <si>
    <t>S06f0626h03</t>
  </si>
  <si>
    <t>S06f0626h04</t>
  </si>
  <si>
    <t>S06f0626h05</t>
  </si>
  <si>
    <t>S06f0626h06</t>
  </si>
  <si>
    <t>S06f0626h07</t>
  </si>
  <si>
    <t>S06f0626h08</t>
  </si>
  <si>
    <t>S06f0626h09</t>
  </si>
  <si>
    <t>S06f0626h10</t>
  </si>
  <si>
    <t>S06f0626h11</t>
  </si>
  <si>
    <t>S06f0626h12</t>
  </si>
  <si>
    <t>S06f0626h13</t>
  </si>
  <si>
    <t>S06f0626h14</t>
  </si>
  <si>
    <t>S06f0626h15</t>
  </si>
  <si>
    <t>S06f0626h16</t>
  </si>
  <si>
    <t>S06f0626h17</t>
  </si>
  <si>
    <t>S06f0626h18</t>
  </si>
  <si>
    <t>S06f0626h19</t>
  </si>
  <si>
    <t>S06f0626h20</t>
  </si>
  <si>
    <t>S06f0626h21</t>
  </si>
  <si>
    <t>S06f0626h22</t>
  </si>
  <si>
    <t>S06f0626h23</t>
  </si>
  <si>
    <t>S06f0626h24</t>
  </si>
  <si>
    <t>S08g0807h01</t>
  </si>
  <si>
    <t>S08g0807h02</t>
  </si>
  <si>
    <t>S08g0807h03</t>
  </si>
  <si>
    <t>S08g0807h04</t>
  </si>
  <si>
    <t>S08g0807h05</t>
  </si>
  <si>
    <t>S08g0807h06</t>
  </si>
  <si>
    <t>S08g0807h07</t>
  </si>
  <si>
    <t>S08g0807h08</t>
  </si>
  <si>
    <t>S08g0807h09</t>
  </si>
  <si>
    <t>S08g0807h10</t>
  </si>
  <si>
    <t>S08g0807h11</t>
  </si>
  <si>
    <t>S08g0807h12</t>
  </si>
  <si>
    <t>S08g0807h13</t>
  </si>
  <si>
    <t>S08g0807h14</t>
  </si>
  <si>
    <t>S08g0807h15</t>
  </si>
  <si>
    <t>S08g0807h16</t>
  </si>
  <si>
    <t>S08g0807h17</t>
  </si>
  <si>
    <t>S08g0807h18</t>
  </si>
  <si>
    <t>S08g0807h19</t>
  </si>
  <si>
    <t>S08g0807h20</t>
  </si>
  <si>
    <t>S08g0807h21</t>
  </si>
  <si>
    <t>S08g0807h22</t>
  </si>
  <si>
    <t>S08g0807h23</t>
  </si>
  <si>
    <t>S08g0807h24</t>
  </si>
  <si>
    <t>S08h0826h01</t>
  </si>
  <si>
    <t>S08h0826h02</t>
  </si>
  <si>
    <t>S08h0826h03</t>
  </si>
  <si>
    <t>S08h0826h04</t>
  </si>
  <si>
    <t>S08h0826h05</t>
  </si>
  <si>
    <t>S08h0826h06</t>
  </si>
  <si>
    <t>S08h0826h07</t>
  </si>
  <si>
    <t>S08h0826h08</t>
  </si>
  <si>
    <t>S08h0826h09</t>
  </si>
  <si>
    <t>S08h0826h10</t>
  </si>
  <si>
    <t>S08h0826h11</t>
  </si>
  <si>
    <t>S08h0826h12</t>
  </si>
  <si>
    <t>S08h0826h13</t>
  </si>
  <si>
    <t>S08h0826h14</t>
  </si>
  <si>
    <t>S08h0826h15</t>
  </si>
  <si>
    <t>S08h0826h16</t>
  </si>
  <si>
    <t>S08h0826h17</t>
  </si>
  <si>
    <t>S08h0826h18</t>
  </si>
  <si>
    <t>S08h0826h19</t>
  </si>
  <si>
    <t>S08h0826h20</t>
  </si>
  <si>
    <t>S08h0826h21</t>
  </si>
  <si>
    <t>S08h0826h22</t>
  </si>
  <si>
    <t>S08h0826h23</t>
  </si>
  <si>
    <t>S08h0826h24</t>
  </si>
  <si>
    <t>S09i0901h01</t>
  </si>
  <si>
    <t>S09i0901h02</t>
  </si>
  <si>
    <t>S09i0901h03</t>
  </si>
  <si>
    <t>S09i0901h04</t>
  </si>
  <si>
    <t>S09i0901h05</t>
  </si>
  <si>
    <t>S09i0901h06</t>
  </si>
  <si>
    <t>S09i0901h07</t>
  </si>
  <si>
    <t>S09i0901h08</t>
  </si>
  <si>
    <t>S09i0901h09</t>
  </si>
  <si>
    <t>S09i0901h10</t>
  </si>
  <si>
    <t>S09i0901h11</t>
  </si>
  <si>
    <t>S09i0901h12</t>
  </si>
  <si>
    <t>S09i0901h13</t>
  </si>
  <si>
    <t>S09i0901h14</t>
  </si>
  <si>
    <t>S09i0901h15</t>
  </si>
  <si>
    <t>S09i0901h16</t>
  </si>
  <si>
    <t>S09i0901h17</t>
  </si>
  <si>
    <t>S09i0901h18</t>
  </si>
  <si>
    <t>S09i0901h19</t>
  </si>
  <si>
    <t>S09i0901h20</t>
  </si>
  <si>
    <t>S09i0901h21</t>
  </si>
  <si>
    <t>S09i0901h22</t>
  </si>
  <si>
    <t>S09i0901h23</t>
  </si>
  <si>
    <t>S09i0901h24</t>
  </si>
  <si>
    <t>S09j0921h01</t>
  </si>
  <si>
    <t>S09j0921h02</t>
  </si>
  <si>
    <t>S09j0921h03</t>
  </si>
  <si>
    <t>S09j0921h04</t>
  </si>
  <si>
    <t>S09j0921h05</t>
  </si>
  <si>
    <t>S09j0921h06</t>
  </si>
  <si>
    <t>S09j0921h07</t>
  </si>
  <si>
    <t>S09j0921h08</t>
  </si>
  <si>
    <t>S09j0921h09</t>
  </si>
  <si>
    <t>S09j0921h10</t>
  </si>
  <si>
    <t>S09j0921h11</t>
  </si>
  <si>
    <t>S09j0921h12</t>
  </si>
  <si>
    <t>S09j0921h13</t>
  </si>
  <si>
    <t>S09j0921h14</t>
  </si>
  <si>
    <t>S09j0921h15</t>
  </si>
  <si>
    <t>S09j0921h16</t>
  </si>
  <si>
    <t>S09j0921h17</t>
  </si>
  <si>
    <t>S09j0921h18</t>
  </si>
  <si>
    <t>S09j0921h19</t>
  </si>
  <si>
    <t>S09j0921h20</t>
  </si>
  <si>
    <t>S09j0921h21</t>
  </si>
  <si>
    <t>S09j0921h22</t>
  </si>
  <si>
    <t>S09j0921h23</t>
  </si>
  <si>
    <t>S09j0921h24</t>
  </si>
  <si>
    <t>S09k0923h01</t>
  </si>
  <si>
    <t>S09k0923h02</t>
  </si>
  <si>
    <t>S09k0923h03</t>
  </si>
  <si>
    <t>S09k0923h04</t>
  </si>
  <si>
    <t>S09k0923h05</t>
  </si>
  <si>
    <t>S09k0923h06</t>
  </si>
  <si>
    <t>S09k0923h07</t>
  </si>
  <si>
    <t>S09k0923h08</t>
  </si>
  <si>
    <t>S09k0923h09</t>
  </si>
  <si>
    <t>S09k0923h10</t>
  </si>
  <si>
    <t>S09k0923h11</t>
  </si>
  <si>
    <t>S09k0923h12</t>
  </si>
  <si>
    <t>S09k0923h13</t>
  </si>
  <si>
    <t>S09k0923h14</t>
  </si>
  <si>
    <t>S09k0923h15</t>
  </si>
  <si>
    <t>S09k0923h16</t>
  </si>
  <si>
    <t>S09k0923h17</t>
  </si>
  <si>
    <t>S09k0923h18</t>
  </si>
  <si>
    <t>S09k0923h19</t>
  </si>
  <si>
    <t>S09k0923h20</t>
  </si>
  <si>
    <t>S09k0923h21</t>
  </si>
  <si>
    <t>S09k0923h22</t>
  </si>
  <si>
    <t>S09k0923h23</t>
  </si>
  <si>
    <t>S09k0923h24</t>
  </si>
  <si>
    <t>S09l0930h01</t>
  </si>
  <si>
    <t>S09l0930h02</t>
  </si>
  <si>
    <t>S09l0930h03</t>
  </si>
  <si>
    <t>S09l0930h04</t>
  </si>
  <si>
    <t>S09l0930h05</t>
  </si>
  <si>
    <t>S09l0930h06</t>
  </si>
  <si>
    <t>S09l0930h07</t>
  </si>
  <si>
    <t>S09l0930h08</t>
  </si>
  <si>
    <t>S09l0930h09</t>
  </si>
  <si>
    <t>S09l0930h10</t>
  </si>
  <si>
    <t>S09l0930h11</t>
  </si>
  <si>
    <t>S09l0930h12</t>
  </si>
  <si>
    <t>S09l0930h13</t>
  </si>
  <si>
    <t>S09l0930h14</t>
  </si>
  <si>
    <t>S09l0930h15</t>
  </si>
  <si>
    <t>S09l0930h16</t>
  </si>
  <si>
    <t>S09l0930h17</t>
  </si>
  <si>
    <t>S09l0930h18</t>
  </si>
  <si>
    <t>S09l0930h19</t>
  </si>
  <si>
    <t>S09l0930h20</t>
  </si>
  <si>
    <t>S09l0930h21</t>
  </si>
  <si>
    <t>S09l0930h22</t>
  </si>
  <si>
    <t>S09l0930h23</t>
  </si>
  <si>
    <t>S09l0930h24</t>
  </si>
  <si>
    <t>S10m1010h01</t>
  </si>
  <si>
    <t>S10m1010h02</t>
  </si>
  <si>
    <t>S10m1010h03</t>
  </si>
  <si>
    <t>S10m1010h04</t>
  </si>
  <si>
    <t>S10m1010h05</t>
  </si>
  <si>
    <t>S10m1010h06</t>
  </si>
  <si>
    <t>S10m1010h07</t>
  </si>
  <si>
    <t>S10m1010h08</t>
  </si>
  <si>
    <t>S10m1010h09</t>
  </si>
  <si>
    <t>S10m1010h10</t>
  </si>
  <si>
    <t>S10m1010h11</t>
  </si>
  <si>
    <t>S10m1010h12</t>
  </si>
  <si>
    <t>S10m1010h13</t>
  </si>
  <si>
    <t>S10m1010h14</t>
  </si>
  <si>
    <t>S10m1010h15</t>
  </si>
  <si>
    <t>S10m1010h16</t>
  </si>
  <si>
    <t>S10m1010h17</t>
  </si>
  <si>
    <t>S10m1010h18</t>
  </si>
  <si>
    <t>S10m1010h19</t>
  </si>
  <si>
    <t>S10m1010h20</t>
  </si>
  <si>
    <t>S10m1010h21</t>
  </si>
  <si>
    <t>S10m1010h22</t>
  </si>
  <si>
    <t>S10m1010h23</t>
  </si>
  <si>
    <t>S10m1010h24</t>
  </si>
  <si>
    <t>S10n1013h01</t>
  </si>
  <si>
    <t>S10n1013h02</t>
  </si>
  <si>
    <t>S10n1013h03</t>
  </si>
  <si>
    <t>S10n1013h04</t>
  </si>
  <si>
    <t>S10n1013h05</t>
  </si>
  <si>
    <t>S10n1013h06</t>
  </si>
  <si>
    <t>S10n1013h07</t>
  </si>
  <si>
    <t>S10n1013h08</t>
  </si>
  <si>
    <t>S10n1013h09</t>
  </si>
  <si>
    <t>S10n1013h10</t>
  </si>
  <si>
    <t>S10n1013h11</t>
  </si>
  <si>
    <t>S10n1013h12</t>
  </si>
  <si>
    <t>S10n1013h13</t>
  </si>
  <si>
    <t>S10n1013h14</t>
  </si>
  <si>
    <t>S10n1013h15</t>
  </si>
  <si>
    <t>S10n1013h16</t>
  </si>
  <si>
    <t>S10n1013h17</t>
  </si>
  <si>
    <t>S10n1013h18</t>
  </si>
  <si>
    <t>S10n1013h19</t>
  </si>
  <si>
    <t>S10n1013h20</t>
  </si>
  <si>
    <t>S10n1013h21</t>
  </si>
  <si>
    <t>S10n1013h22</t>
  </si>
  <si>
    <t>S10n1013h23</t>
  </si>
  <si>
    <t>S10n1013h24</t>
  </si>
  <si>
    <t>S10o1024h01</t>
  </si>
  <si>
    <t>S10o1024h02</t>
  </si>
  <si>
    <t>S10o1024h03</t>
  </si>
  <si>
    <t>S10o1024h04</t>
  </si>
  <si>
    <t>S10o1024h05</t>
  </si>
  <si>
    <t>S10o1024h06</t>
  </si>
  <si>
    <t>S10o1024h07</t>
  </si>
  <si>
    <t>S10o1024h08</t>
  </si>
  <si>
    <t>S10o1024h09</t>
  </si>
  <si>
    <t>S10o1024h10</t>
  </si>
  <si>
    <t>S10o1024h11</t>
  </si>
  <si>
    <t>S10o1024h12</t>
  </si>
  <si>
    <t>S10o1024h13</t>
  </si>
  <si>
    <t>S10o1024h14</t>
  </si>
  <si>
    <t>S10o1024h15</t>
  </si>
  <si>
    <t>S10o1024h16</t>
  </si>
  <si>
    <t>S10o1024h17</t>
  </si>
  <si>
    <t>S10o1024h18</t>
  </si>
  <si>
    <t>S10o1024h19</t>
  </si>
  <si>
    <t>S10o1024h20</t>
  </si>
  <si>
    <t>S10o1024h21</t>
  </si>
  <si>
    <t>S10o1024h22</t>
  </si>
  <si>
    <t>S10o1024h23</t>
  </si>
  <si>
    <t>S10o1024h24</t>
  </si>
  <si>
    <t>S12p1207h01</t>
  </si>
  <si>
    <t>S12p1207h02</t>
  </si>
  <si>
    <t>S12p1207h03</t>
  </si>
  <si>
    <t>S12p1207h04</t>
  </si>
  <si>
    <t>S12p1207h05</t>
  </si>
  <si>
    <t>S12p1207h06</t>
  </si>
  <si>
    <t>S12p1207h07</t>
  </si>
  <si>
    <t>S12p1207h08</t>
  </si>
  <si>
    <t>S12p1207h09</t>
  </si>
  <si>
    <t>S12p1207h10</t>
  </si>
  <si>
    <t>S12p1207h11</t>
  </si>
  <si>
    <t>S12p1207h12</t>
  </si>
  <si>
    <t>S12p1207h13</t>
  </si>
  <si>
    <t>S12p1207h14</t>
  </si>
  <si>
    <t>S12p1207h15</t>
  </si>
  <si>
    <t>S12p1207h16</t>
  </si>
  <si>
    <t>S12p1207h17</t>
  </si>
  <si>
    <t>S12p1207h18</t>
  </si>
  <si>
    <t>S12p1207h19</t>
  </si>
  <si>
    <t>S12p1207h20</t>
  </si>
  <si>
    <t>S12p1207h21</t>
  </si>
  <si>
    <t>S12p1207h22</t>
  </si>
  <si>
    <t>S12p1207h23</t>
  </si>
  <si>
    <t>S12p1207h24</t>
  </si>
  <si>
    <t>S01aH04,S06d0618h12,S06f0626h14,S07aH02,S07aH06,S08g0807h08,S08h0826h17,S09j0921h14,S09j0921h16,S10m1010h14,S10o1024h11,S12p1207h07,S04aH02,S06d0618h07,S06d0618h09,S06d0618h13,S06e0624h08,S06f0626h08,S06f0626h11,S06f0626h17,S08g0807h07,S09aH02,S09aH03,S09i0901h07,S09k0923h16,S09l0930h07,S10n1013h07,S10n1013h16,S11aH03,S11aH04,S01aH05,S03aH06,S06aH05,S06d0618h11,S06e0624h14,S06e0624h16,S08g0807h10,S08g0807h12,S08h0826h11,S08h0826h16,S09i0901h16,S09j0921h07,S09k0923h09,S09k0923h10,S09k0923h12,S10aH02,S10aH06,S10m1010h09,S10m1010h11,S10n1013h10,S10o1024h09,S10o1024h12,S11aH06,S12aH04,S12aH05,S12p1207h09,S02aH06,S03aH05,S05aH05,S05b0518h15,S06aH04,S06c0617h10,S06c0617h12,S08aH04,S08g0807h18,S08h0826h10,S09i0901h09,S09l0930h14,S10n1013h08,S11aH02,S12p1207h10,S03aH03,S05b0518h12,S06d0618h10,S09aH05,S09i0901h08,S09i0901h18,S09j0921h18,S09l0930h11,S10m1010h10,S10n1013h17,S04aH05,S06e0624h09,S06f0626h16,S08h0826h18,S09l0930h13,S10m1010h12,S10m1010h15,S10n1013h14,S10o1024h15,S03aH04,S06c0617h09,S06d0618h15,S06e0624h17,S08aH05,S08g0807h13,S08h0826h09,S09i0901h11,S09i0901h12,S11aH05,S12aH03,S12p1207h15,S12p1207h17,S03aH02,S05b0518h10,S05b0518h13,S06c0617h13,S06c0617h16,S06c0617h17,S07aH05,S08g0807h16,S08g0807h17,S09i0901h14,S09j0921h10,S09j0921h13,S09k0923h11,S09l0930h18,S10o1024h08,S10o1024h10,S10o1024h16,S01aH06,S02aH03,S07aH03,S08aH06,S09i0901h15,S09i0901h17,S09k0923h17,S10m1010h13,S10n1013h15,S10n1013h18,S04aH03,S05b0518h09,S05b0518h11,S06c0617h14,S06c0617h18,S06e0624h12,S07aH04,S08aH03,S08g0807h15,S08h0826h13,S09aH04,S09i0901h10,S09i0901h13,S09j0921h17,S09k0923h14,S09l0930h08,S10m1010h17,S10n1013h11,S12aH02,S04aH06,S05aH04,S05b0518h07,S06aH02,S06aH03,S06f0626h07,S06f0626h10,S08g0807h11,S08h0826h07,S08h0826h12,S08h0826h15,S10aH04,S10m1010h16,S10o1024h17,S10o1024h18,S12aH06,S12p1207h18,S02aH04,S02aH05,S05b0518h14,S06e0624h07,S06e0624h15,S06f0626h12,S06f0626h13,S06f0626h18,S09k0923h08,S09k0923h13,S09l0930h17,S10aH03,S10aH05,S10n1013h09,S01aH02,S04aH04,S05b0518h08,S05b0518h18,S06c0617h11,S06d0618h17,S08h0826h08,S09k0923h07,S09l0930h12,S10n1013h12,S10o1024h07,S10o1024h14,S01aH03,S05aH02,S05aH03,S05aH06,S06c0617h08,S06c0617h15,S06d0618h14,S06e0624h18,S06f0626h09,S06f0626h15,S08h0826h14,S09j0921h08,S09k0923h15,S09l0930h09,S09l0930h10,S10m1010h18,S10n1013h13,S10o1024h13,S12p1207h16,S06d0618h18,S06e0624h10,S08aH02,S08g0807h14,S09aH06,S09j0921h12,S09k0923h18,S09l0930h16,S12p1207h08,S12p1207h13,S12p1207h14,S02aH02,S05b0518h16,S05b0518h17,S06aH06,S06c0617h07,S06d0618h08,S06d0618h16,S06e0624h11,S06e0624h13,S08g0807h09,S09j0921h09,S09j0921h11,S09j0921h15,S09l0930h15,S10m1010h07,S10m1010h08,S12p1207h11,S12p1207h12</t>
  </si>
  <si>
    <t>S06c0617h05,S06e0624h01,S06f0626h23,S08aH01,S08h0826h02,S08h0826h04,S08h0826h06,S09aH07,S09i0901h01,S10aH01,S10n1013h22,S10o1024h05,S12p1207h20,S05b0518h02,S05b0518h03,S05b0518h20,S06e0624h23,S06e0624h24,S06f0626h01,S09l0930h04,S10m1010h02,S10o1024h03,S12p1207h24,S06e0624h04,S09j0921h03,S09l0930h06,S09l0930h20,S09l0930h24,S10m1010h21,S10n1013h24,S06aH07,S06c0617h20,S06d0618h23,S06e0624h06,S06f0626h19,S07aH07,S07aH08,S08aH08,S08h0826h19,S09k0923h01,S09l0930h19,S10n1013h23,S06c0617h01,S06c0617h02,S06e0624h02,S06f0626h02,S08g0807h05,S08h0826h03,S09l0930h23,S10m1010h03,S10n1013h05,S10o1024h06,S11aH08,S12p1207h04,S12p1207h21,S05aH08,S05b0518h21,S05b0518h24,S06f0626h22,S09i0901h20,S09j0921h19,S09j0921h21,S09l0930h02,S10aH08,S10n1013h01,S12p1207h05,S12p1207h06,S01aH07,S02aH07,S05aH01,S06c0617h21,S06c0617h24,S06d0618h21,S06d0618h22,S06e0624h03,S06e0624h19,S06e0624h22,S06f0626h20,S08g0807h06,S08g0807h19,S09i0901h21,S09k0923h04,S09k0923h20,S12p1207h01,S12p1207h03,S05b0518h05,S08aH07,S08g0807h22,S08g0807h24,S09i0901h06,S09i0901h24,S09l0930h03,S10m1010h01,S10m1010h20,S10m1010h22,S10n1013h19,S10n1013h21,S10o1024h24,S01aH01,S04aH01,S05b0518h01,S06d0618h06,S06e0624h05,S06e0624h20,S08g0807h03,S08g0807h21,S09aH08,S09j0921h01,S09k0923h05,S09k0923h21,S09k0923h22,S11aH01,S12p1207h02,S02aH01,S06c0617h22,S06d0618h01,S06d0618h02,S06f0626h21,S08g0807h01,S08g0807h02,S08h0826h20,S09i0901h05,S09i0901h23,S09j0921h22,S09k0923h23,S10m1010h06,S10n1013h06,S10o1024h04,S10o1024h21,S10o1024h22,S10o1024h23,S05aH07,S07aH01,S08g0807h04,S08h0826h01,S08h0826h22,S08h0826h23,S08h0826h24,S09i0901h03,S09j0921h02,S09j0921h06,S10aH07,S10m1010h19,S10m1010h23,S03aH08,S04aH07,S06aH08,S06c0617h03,S06d0618h03,S06e0624h21,S06f0626h05,S06f0626h24,S09i0901h22,S09j0921h24,S09k0923h06,S10o1024h02,S12aH01,S01aH08,S02aH08,S03aH07,S05b0518h22,S06d0618h19,S06f0626h03,S09j0921h04,S09k0923h19,S09l0930h22,S10m1010h04,S10m1010h05,S10n1013h03,S10o1024h01,S12p1207h22,S12p1207h23,S05b0518h04,S05b0518h06,S06c0617h06,S06d0618h24,S06f0626h04,S08h0826h05,S09aH01,S09i0901h19,S09k0923h03,S09l0930h01,S09l0930h05,S10n1013h04,S11aH07,S04aH08,S06aH01,S06c0617h19,S06d0618h20,S06f0626h06,S08g0807h20,S08g0807h23,S09k0923h24,S10m1010h24,S10o1024h19,S12aH08,S03aH01,S05b0518h19,S05b0518h23,S06c0617h04,S06c0617h23,S06d0618h04,S06d0618h05,S08h0826h21,S09i0901h02,S09i0901h04,S09j0921h05,S09j0921h20,S09j0921h23,S09k0923h02,S09l0930h21,S10n1013h02,S10n1013h20,S10o1024h20,S12aH07,S12p1207h19</t>
  </si>
  <si>
    <t>0514h01</t>
  </si>
  <si>
    <t>0514h02</t>
  </si>
  <si>
    <t>0514h03</t>
  </si>
  <si>
    <t>0514h04</t>
  </si>
  <si>
    <t>0514h05</t>
  </si>
  <si>
    <t>0514h06</t>
  </si>
  <si>
    <t>0514h07</t>
  </si>
  <si>
    <t>0514h08</t>
  </si>
  <si>
    <t>0514h09</t>
  </si>
  <si>
    <t>0514h10</t>
  </si>
  <si>
    <t>0514h11</t>
  </si>
  <si>
    <t>0514h12</t>
  </si>
  <si>
    <t>0514h13</t>
  </si>
  <si>
    <t>0514h14</t>
  </si>
  <si>
    <t>0514h15</t>
  </si>
  <si>
    <t>0514h16</t>
  </si>
  <si>
    <t>0514h17</t>
  </si>
  <si>
    <t>0514h18</t>
  </si>
  <si>
    <t>0514h19</t>
  </si>
  <si>
    <t>0514h20</t>
  </si>
  <si>
    <t>0514h21</t>
  </si>
  <si>
    <t>0514h22</t>
  </si>
  <si>
    <t>0514h23</t>
  </si>
  <si>
    <t>0514h24</t>
  </si>
  <si>
    <t>0515h01</t>
  </si>
  <si>
    <t>0515h02</t>
  </si>
  <si>
    <t>0515h03</t>
  </si>
  <si>
    <t>0515h04</t>
  </si>
  <si>
    <t>0515h05</t>
  </si>
  <si>
    <t>0515h06</t>
  </si>
  <si>
    <t>0515h07</t>
  </si>
  <si>
    <t>0515h08</t>
  </si>
  <si>
    <t>0515h09</t>
  </si>
  <si>
    <t>0515h10</t>
  </si>
  <si>
    <t>0515h11</t>
  </si>
  <si>
    <t>0515h12</t>
  </si>
  <si>
    <t>0515h13</t>
  </si>
  <si>
    <t>0515h14</t>
  </si>
  <si>
    <t>0515h15</t>
  </si>
  <si>
    <t>0515h16</t>
  </si>
  <si>
    <t>0515h17</t>
  </si>
  <si>
    <t>0515h18</t>
  </si>
  <si>
    <t>0515h19</t>
  </si>
  <si>
    <t>0515h20</t>
  </si>
  <si>
    <t>0515h21</t>
  </si>
  <si>
    <t>0515h22</t>
  </si>
  <si>
    <t>0515h23</t>
  </si>
  <si>
    <t>0515h24</t>
  </si>
  <si>
    <t>0516h01</t>
  </si>
  <si>
    <t>0516h02</t>
  </si>
  <si>
    <t>0516h03</t>
  </si>
  <si>
    <t>0516h04</t>
  </si>
  <si>
    <t>0516h05</t>
  </si>
  <si>
    <t>0516h06</t>
  </si>
  <si>
    <t>0516h07</t>
  </si>
  <si>
    <t>0516h08</t>
  </si>
  <si>
    <t>0516h09</t>
  </si>
  <si>
    <t>0516h10</t>
  </si>
  <si>
    <t>0516h11</t>
  </si>
  <si>
    <t>0516h12</t>
  </si>
  <si>
    <t>0516h13</t>
  </si>
  <si>
    <t>0516h14</t>
  </si>
  <si>
    <t>0516h15</t>
  </si>
  <si>
    <t>0516h16</t>
  </si>
  <si>
    <t>0516h17</t>
  </si>
  <si>
    <t>0516h18</t>
  </si>
  <si>
    <t>0516h19</t>
  </si>
  <si>
    <t>0516h20</t>
  </si>
  <si>
    <t>0516h21</t>
  </si>
  <si>
    <t>0516h22</t>
  </si>
  <si>
    <t>0516h23</t>
  </si>
  <si>
    <t>0516h24</t>
  </si>
  <si>
    <t>0517h01</t>
  </si>
  <si>
    <t>0517h02</t>
  </si>
  <si>
    <t>0517h03</t>
  </si>
  <si>
    <t>0517h04</t>
  </si>
  <si>
    <t>0517h05</t>
  </si>
  <si>
    <t>0517h06</t>
  </si>
  <si>
    <t>0517h07</t>
  </si>
  <si>
    <t>0517h08</t>
  </si>
  <si>
    <t>0517h09</t>
  </si>
  <si>
    <t>0517h10</t>
  </si>
  <si>
    <t>0517h11</t>
  </si>
  <si>
    <t>0517h12</t>
  </si>
  <si>
    <t>0517h13</t>
  </si>
  <si>
    <t>0517h14</t>
  </si>
  <si>
    <t>0517h15</t>
  </si>
  <si>
    <t>0517h16</t>
  </si>
  <si>
    <t>0517h17</t>
  </si>
  <si>
    <t>0517h18</t>
  </si>
  <si>
    <t>0517h19</t>
  </si>
  <si>
    <t>0517h20</t>
  </si>
  <si>
    <t>0517h21</t>
  </si>
  <si>
    <t>0517h22</t>
  </si>
  <si>
    <t>0517h23</t>
  </si>
  <si>
    <t>0517h24</t>
  </si>
  <si>
    <t>0519h01</t>
  </si>
  <si>
    <t>0519h02</t>
  </si>
  <si>
    <t>0519h03</t>
  </si>
  <si>
    <t>0519h04</t>
  </si>
  <si>
    <t>0519h05</t>
  </si>
  <si>
    <t>0519h06</t>
  </si>
  <si>
    <t>0519h07</t>
  </si>
  <si>
    <t>0519h08</t>
  </si>
  <si>
    <t>0519h09</t>
  </si>
  <si>
    <t>0519h10</t>
  </si>
  <si>
    <t>0519h11</t>
  </si>
  <si>
    <t>0519h12</t>
  </si>
  <si>
    <t>0519h13</t>
  </si>
  <si>
    <t>0519h14</t>
  </si>
  <si>
    <t>0519h15</t>
  </si>
  <si>
    <t>0519h16</t>
  </si>
  <si>
    <t>0519h17</t>
  </si>
  <si>
    <t>0519h18</t>
  </si>
  <si>
    <t>0519h19</t>
  </si>
  <si>
    <t>0519h20</t>
  </si>
  <si>
    <t>0519h21</t>
  </si>
  <si>
    <t>0519h22</t>
  </si>
  <si>
    <t>0519h23</t>
  </si>
  <si>
    <t>0519h24</t>
  </si>
  <si>
    <t>0520h01</t>
  </si>
  <si>
    <t>0520h02</t>
  </si>
  <si>
    <t>0520h03</t>
  </si>
  <si>
    <t>0520h04</t>
  </si>
  <si>
    <t>0520h05</t>
  </si>
  <si>
    <t>0520h06</t>
  </si>
  <si>
    <t>0520h07</t>
  </si>
  <si>
    <t>0520h08</t>
  </si>
  <si>
    <t>0520h09</t>
  </si>
  <si>
    <t>0520h10</t>
  </si>
  <si>
    <t>0520h11</t>
  </si>
  <si>
    <t>0520h12</t>
  </si>
  <si>
    <t>0520h13</t>
  </si>
  <si>
    <t>0520h14</t>
  </si>
  <si>
    <t>0520h15</t>
  </si>
  <si>
    <t>0520h16</t>
  </si>
  <si>
    <t>0520h17</t>
  </si>
  <si>
    <t>0520h18</t>
  </si>
  <si>
    <t>0520h19</t>
  </si>
  <si>
    <t>0520h20</t>
  </si>
  <si>
    <t>0520h21</t>
  </si>
  <si>
    <t>0520h22</t>
  </si>
  <si>
    <t>0520h23</t>
  </si>
  <si>
    <t>0520h24</t>
  </si>
  <si>
    <t>0619h01</t>
  </si>
  <si>
    <t>0619h02</t>
  </si>
  <si>
    <t>0619h03</t>
  </si>
  <si>
    <t>0619h04</t>
  </si>
  <si>
    <t>0619h05</t>
  </si>
  <si>
    <t>0619h06</t>
  </si>
  <si>
    <t>0619h07</t>
  </si>
  <si>
    <t>0619h08</t>
  </si>
  <si>
    <t>0619h09</t>
  </si>
  <si>
    <t>0619h10</t>
  </si>
  <si>
    <t>0619h11</t>
  </si>
  <si>
    <t>0619h12</t>
  </si>
  <si>
    <t>0619h13</t>
  </si>
  <si>
    <t>0619h14</t>
  </si>
  <si>
    <t>0619h15</t>
  </si>
  <si>
    <t>0619h16</t>
  </si>
  <si>
    <t>0619h17</t>
  </si>
  <si>
    <t>0619h18</t>
  </si>
  <si>
    <t>0619h19</t>
  </si>
  <si>
    <t>0619h20</t>
  </si>
  <si>
    <t>0619h21</t>
  </si>
  <si>
    <t>0619h22</t>
  </si>
  <si>
    <t>0619h23</t>
  </si>
  <si>
    <t>0619h24</t>
  </si>
  <si>
    <t>0620h01</t>
  </si>
  <si>
    <t>0620h02</t>
  </si>
  <si>
    <t>0620h03</t>
  </si>
  <si>
    <t>0620h04</t>
  </si>
  <si>
    <t>0620h05</t>
  </si>
  <si>
    <t>0620h06</t>
  </si>
  <si>
    <t>0620h07</t>
  </si>
  <si>
    <t>0620h08</t>
  </si>
  <si>
    <t>0620h09</t>
  </si>
  <si>
    <t>0620h10</t>
  </si>
  <si>
    <t>0620h11</t>
  </si>
  <si>
    <t>0620h12</t>
  </si>
  <si>
    <t>0620h13</t>
  </si>
  <si>
    <t>0620h14</t>
  </si>
  <si>
    <t>0620h15</t>
  </si>
  <si>
    <t>0620h16</t>
  </si>
  <si>
    <t>0620h17</t>
  </si>
  <si>
    <t>0620h18</t>
  </si>
  <si>
    <t>0620h19</t>
  </si>
  <si>
    <t>0620h20</t>
  </si>
  <si>
    <t>0620h21</t>
  </si>
  <si>
    <t>0620h22</t>
  </si>
  <si>
    <t>0620h23</t>
  </si>
  <si>
    <t>0620h24</t>
  </si>
  <si>
    <t>0621h01</t>
  </si>
  <si>
    <t>0621h02</t>
  </si>
  <si>
    <t>0621h03</t>
  </si>
  <si>
    <t>0621h04</t>
  </si>
  <si>
    <t>0621h05</t>
  </si>
  <si>
    <t>0621h06</t>
  </si>
  <si>
    <t>0621h07</t>
  </si>
  <si>
    <t>0621h08</t>
  </si>
  <si>
    <t>0621h09</t>
  </si>
  <si>
    <t>0621h10</t>
  </si>
  <si>
    <t>0621h11</t>
  </si>
  <si>
    <t>0621h12</t>
  </si>
  <si>
    <t>0621h13</t>
  </si>
  <si>
    <t>0621h14</t>
  </si>
  <si>
    <t>0621h15</t>
  </si>
  <si>
    <t>0621h16</t>
  </si>
  <si>
    <t>0621h17</t>
  </si>
  <si>
    <t>0621h18</t>
  </si>
  <si>
    <t>0621h19</t>
  </si>
  <si>
    <t>0621h20</t>
  </si>
  <si>
    <t>0621h21</t>
  </si>
  <si>
    <t>0621h22</t>
  </si>
  <si>
    <t>0621h23</t>
  </si>
  <si>
    <t>0621h24</t>
  </si>
  <si>
    <t>0622h01</t>
  </si>
  <si>
    <t>0622h02</t>
  </si>
  <si>
    <t>0622h03</t>
  </si>
  <si>
    <t>0622h04</t>
  </si>
  <si>
    <t>0622h05</t>
  </si>
  <si>
    <t>0622h06</t>
  </si>
  <si>
    <t>0622h07</t>
  </si>
  <si>
    <t>0622h08</t>
  </si>
  <si>
    <t>0622h09</t>
  </si>
  <si>
    <t>0622h10</t>
  </si>
  <si>
    <t>0622h11</t>
  </si>
  <si>
    <t>0622h12</t>
  </si>
  <si>
    <t>0622h13</t>
  </si>
  <si>
    <t>0622h14</t>
  </si>
  <si>
    <t>0622h15</t>
  </si>
  <si>
    <t>0622h16</t>
  </si>
  <si>
    <t>0622h17</t>
  </si>
  <si>
    <t>0622h18</t>
  </si>
  <si>
    <t>0622h19</t>
  </si>
  <si>
    <t>0622h20</t>
  </si>
  <si>
    <t>0622h21</t>
  </si>
  <si>
    <t>0622h22</t>
  </si>
  <si>
    <t>0622h23</t>
  </si>
  <si>
    <t>0622h24</t>
  </si>
  <si>
    <t>0623h01</t>
  </si>
  <si>
    <t>0623h02</t>
  </si>
  <si>
    <t>0623h03</t>
  </si>
  <si>
    <t>0623h04</t>
  </si>
  <si>
    <t>0623h05</t>
  </si>
  <si>
    <t>0623h06</t>
  </si>
  <si>
    <t>0623h07</t>
  </si>
  <si>
    <t>0623h08</t>
  </si>
  <si>
    <t>0623h09</t>
  </si>
  <si>
    <t>0623h10</t>
  </si>
  <si>
    <t>0623h11</t>
  </si>
  <si>
    <t>0623h12</t>
  </si>
  <si>
    <t>0623h13</t>
  </si>
  <si>
    <t>0623h14</t>
  </si>
  <si>
    <t>0623h15</t>
  </si>
  <si>
    <t>0623h16</t>
  </si>
  <si>
    <t>0623h17</t>
  </si>
  <si>
    <t>0623h18</t>
  </si>
  <si>
    <t>0623h19</t>
  </si>
  <si>
    <t>0623h20</t>
  </si>
  <si>
    <t>0623h21</t>
  </si>
  <si>
    <t>0623h22</t>
  </si>
  <si>
    <t>0623h23</t>
  </si>
  <si>
    <t>0623h24</t>
  </si>
  <si>
    <t>S05b0514h01</t>
  </si>
  <si>
    <t>S05b0514h02</t>
  </si>
  <si>
    <t>S05b0514h03</t>
  </si>
  <si>
    <t>S05b0514h04</t>
  </si>
  <si>
    <t>S05b0514h05</t>
  </si>
  <si>
    <t>S05b0514h06</t>
  </si>
  <si>
    <t>S05b0514h07</t>
  </si>
  <si>
    <t>S05b0514h08</t>
  </si>
  <si>
    <t>S05b0514h09</t>
  </si>
  <si>
    <t>S05b0514h10</t>
  </si>
  <si>
    <t>S05b0514h11</t>
  </si>
  <si>
    <t>S05b0514h12</t>
  </si>
  <si>
    <t>S05b0514h13</t>
  </si>
  <si>
    <t>S05b0514h14</t>
  </si>
  <si>
    <t>S05b0514h15</t>
  </si>
  <si>
    <t>S05b0514h16</t>
  </si>
  <si>
    <t>S05b0514h17</t>
  </si>
  <si>
    <t>S05b0514h18</t>
  </si>
  <si>
    <t>S05b0514h19</t>
  </si>
  <si>
    <t>S05b0514h20</t>
  </si>
  <si>
    <t>S05b0514h21</t>
  </si>
  <si>
    <t>S05b0514h22</t>
  </si>
  <si>
    <t>S05b0514h23</t>
  </si>
  <si>
    <t>S05b0514h24</t>
  </si>
  <si>
    <t>S05b0515h01</t>
  </si>
  <si>
    <t>S05b0515h02</t>
  </si>
  <si>
    <t>S05b0515h03</t>
  </si>
  <si>
    <t>S05b0515h04</t>
  </si>
  <si>
    <t>S05b0515h05</t>
  </si>
  <si>
    <t>S05b0515h06</t>
  </si>
  <si>
    <t>S05b0515h07</t>
  </si>
  <si>
    <t>S05b0515h08</t>
  </si>
  <si>
    <t>S05b0515h09</t>
  </si>
  <si>
    <t>S05b0515h10</t>
  </si>
  <si>
    <t>S05b0515h11</t>
  </si>
  <si>
    <t>S05b0515h12</t>
  </si>
  <si>
    <t>S05b0515h13</t>
  </si>
  <si>
    <t>S05b0515h14</t>
  </si>
  <si>
    <t>S05b0515h15</t>
  </si>
  <si>
    <t>S05b0515h16</t>
  </si>
  <si>
    <t>S05b0515h17</t>
  </si>
  <si>
    <t>S05b0515h18</t>
  </si>
  <si>
    <t>S05b0515h19</t>
  </si>
  <si>
    <t>S05b0515h20</t>
  </si>
  <si>
    <t>S05b0515h21</t>
  </si>
  <si>
    <t>S05b0515h22</t>
  </si>
  <si>
    <t>S05b0515h23</t>
  </si>
  <si>
    <t>S05b0515h24</t>
  </si>
  <si>
    <t>S05b0516h01</t>
  </si>
  <si>
    <t>S05b0516h02</t>
  </si>
  <si>
    <t>S05b0516h03</t>
  </si>
  <si>
    <t>S05b0516h04</t>
  </si>
  <si>
    <t>S05b0516h05</t>
  </si>
  <si>
    <t>S05b0516h06</t>
  </si>
  <si>
    <t>S05b0516h07</t>
  </si>
  <si>
    <t>S05b0516h08</t>
  </si>
  <si>
    <t>S05b0516h09</t>
  </si>
  <si>
    <t>S05b0516h10</t>
  </si>
  <si>
    <t>S05b0516h11</t>
  </si>
  <si>
    <t>S05b0516h12</t>
  </si>
  <si>
    <t>S05b0516h13</t>
  </si>
  <si>
    <t>S05b0516h14</t>
  </si>
  <si>
    <t>S05b0516h15</t>
  </si>
  <si>
    <t>S05b0516h16</t>
  </si>
  <si>
    <t>S05b0516h17</t>
  </si>
  <si>
    <t>S05b0516h18</t>
  </si>
  <si>
    <t>S05b0516h19</t>
  </si>
  <si>
    <t>S05b0516h20</t>
  </si>
  <si>
    <t>S05b0516h21</t>
  </si>
  <si>
    <t>S05b0516h22</t>
  </si>
  <si>
    <t>S05b0516h23</t>
  </si>
  <si>
    <t>S05b0516h24</t>
  </si>
  <si>
    <t>S05b0517h01</t>
  </si>
  <si>
    <t>S05b0517h02</t>
  </si>
  <si>
    <t>S05b0517h03</t>
  </si>
  <si>
    <t>S05b0517h04</t>
  </si>
  <si>
    <t>S05b0517h05</t>
  </si>
  <si>
    <t>S05b0517h06</t>
  </si>
  <si>
    <t>S05b0517h07</t>
  </si>
  <si>
    <t>S05b0517h08</t>
  </si>
  <si>
    <t>S05b0517h09</t>
  </si>
  <si>
    <t>S05b0517h10</t>
  </si>
  <si>
    <t>S05b0517h11</t>
  </si>
  <si>
    <t>S05b0517h12</t>
  </si>
  <si>
    <t>S05b0517h13</t>
  </si>
  <si>
    <t>S05b0517h14</t>
  </si>
  <si>
    <t>S05b0517h15</t>
  </si>
  <si>
    <t>S05b0517h16</t>
  </si>
  <si>
    <t>S05b0517h17</t>
  </si>
  <si>
    <t>S05b0517h18</t>
  </si>
  <si>
    <t>S05b0517h19</t>
  </si>
  <si>
    <t>S05b0517h20</t>
  </si>
  <si>
    <t>S05b0517h21</t>
  </si>
  <si>
    <t>S05b0517h22</t>
  </si>
  <si>
    <t>S05b0517h23</t>
  </si>
  <si>
    <t>S05b0517h24</t>
  </si>
  <si>
    <t>S05b0519h01</t>
  </si>
  <si>
    <t>S05b0519h02</t>
  </si>
  <si>
    <t>S05b0519h03</t>
  </si>
  <si>
    <t>S05b0519h04</t>
  </si>
  <si>
    <t>S05b0519h05</t>
  </si>
  <si>
    <t>S05b0519h06</t>
  </si>
  <si>
    <t>S05b0519h07</t>
  </si>
  <si>
    <t>S05b0519h08</t>
  </si>
  <si>
    <t>S05b0519h09</t>
  </si>
  <si>
    <t>S05b0519h10</t>
  </si>
  <si>
    <t>S05b0519h11</t>
  </si>
  <si>
    <t>S05b0519h12</t>
  </si>
  <si>
    <t>S05b0519h13</t>
  </si>
  <si>
    <t>S05b0519h14</t>
  </si>
  <si>
    <t>S05b0519h15</t>
  </si>
  <si>
    <t>S05b0519h16</t>
  </si>
  <si>
    <t>S05b0519h17</t>
  </si>
  <si>
    <t>S05b0519h18</t>
  </si>
  <si>
    <t>S05b0519h19</t>
  </si>
  <si>
    <t>S05b0519h20</t>
  </si>
  <si>
    <t>S05b0519h21</t>
  </si>
  <si>
    <t>S05b0519h22</t>
  </si>
  <si>
    <t>S05b0519h23</t>
  </si>
  <si>
    <t>S05b0519h24</t>
  </si>
  <si>
    <t>S05b0520h01</t>
  </si>
  <si>
    <t>S05b0520h02</t>
  </si>
  <si>
    <t>S05b0520h03</t>
  </si>
  <si>
    <t>S05b0520h04</t>
  </si>
  <si>
    <t>S05b0520h05</t>
  </si>
  <si>
    <t>S05b0520h06</t>
  </si>
  <si>
    <t>S05b0520h07</t>
  </si>
  <si>
    <t>S05b0520h08</t>
  </si>
  <si>
    <t>S05b0520h09</t>
  </si>
  <si>
    <t>S05b0520h10</t>
  </si>
  <si>
    <t>S05b0520h11</t>
  </si>
  <si>
    <t>S05b0520h12</t>
  </si>
  <si>
    <t>S05b0520h13</t>
  </si>
  <si>
    <t>S05b0520h14</t>
  </si>
  <si>
    <t>S05b0520h15</t>
  </si>
  <si>
    <t>S05b0520h16</t>
  </si>
  <si>
    <t>S05b0520h17</t>
  </si>
  <si>
    <t>S05b0520h18</t>
  </si>
  <si>
    <t>S05b0520h19</t>
  </si>
  <si>
    <t>S05b0520h20</t>
  </si>
  <si>
    <t>S05b0520h21</t>
  </si>
  <si>
    <t>S05b0520h22</t>
  </si>
  <si>
    <t>S05b0520h23</t>
  </si>
  <si>
    <t>S05b0520h24</t>
  </si>
  <si>
    <t>S06c0619h01</t>
  </si>
  <si>
    <t>S06c0619h02</t>
  </si>
  <si>
    <t>S06c0619h03</t>
  </si>
  <si>
    <t>S06c0619h04</t>
  </si>
  <si>
    <t>S06c0619h05</t>
  </si>
  <si>
    <t>S06c0619h06</t>
  </si>
  <si>
    <t>S06c0619h07</t>
  </si>
  <si>
    <t>S06c0619h08</t>
  </si>
  <si>
    <t>S06c0619h09</t>
  </si>
  <si>
    <t>S06c0619h10</t>
  </si>
  <si>
    <t>S06c0619h11</t>
  </si>
  <si>
    <t>S06c0619h12</t>
  </si>
  <si>
    <t>S06c0619h13</t>
  </si>
  <si>
    <t>S06c0619h14</t>
  </si>
  <si>
    <t>S06c0619h15</t>
  </si>
  <si>
    <t>S06c0619h16</t>
  </si>
  <si>
    <t>S06c0619h17</t>
  </si>
  <si>
    <t>S06c0619h18</t>
  </si>
  <si>
    <t>S06c0619h19</t>
  </si>
  <si>
    <t>S06c0619h20</t>
  </si>
  <si>
    <t>S06c0619h21</t>
  </si>
  <si>
    <t>S06c0619h22</t>
  </si>
  <si>
    <t>S06c0619h23</t>
  </si>
  <si>
    <t>S06c0619h24</t>
  </si>
  <si>
    <t>S06c0620h01</t>
  </si>
  <si>
    <t>S06c0620h02</t>
  </si>
  <si>
    <t>S06c0620h03</t>
  </si>
  <si>
    <t>S06c0620h04</t>
  </si>
  <si>
    <t>S06c0620h05</t>
  </si>
  <si>
    <t>S06c0620h06</t>
  </si>
  <si>
    <t>S06c0620h07</t>
  </si>
  <si>
    <t>S06c0620h08</t>
  </si>
  <si>
    <t>S06c0620h09</t>
  </si>
  <si>
    <t>S06c0620h10</t>
  </si>
  <si>
    <t>S06c0620h11</t>
  </si>
  <si>
    <t>S06c0620h12</t>
  </si>
  <si>
    <t>S06c0620h13</t>
  </si>
  <si>
    <t>S06c0620h14</t>
  </si>
  <si>
    <t>S06c0620h15</t>
  </si>
  <si>
    <t>S06c0620h16</t>
  </si>
  <si>
    <t>S06c0620h17</t>
  </si>
  <si>
    <t>S06c0620h18</t>
  </si>
  <si>
    <t>S06c0620h19</t>
  </si>
  <si>
    <t>S06c0620h20</t>
  </si>
  <si>
    <t>S06c0620h21</t>
  </si>
  <si>
    <t>S06c0620h22</t>
  </si>
  <si>
    <t>S06c0620h23</t>
  </si>
  <si>
    <t>S06c0620h24</t>
  </si>
  <si>
    <t>S06c0621h01</t>
  </si>
  <si>
    <t>S06c0621h02</t>
  </si>
  <si>
    <t>S06c0621h03</t>
  </si>
  <si>
    <t>S06c0621h04</t>
  </si>
  <si>
    <t>S06c0621h05</t>
  </si>
  <si>
    <t>S06c0621h06</t>
  </si>
  <si>
    <t>S06c0621h07</t>
  </si>
  <si>
    <t>S06c0621h08</t>
  </si>
  <si>
    <t>S06c0621h09</t>
  </si>
  <si>
    <t>S06c0621h10</t>
  </si>
  <si>
    <t>S06c0621h11</t>
  </si>
  <si>
    <t>S06c0621h12</t>
  </si>
  <si>
    <t>S06c0621h13</t>
  </si>
  <si>
    <t>S06c0621h14</t>
  </si>
  <si>
    <t>S06c0621h15</t>
  </si>
  <si>
    <t>S06c0621h16</t>
  </si>
  <si>
    <t>S06c0621h17</t>
  </si>
  <si>
    <t>S06c0621h18</t>
  </si>
  <si>
    <t>S06c0621h19</t>
  </si>
  <si>
    <t>S06c0621h20</t>
  </si>
  <si>
    <t>S06c0621h21</t>
  </si>
  <si>
    <t>S06c0621h22</t>
  </si>
  <si>
    <t>S06c0621h23</t>
  </si>
  <si>
    <t>S06c0621h24</t>
  </si>
  <si>
    <t>S06c0622h01</t>
  </si>
  <si>
    <t>S06c0622h02</t>
  </si>
  <si>
    <t>S06c0622h03</t>
  </si>
  <si>
    <t>S06c0622h04</t>
  </si>
  <si>
    <t>S06c0622h05</t>
  </si>
  <si>
    <t>S06c0622h06</t>
  </si>
  <si>
    <t>S06c0622h07</t>
  </si>
  <si>
    <t>S06c0622h08</t>
  </si>
  <si>
    <t>S06c0622h09</t>
  </si>
  <si>
    <t>S06c0622h10</t>
  </si>
  <si>
    <t>S06c0622h11</t>
  </si>
  <si>
    <t>S06c0622h12</t>
  </si>
  <si>
    <t>S06c0622h13</t>
  </si>
  <si>
    <t>S06c0622h14</t>
  </si>
  <si>
    <t>S06c0622h15</t>
  </si>
  <si>
    <t>S06c0622h16</t>
  </si>
  <si>
    <t>S06c0622h17</t>
  </si>
  <si>
    <t>S06c0622h18</t>
  </si>
  <si>
    <t>S06c0622h19</t>
  </si>
  <si>
    <t>S06c0622h20</t>
  </si>
  <si>
    <t>S06c0622h21</t>
  </si>
  <si>
    <t>S06c0622h22</t>
  </si>
  <si>
    <t>S06c0622h23</t>
  </si>
  <si>
    <t>S06c0622h24</t>
  </si>
  <si>
    <t>S06c0623h01</t>
  </si>
  <si>
    <t>S06c0623h02</t>
  </si>
  <si>
    <t>S06c0623h03</t>
  </si>
  <si>
    <t>S06c0623h04</t>
  </si>
  <si>
    <t>S06c0623h05</t>
  </si>
  <si>
    <t>S06c0623h06</t>
  </si>
  <si>
    <t>S06c0623h07</t>
  </si>
  <si>
    <t>S06c0623h08</t>
  </si>
  <si>
    <t>S06c0623h09</t>
  </si>
  <si>
    <t>S06c0623h10</t>
  </si>
  <si>
    <t>S06c0623h11</t>
  </si>
  <si>
    <t>S06c0623h12</t>
  </si>
  <si>
    <t>S06c0623h13</t>
  </si>
  <si>
    <t>S06c0623h14</t>
  </si>
  <si>
    <t>S06c0623h15</t>
  </si>
  <si>
    <t>S06c0623h16</t>
  </si>
  <si>
    <t>S06c0623h17</t>
  </si>
  <si>
    <t>S06c0623h18</t>
  </si>
  <si>
    <t>S06c0623h19</t>
  </si>
  <si>
    <t>S06c0623h20</t>
  </si>
  <si>
    <t>S06c0623h21</t>
  </si>
  <si>
    <t>S06c0623h22</t>
  </si>
  <si>
    <t>S06c0623h23</t>
  </si>
  <si>
    <t>S06c0623h24</t>
  </si>
  <si>
    <t>S06c0624h01</t>
  </si>
  <si>
    <t>S06c0624h02</t>
  </si>
  <si>
    <t>S06c0624h03</t>
  </si>
  <si>
    <t>S06c0624h04</t>
  </si>
  <si>
    <t>S06c0624h05</t>
  </si>
  <si>
    <t>S06c0624h06</t>
  </si>
  <si>
    <t>S06c0624h07</t>
  </si>
  <si>
    <t>S06c0624h08</t>
  </si>
  <si>
    <t>S06c0624h09</t>
  </si>
  <si>
    <t>S06c0624h10</t>
  </si>
  <si>
    <t>S06c0624h11</t>
  </si>
  <si>
    <t>S06c0624h12</t>
  </si>
  <si>
    <t>S06c0624h13</t>
  </si>
  <si>
    <t>S06c0624h14</t>
  </si>
  <si>
    <t>S06c0624h15</t>
  </si>
  <si>
    <t>S06c0624h16</t>
  </si>
  <si>
    <t>S06c0624h17</t>
  </si>
  <si>
    <t>S06c0624h18</t>
  </si>
  <si>
    <t>S06c0624h19</t>
  </si>
  <si>
    <t>S06c0624h20</t>
  </si>
  <si>
    <t>S06c0624h21</t>
  </si>
  <si>
    <t>S06c0624h22</t>
  </si>
  <si>
    <t>S06c0624h23</t>
  </si>
  <si>
    <t>S06c0624h24</t>
  </si>
  <si>
    <t>S02aH06,S03aH05,S05aH05,S05b0517h08,S05b0518h15,S06aH04,S06c0618h08,S06c0618h10,S06c0619h08,S06c0619h17,S06c0622h18,S06c0623h10,S06c0624h12,S08aH04,S11aH02,S01aH03,S05aH02,S05aH03,S05aH06,S05b0516h08,S05b0516h14,S05b0516h16,S05b0520h17,S06c0619h10,S06c0620h14,S06c0621h10,S06c0623h16,S06c0624h13,S01aH06,S02aH03,S05b0516h07,S05b0516h11,S05b0517h12,S05b0517h17,S05b0520h12,S06c0618h16,S06c0619h09,S06c0620h07,S06c0621h14,S06c0622h08,S06c0622h10,S06c0622h15,S06c0623h11,S06c0624h15,S07aH03,S08aH06,S05b0514h14,S05b0515h08,S05b0515h14,S05b0515h18,S05b0517h10,S05b0519h17,S05b0520h08,S06c0621h11,S06c0623h17,S08aH02,S09aH06,S03aH04,S05b0515h11,S05b0519h10,S05b0519h15,S05b0519h16,S06c0618h09,S06c0618h12,S06c0619h15,S06c0621h15,S06c0622h11,S06c0623h12,S06c0624h14,S08aH05,S11aH05,S12aH03,S03aH02,S05b0516h09,S05b0516h17,S05b0517h16,S05b0518h10,S05b0518h13,S05b0519h07,S05b0519h12,S06c0618h07,S06c0618h18,S06c0619h11,S06c0619h13,S06c0619h16,S06c0623h14,S07aH05,S01aH04,S05b0514h12,S05b0514h17,S05b0515h09,S05b0515h10,S05b0519h09,S05b0520h10,S06c0618h17,S06c0620h08,S06c0620h11,S06c0620h18,S06c0621h08,S06c0624h07,S06c0624h08,S07aH02,S07aH06,S03aH03,S05b0518h12,S06c0618h15,S06c0619h07,S06c0620h12,S06c0620h13,S06c0621h13,S06c0621h18,S06c0623h09,S09aH05,S04aH02,S05b0514h10,S05b0515h07,S05b0517h18,S05b0519h13,S05b0520h09,S05b0520h11,S05b0520h13,S06c0620h09,S06c0620h10,S06c0622h17,S06c0623h13,S09aH02,S09aH03,S11aH03,S11aH04,S01aH02,S04aH04,S05b0515h15,S05b0515h16,S05b0515h17,S05b0517h13,S05b0518h08,S05b0518h18,S06c0618h13,S06c0621h09,S06c0621h12,S06c0622h12,S06c0622h14,S04aH03,S05b0514h13,S05b0514h16,S05b0516h15,S05b0516h18,S05b0517h11,S05b0518h09,S05b0518h11,S06c0620h16,S06c0621h07,S06c0621h16,S06c0621h17,S06c0623h08,S06c0624h10,S07aH04,S08aH03,S09aH04,S12aH02,S04aH05,S05b0514h07,S05b0515h13,S05b0520h18,S06c0619h14,S06c0622h09,S06c0624h17,S02aH02,S05b0514h11,S05b0515h12,S05b0516h12,S05b0518h16,S05b0518h17,S05b0519h08,S05b0519h11,S05b0520h15,S05b0520h16,S06aH06,S06c0620h17,S06c0624h16,S01aH05,S03aH06,S05b0514h15,S05b0514h18,S05b0517h07,S05b0519h14,S05b0520h07,S06aH05,S06c0620h15,S06c0624h18,S10aH02,S10aH06,S11aH06,S12aH04,S12aH05,S02aH04,S02aH05,S05b0514h08,S05b0516h10,S05b0516h13,S05b0517h15,S05b0518h14,S05b0520h14,S06c0618h11,S06c0618h14,S06c0619h12,S06c0619h18,S06c0622h07,S06c0622h13,S06c0623h07,S06c0623h15,S06c0623h18,S06c0624h11,S10aH03,S10aH05,S04aH06,S05aH04,S05b0514h09,S05b0517h09,S05b0517h14,S05b0518h07,S05b0519h18,S06aH02,S06aH03,S06c0622h16,S06c0624h09,S10aH04,S12aH06</t>
  </si>
  <si>
    <t>S05b0514h01,S05b0514h20,S05b0514h21,S05b0515h23,S05b0517h05,S05b0519h23,S06aH07,S06c0618h02,S06c0619h19,S06c0619h22,S06c0620h24,S06c0622h01,S06c0622h06,S07aH07,S07aH08,S08aH08,S05b0514h03,S05b0514h06,S05b0514h19,S05b0514h24,S05b0515h22,S05b0516h06,S05b0516h21,S05b0518h04,S05b0518h06,S05b0520h22,S06c0620h22,S06c0621h19,S06c0622h05,S06c0622h22,S09aH01,S11aH07,S01aH01,S04aH01,S05b0515h03,S05b0516h03,S05b0517h03,S05b0518h01,S05b0519h20,S06c0618h04,S06c0618h05,S06c0619h23,S06c0623h22,S09aH08,S11aH01,S04aH08,S05b0515h06,S05b0516h05,S05b0516h20,S05b0519h24,S05b0520h03,S05b0520h06,S06aH01,S06c0618h24,S06c0623h04,S06c0623h20,S06c0623h21,S06c0624h03,S12aH08,S01aH07,S02aH07,S05aH01,S05b0514h05,S05b0515h05,S05b0516h19,S05b0517h22,S05b0519h21,S05b0520h23,S06c0618h21,S06c0619h05,S06c0621h20,S06c0621h24,S06c0623h01,S06c0623h02,S05b0517h02,S05b0518h05,S05b0519h02,S05b0519h04,S05b0520h01,S06c0618h06,S06c0618h20,S06c0619h21,S06c0620h05,S06c0624h19,S08aH07,S05b0517h01,S05b0517h04,S06c0619h02,S06c0624h01,S06c0624h02,S08aH01,S09aH07,S10aH01,S05b0515h04,S05b0515h24,S05b0516h01,S05b0517h19,S06c0619h20,S06c0620h20,S06c0621h21,S06c0622h04,S11aH08,S05b0515h20,S05b0515h21,S05b0517h20,S05b0517h21,S05b0518h02,S05b0518h03,S05b0518h20,S06c0620h01,S01aH08,S02aH08,S03aH07,S05b0514h23,S05b0515h01,S05b0515h19,S05b0517h24,S05b0518h22,S06c0619h04,S06c0620h02,S06c0620h04,S06c0620h21,S06c0620h23,S06c0621h04,S06c0621h23,S06c0623h24,S02aH01,S05b0516h24,S05b0519h03,S05b0519h06,S05b0519h22,S05b0520h05,S06c0618h23,S06c0619h24,S06c0620h03,S06c0621h03,S06c0622h19,S06c0622h21,S06c0622h24,S06c0623h23,S05aH08,S05b0514h22,S05b0516h04,S05b0518h21,S05b0518h24,S06c0618h19,S06c0619h01,S06c0619h03,S06c0621h22,S06c0622h02,S06c0623h05,S06c0624h20,S10aH08,S03aH01,S05b0517h06,S05b0517h23,S05b0518h19,S05b0518h23,S05b0520h20,S05b0520h21,S06c0624h04,S06c0624h24,S12aH07,S05b0516h02,S05b0520h02,S06c0620h19,S06c0621h01,S06c0621h05,S06c0623h19,S03aH08,S04aH07,S05b0514h02,S05b0514h04,S05b0516h23,S05b0519h19,S05b0520h19,S06aH08,S06c0618h22,S06c0620h06,S06c0621h02,S06c0623h06,S06c0624h05,S06c0624h06,S06c0624h23,S12aH01,S05aH07,S05b0515h02,S05b0516h22,S05b0519h01,S05b0519h05,S05b0520h04,S05b0520h24,S06c0618h01,S06c0618h03,S06c0619h06,S06c0621h06,S06c0622h03,S06c0622h20,S06c0622h23,S06c0623h03,S06c0624h21,S06c0624h22,S07aH01,S10aH07</t>
  </si>
  <si>
    <t>S10e1013h01</t>
  </si>
  <si>
    <t>S10e1013h02</t>
  </si>
  <si>
    <t>S10e1013h03</t>
  </si>
  <si>
    <t>S10e1013h04</t>
  </si>
  <si>
    <t>S10e1013h05</t>
  </si>
  <si>
    <t>S10e1013h06</t>
  </si>
  <si>
    <t>S10e1013h07</t>
  </si>
  <si>
    <t>S10e1013h08</t>
  </si>
  <si>
    <t>S10e1013h09</t>
  </si>
  <si>
    <t>S10e1013h10</t>
  </si>
  <si>
    <t>S10e1013h11</t>
  </si>
  <si>
    <t>S10e1013h12</t>
  </si>
  <si>
    <t>S10e1013h13</t>
  </si>
  <si>
    <t>S10e1013h14</t>
  </si>
  <si>
    <t>S10e1013h15</t>
  </si>
  <si>
    <t>S10e1013h16</t>
  </si>
  <si>
    <t>S10e1013h17</t>
  </si>
  <si>
    <t>S10e1013h18</t>
  </si>
  <si>
    <t>S10e1013h19</t>
  </si>
  <si>
    <t>S10e1013h20</t>
  </si>
  <si>
    <t>S10e1013h21</t>
  </si>
  <si>
    <t>S10e1013h22</t>
  </si>
  <si>
    <t>S10e1013h23</t>
  </si>
  <si>
    <t>S10e1013h24</t>
  </si>
  <si>
    <t>S02aH06,S03aH05,S05aH05,S05b0517h08,S05b0518h15,S06aH04,S06c0618h08,S06c0618h10,S06c0619h08,S06c0619h17,S06c0622h18,S06c0623h10,S06c0624h12,S08aH04,S10e1013h08,S10e1013h18,S11aH02,S03aH04,S05b0515h11,S05b0519h10,S05b0519h15,S05b0519h16,S06c0618h09,S06c0618h12,S06c0619h15,S06c0621h15,S06c0622h11,S06c0623h12,S06c0624h14,S08aH05,S09d0923h10,S10e1013h11,S11aH05,S12aH03,S04aH05,S05b0514h07,S05b0515h13,S05b0520h18,S06c0619h14,S06c0622h09,S06c0624h17,S09d0923h07,S10e1013h17,S02aH02,S05b0514h11,S05b0515h12,S05b0516h12,S05b0518h16,S05b0518h17,S05b0519h08,S05b0519h11,S05b0520h15,S05b0520h16,S06aH06,S06c0620h17,S06c0624h16,S09d0923h11,S05b0514h14,S05b0515h08,S05b0515h14,S05b0515h18,S05b0517h10,S05b0519h17,S05b0520h08,S06c0621h11,S06c0623h17,S08aH02,S09aH06,S04aH03,S05b0514h13,S05b0514h16,S05b0516h15,S05b0516h18,S05b0517h11,S05b0518h09,S05b0518h11,S06c0620h16,S06c0621h07,S06c0621h16,S06c0621h17,S06c0623h08,S06c0624h10,S07aH04,S08aH03,S09aH04,S09d0923h08,S09d0923h17,S10e1013h07,S12aH02,S03aH02,S05b0516h09,S05b0516h17,S05b0517h16,S05b0518h10,S05b0518h13,S05b0519h07,S05b0519h12,S06c0618h07,S06c0618h18,S06c0619h11,S06c0619h13,S06c0619h16,S06c0623h14,S07aH05,S09d0923h16,S10e1013h09,S02aH04,S02aH05,S05b0514h08,S05b0516h10,S05b0516h13,S05b0517h15,S05b0518h14,S05b0520h14,S06c0618h11,S06c0618h14,S06c0619h12,S06c0619h18,S06c0622h07,S06c0622h13,S06c0623h07,S06c0623h15,S06c0623h18,S06c0624h11,S10aH03,S10aH05,S04aH06,S05aH04,S05b0514h09,S05b0517h09,S05b0517h14,S05b0518h07,S05b0519h18,S06aH02,S06aH03,S06c0622h16,S06c0624h09,S09d0923h15,S10aH04,S10e1013h14,S12aH06,S03aH03,S05b0518h12,S06c0618h15,S06c0619h07,S06c0620h12,S06c0620h13,S06c0621h13,S06c0621h18,S06c0623h09,S09aH05,S10e1013h16,S04aH02,S05b0514h10,S05b0515h07,S05b0517h18,S05b0519h13,S05b0520h09,S05b0520h11,S05b0520h13,S06c0620h09,S06c0620h10,S06c0622h17,S06c0623h13,S09aH02,S09aH03,S09d0923h09,S09d0923h18,S10e1013h13,S11aH03,S11aH04,S01aH02,S04aH04,S05b0515h15,S05b0515h16,S05b0515h17,S05b0517h13,S05b0518h08,S05b0518h18,S06c0618h13,S06c0621h09,S06c0621h12,S06c0622h12,S06c0622h14,S09d0923h13,S01aH04,S05b0514h12,S05b0514h17,S05b0515h09,S05b0515h10,S05b0519h09,S05b0520h10,S06c0618h17,S06c0620h08,S06c0620h11,S06c0620h18,S06c0621h08,S06c0624h07,S06c0624h08,S07aH02,S07aH06,S10e1013h12,S10e1013h15,S01aH03,S05aH02,S05aH03,S05aH06,S05b0516h08,S05b0516h14,S05b0516h16,S05b0520h17,S06c0619h10,S06c0620h14,S06c0621h10,S06c0623h16,S06c0624h13,S09d0923h14,S01aH06,S02aH03,S05b0516h07,S05b0516h11,S05b0517h12,S05b0517h17,S05b0520h12,S06c0618h16,S06c0619h09,S06c0620h07,S06c0621h14,S06c0622h08,S06c0622h10,S06c0622h15,S06c0623h11,S06c0624h15,S07aH03,S08aH06,S09d0923h12,S01aH05,S03aH06,S05b0514h15,S05b0514h18,S05b0517h07,S05b0519h14,S05b0520h07,S06aH05,S06c0620h15,S06c0624h18,S10aH02,S10aH06,S10e1013h10,S11aH06,S12aH04,S12aH05</t>
  </si>
  <si>
    <t>S05b0514h01,S05b0514h20,S05b0514h21,S05b0515h23,S05b0517h05,S05b0519h23,S06aH07,S06c0618h02,S06c0619h19,S06c0619h22,S06c0620h24,S06c0622h01,S06c0622h06,S07aH07,S07aH08,S08aH08,S10e1013h01,S10e1013h05,S01aH07,S02aH07,S05aH01,S05b0514h05,S05b0515h05,S05b0516h19,S05b0517h22,S05b0519h21,S05b0520h23,S06c0618h21,S06c0619h05,S06c0621h20,S06c0621h24,S06c0623h01,S06c0623h02,S05aH08,S05b0514h22,S05b0516h04,S05b0518h21,S05b0518h24,S06c0618h19,S06c0619h01,S06c0619h03,S06c0621h22,S06c0622h02,S06c0623h05,S06c0624h20,S09d0923h21,S10aH08,S03aH01,S05b0517h06,S05b0517h23,S05b0518h19,S05b0518h23,S05b0520h20,S05b0520h21,S06c0624h04,S06c0624h24,S09d0923h04,S12aH07,S04aH08,S05b0515h06,S05b0516h05,S05b0516h20,S05b0519h24,S05b0520h03,S05b0520h06,S06aH01,S06c0618h24,S06c0623h04,S06c0623h20,S06c0623h21,S06c0624h03,S12aH08,S02aH01,S05b0516h24,S05b0519h03,S05b0519h06,S05b0519h22,S05b0520h05,S06c0618h23,S06c0619h24,S06c0620h03,S06c0621h03,S06c0622h19,S06c0622h21,S06c0622h24,S06c0623h23,S10e1013h02,S05b0517h02,S05b0518h05,S05b0519h02,S05b0519h04,S05b0520h01,S06c0618h06,S06c0618h20,S06c0619h21,S06c0620h05,S06c0624h19,S08aH07,S09d0923h01,S09d0923h06,S10e1013h03,S03aH08,S04aH07,S05b0514h02,S05b0514h04,S05b0516h23,S05b0519h19,S05b0520h19,S06aH08,S06c0618h22,S06c0620h06,S06c0621h02,S06c0623h06,S06c0624h05,S06c0624h06,S06c0624h23,S09d0923h24,S10e1013h21,S12aH01,S05aH07,S05b0515h02,S05b0516h22,S05b0519h01,S05b0519h05,S05b0520h04,S05b0520h24,S06c0618h01,S06c0618h03,S06c0619h06,S06c0621h06,S06c0622h03,S06c0622h20,S06c0622h23,S06c0623h03,S06c0624h21,S06c0624h22,S07aH01,S10aH07,S10e1013h22,S10e1013h23,S05b0515h04,S05b0515h24,S05b0516h01,S05b0517h19,S06c0619h20,S06c0620h20,S06c0621h21,S06c0622h04,S09d0923h22,S10e1013h06,S10e1013h24,S11aH08,S05b0515h20,S05b0515h21,S05b0517h20,S05b0517h21,S05b0518h02,S05b0518h03,S05b0518h20,S06c0620h01,S09d0923h23,S01aH08,S02aH08,S03aH07,S05b0514h23,S05b0515h01,S05b0515h19,S05b0517h24,S05b0518h22,S06c0619h04,S06c0620h02,S06c0620h04,S06c0620h21,S06c0620h23,S06c0621h04,S06c0621h23,S06c0623h24,S10e1013h20,S05b0517h01,S05b0517h04,S06c0619h02,S06c0624h01,S06c0624h02,S08aH01,S09aH07,S09d0923h19,S10aH01,S05b0514h03,S05b0514h06,S05b0514h19,S05b0514h24,S05b0515h22,S05b0516h06,S05b0516h21,S05b0518h04,S05b0518h06,S05b0520h22,S06c0620h22,S06c0621h19,S06c0622h05,S06c0622h22,S09aH01,S09d0923h02,S09d0923h03,S09d0923h20,S11aH07,S01aH01,S04aH01,S05b0515h03,S05b0516h03,S05b0517h03,S05b0518h01,S05b0519h20,S06c0618h04,S06c0618h05,S06c0619h23,S06c0623h22,S09aH08,S09d0923h05,S11aH01,S05b0516h02,S05b0520h02,S06c0620h19,S06c0621h01,S06c0621h05,S06c0623h19,S10e1013h04,S10e1013h19</t>
  </si>
  <si>
    <t>S01,S02,S03,S04</t>
  </si>
  <si>
    <t>S03aH02,S04aH02,S02aH02,S01aH02</t>
  </si>
  <si>
    <t>S01aH01,S04aH01,S02aH03,S04aH03,S01aH03,S02aH01,S03aH01,S03aH03</t>
  </si>
  <si>
    <t>S01aH04,S04aH02,S04aH03,S03aH02,S02aH03,S01aH02,S04aH04,S01aH03,S03aH04,S02aH04,S03aH03,S02aH02</t>
  </si>
  <si>
    <t>S02aH01,S01aH01,S04aH01,S04aH06,S01aH05,S03aH06,S02aH05,S04aH05,S02aH06,S03aH05,S01aH06,S03aH01</t>
  </si>
  <si>
    <t>S01,S02,S03,S04,S05,S06,S07,S08</t>
  </si>
  <si>
    <t>S06aH04,S08aH04,S02aH03,S07aH03,S02aH02,S08aH02,S02aH04,S03aH02,S03aH04,S01aH02,S04aH04,S01aH04,S07aH02,S04aH02,S04aH03,S07aH04,S08aH03,S05aH04,S06aH02,S06aH03,S03aH03,S01aH03,S05aH02,S05aH03</t>
  </si>
  <si>
    <t>S02aH05,S01aH01,S04aH01,S04aH06,S03aH01,S04aH05,S06aH01,S02aH06,S03aH05,S05aH05,S05aH01,S07aH06,S01aH05,S03aH06,S06aH05,S08aH01,S08aH05,S07aH05,S02aH01,S05aH06,S01aH06,S07aH01,S08aH06,S06aH06</t>
  </si>
  <si>
    <t>S02aH06,S03aH05,S05aH05,S06aH04,S08aH04,S04aH02,S01aH02,S04aH04,S04aH05,S01aH06,S02aH03,S07aH03,S08aH06,S04aH03,S07aH04,S08aH03,S08aH02,S03aH04,S08aH05,S01aH04,S07aH02,S07aH06,S01aH03,S05aH02,S05aH03,S05aH06,S03aH02,S07aH05,S01aH05,S03aH06,S06aH05,S02aH02,S06aH06,S04aH06,S05aH04,S06aH02,S06aH03,S02aH04,S02aH05,S03aH03</t>
  </si>
  <si>
    <t>S06aH07,S07aH07,S07aH08,S08aH08,S01aH08,S02aH08,S03aH07,S05aH08,S01aH01,S04aH01,S02aH01,S04aH08,S06aH01,S01aH07,S02aH07,S05aH01,S08aH01,S08aH07,S03aH01,S05aH07,S07aH01,S03aH08,S04aH07,S06aH08</t>
  </si>
  <si>
    <t>S01aH06,S02aH03,S07aH03,S08aH06,S03aH04,S08aH05,S11aH05,S12aH03,S04aH03,S07aH04,S08aH03,S09aH04,S12aH02,S04aH06,S05aH04,S06aH02,S06aH03,S10aH04,S12aH06,S04aH02,S09aH02,S09aH03,S11aH03,S11aH04,S02aH02,S06aH06,S02aH06,S03aH05,S05aH05,S06aH04,S08aH04,S11aH02,S03aH03,S09aH05,S01aH03,S05aH02,S05aH03,S05aH06,S04aH05,S01aH04,S07aH02,S07aH06,S08aH02,S09aH06,S03aH02,S07aH05,S01aH02,S04aH04,S02aH04,S02aH05,S10aH03,S10aH05,S01aH05,S03aH06,S06aH05,S10aH02,S10aH06,S11aH06,S12aH04,S12aH05</t>
  </si>
  <si>
    <t>S01aH01,S04aH01,S09aH08,S11aH01,S01aH07,S02aH07,S05aH01,S02aH01,S05aH07,S07aH01,S10aH07,S03aH01,S12aH07,S06aH07,S07aH07,S07aH08,S08aH08,S11aH08,S09aH01,S11aH07,S05aH08,S10aH08,S08aH01,S09aH07,S10aH01,S04aH08,S06aH01,S12aH08,S08aH07,S01aH08,S02aH08,S03aH07,S03aH08,S04aH07,S06aH08,S12aH01</t>
  </si>
  <si>
    <t>S04aH05,S04aH03,S07aH04,S08aH03,S09aH04,S12aH02,S04aH06,S05aH04,S06aH02,S06aH03,S10aH04,S12aH06,S01aH04,S07aH02,S07aH06,S03aH02,S07aH05,S02aH04,S02aH05,S10aH03,S10aH05,S03aH04,S08aH05,S11aH05,S12aH03,S01aH05,S03aH06,S06aH05,S10aH02,S10aH06,S11aH06,S12aH04,S12aH05,S01aH06,S02aH03,S07aH03,S08aH06,S03aH03,S09aH05,S02aH02,S06aH06,S02aH06,S03aH05,S05aH05,S06aH04,S08aH04,S11aH02,S08aH02,S09aH06,S04aH02,S09aH02,S09aH03,S11aH03,S11aH04,S01aH02,S04aH04,S01aH03,S05aH02,S05aH03,S05aH06</t>
  </si>
  <si>
    <t>S05aH08,S10aH08,S02aH01,S05aH07,S07aH01,S10aH07,S08aH01,S09aH07,S10aH01,S08aH07,S03aH08,S04aH07,S06aH08,S12aH01,S01aH07,S02aH07,S05aH01,S01aH01,S04aH01,S09aH08,S11aH01,S11aH08,S03aH01,S12aH07,S06aH07,S07aH07,S07aH08,S08aH08,S04aH08,S06aH01,S12aH08,S01aH08,S02aH08,S03aH07,S09aH01,S11aH07</t>
  </si>
  <si>
    <t>S03aH03,S09aH05,S04aH06,S05aH04,S06aH02,S06aH03,S10aH04,S12aH06,S02aH02,S06aH06,S02aH04,S02aH05,S10aH03,S10aH05,S04aH03,S07aH04,S08aH03,S09aH04,S12aH02,S04aH02,S09aH02,S09aH03,S11aH03,S11aH04,S08aH02,S09aH06,S02aH06,S03aH05,S05aH05,S06aH04,S08aH04,S11aH02,S03aH02,S07aH05,S04aH05,S01aH03,S05aH02,S05aH03,S05aH06,S01aH05,S03aH06,S06aH05,S10aH02,S10aH06,S11aH06,S12aH04,S12aH05,S01aH04,S07aH02,S07aH06,S03aH04,S08aH05,S11aH05,S12aH03,S01aH06,S02aH03,S07aH03,S08aH06,S01aH02,S04aH04</t>
  </si>
  <si>
    <t>S11aH08,S05aH07,S07aH01,S10aH07,S03aH01,S12aH07,S03aH08,S04aH07,S06aH08,S12aH01,S02aH01,S04aH08,S06aH01,S12aH08,S06aH07,S07aH07,S07aH08,S08aH08,S08aH07,S05aH08,S10aH08,S09aH01,S11aH07,S08aH01,S09aH07,S10aH01,S01aH07,S02aH07,S05aH01,S01aH01,S04aH01,S09aH08,S11aH01,S01aH08,S02aH08,S03aH07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</si>
  <si>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</si>
  <si>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</si>
  <si>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</si>
  <si>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</si>
  <si>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</si>
  <si>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</si>
  <si>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</si>
  <si>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</si>
  <si>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</si>
  <si>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</si>
  <si>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</si>
  <si>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</si>
  <si>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</si>
  <si>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</si>
  <si>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</si>
  <si>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</si>
  <si>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</si>
  <si>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</si>
  <si>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</si>
  <si>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</si>
  <si>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</si>
  <si>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SaD,WaD,RaP,FaP,SaP,FaD,RaD,WaP</t>
  </si>
  <si>
    <t>FaP,SaP,RaP,FaN,SaN,WaN,WaP,RaN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</si>
</sst>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270.82</c:v>
                </c:pt>
                <c:pt idx="1">
                  <c:v>268.11180000000002</c:v>
                </c:pt>
                <c:pt idx="2">
                  <c:v>270.82</c:v>
                </c:pt>
                <c:pt idx="3">
                  <c:v>273.52819999999997</c:v>
                </c:pt>
                <c:pt idx="4">
                  <c:v>306.02659999999997</c:v>
                </c:pt>
                <c:pt idx="5">
                  <c:v>324.98399999999998</c:v>
                </c:pt>
                <c:pt idx="6">
                  <c:v>360.19060000000002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56.33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8"/>
  <sheetViews>
    <sheetView workbookViewId="0">
      <selection activeCell="A21" sqref="A21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8" x14ac:dyDescent="0.45">
      <c r="G1" s="18" t="s">
        <v>145</v>
      </c>
    </row>
    <row r="2" spans="1:38" x14ac:dyDescent="0.45">
      <c r="D2" s="1" t="str">
        <f>"~Inputcell: "&amp;_xlfn.TEXTJOIN(",",TRUE,G1:EE1)</f>
        <v>~Inputcell: 1-70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3</v>
      </c>
    </row>
    <row r="5" spans="1:38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8" x14ac:dyDescent="0.45">
      <c r="B7" s="16" t="s">
        <v>121</v>
      </c>
    </row>
    <row r="8" spans="1:38" ht="14.65" thickBot="1" x14ac:dyDescent="0.5">
      <c r="A8" s="4" t="s">
        <v>126</v>
      </c>
      <c r="B8" s="4" t="s">
        <v>122</v>
      </c>
      <c r="C8" s="4" t="s">
        <v>123</v>
      </c>
      <c r="D8" s="4" t="s">
        <v>124</v>
      </c>
      <c r="E8" s="4" t="s">
        <v>125</v>
      </c>
    </row>
    <row r="9" spans="1:38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109</v>
      </c>
      <c r="AI9" t="s">
        <v>143</v>
      </c>
      <c r="AJ9" s="10">
        <v>1</v>
      </c>
      <c r="AK9" t="s">
        <v>0</v>
      </c>
      <c r="AL9" t="s">
        <v>112</v>
      </c>
    </row>
    <row r="10" spans="1:38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134</v>
      </c>
      <c r="AI10" t="s">
        <v>142</v>
      </c>
      <c r="AJ10" s="10">
        <v>1</v>
      </c>
      <c r="AK10" t="s">
        <v>2</v>
      </c>
      <c r="AL10" t="s">
        <v>114</v>
      </c>
    </row>
    <row r="11" spans="1:38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127</v>
      </c>
      <c r="AI11" t="s">
        <v>141</v>
      </c>
      <c r="AJ11" s="10">
        <v>1</v>
      </c>
      <c r="AK11" t="s">
        <v>5</v>
      </c>
      <c r="AL11" t="s">
        <v>116</v>
      </c>
    </row>
    <row r="12" spans="1:38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270.82</v>
      </c>
      <c r="T12" s="2" t="s">
        <v>57</v>
      </c>
      <c r="AG12">
        <v>4</v>
      </c>
      <c r="AH12" t="s">
        <v>128</v>
      </c>
      <c r="AI12" t="s">
        <v>140</v>
      </c>
      <c r="AJ12" s="10">
        <v>1</v>
      </c>
      <c r="AK12" t="s">
        <v>7</v>
      </c>
      <c r="AL12" t="s">
        <v>118</v>
      </c>
    </row>
    <row r="13" spans="1:38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129</v>
      </c>
      <c r="AI13" t="s">
        <v>139</v>
      </c>
      <c r="AJ13" s="10">
        <v>1</v>
      </c>
      <c r="AK13" t="s">
        <v>9</v>
      </c>
      <c r="AL13" t="s">
        <v>119</v>
      </c>
    </row>
    <row r="14" spans="1:38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270.82</v>
      </c>
      <c r="U14" s="8">
        <f t="shared" ref="U14:Z14" si="3">$S$12*J15</f>
        <v>268.11180000000002</v>
      </c>
      <c r="V14" s="8">
        <f t="shared" si="3"/>
        <v>270.82</v>
      </c>
      <c r="W14" s="8">
        <f t="shared" si="3"/>
        <v>273.52819999999997</v>
      </c>
      <c r="X14" s="8">
        <f t="shared" si="3"/>
        <v>306.02659999999997</v>
      </c>
      <c r="Y14" s="8">
        <f t="shared" si="3"/>
        <v>324.98399999999998</v>
      </c>
      <c r="Z14" s="8">
        <f t="shared" si="3"/>
        <v>360.19060000000002</v>
      </c>
      <c r="AG14">
        <v>6</v>
      </c>
      <c r="AH14" t="s">
        <v>130</v>
      </c>
      <c r="AI14" t="s">
        <v>138</v>
      </c>
      <c r="AJ14" s="10">
        <f>AJ9+1</f>
        <v>2</v>
      </c>
    </row>
    <row r="15" spans="1:38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0.99</v>
      </c>
      <c r="K15" s="11">
        <f>SUMIFS(ar6_r10!$F$2:$F$999,ar6_r10!$A$2:$A$999,Veda!$E$5,ar6_r10!$C$2:$C$999,Veda!K$17,ar6_r10!$M$2:$M$999,Veda!$G15)</f>
        <v>1</v>
      </c>
      <c r="L15" s="11">
        <f>SUMIFS(ar6_r10!$F$2:$F$999,ar6_r10!$A$2:$A$999,Veda!$E$5,ar6_r10!$C$2:$C$999,Veda!L$17,ar6_r10!$M$2:$M$999,Veda!$G15)</f>
        <v>1.01</v>
      </c>
      <c r="M15" s="11">
        <f>SUMIFS(ar6_r10!$F$2:$F$999,ar6_r10!$A$2:$A$999,Veda!$E$5,ar6_r10!$C$2:$C$999,Veda!M$17,ar6_r10!$M$2:$M$999,Veda!$G15)</f>
        <v>1.1299999999999999</v>
      </c>
      <c r="N15" s="11">
        <f>SUMIFS(ar6_r10!$F$2:$F$999,ar6_r10!$A$2:$A$999,Veda!$E$5,ar6_r10!$C$2:$C$999,Veda!N$17,ar6_r10!$M$2:$M$999,Veda!$G15)</f>
        <v>1.2</v>
      </c>
      <c r="O15" s="11">
        <f>SUMIFS(ar6_r10!$F$2:$F$999,ar6_r10!$A$2:$A$999,Veda!$E$5,ar6_r10!$C$2:$C$999,Veda!O$17,ar6_r10!$M$2:$M$999,Veda!$G15)</f>
        <v>1.33</v>
      </c>
      <c r="AG15">
        <v>7</v>
      </c>
      <c r="AH15" t="s">
        <v>131</v>
      </c>
      <c r="AI15" t="s">
        <v>137</v>
      </c>
      <c r="AJ15" s="10">
        <f t="shared" ref="AJ15:AJ78" si="5">AJ10+1</f>
        <v>2</v>
      </c>
    </row>
    <row r="16" spans="1:38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132</v>
      </c>
      <c r="AI16" t="s">
        <v>136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133</v>
      </c>
      <c r="AI17" t="s">
        <v>135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2.7352819999999998</v>
      </c>
      <c r="X18" s="6">
        <f t="shared" si="7"/>
        <v>3.0602659999999999</v>
      </c>
      <c r="Y18" s="6">
        <f t="shared" si="7"/>
        <v>6.4996799999999997</v>
      </c>
      <c r="Z18" s="6">
        <f t="shared" si="7"/>
        <v>10.805718000000001</v>
      </c>
      <c r="AA18" t="s">
        <v>17</v>
      </c>
      <c r="AC18" s="2"/>
      <c r="AG18">
        <v>10</v>
      </c>
      <c r="AH18" t="s">
        <v>104</v>
      </c>
      <c r="AI18" t="s">
        <v>111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0.34</v>
      </c>
      <c r="J19" s="11">
        <f>SUMIFS(ar6_r10!$F$2:$F$999,ar6_r10!$A$2:$A$999,Veda!$E$5,ar6_r10!$C$2:$C$999,Veda!J$17,ar6_r10!$M$2:$M$999,Veda!$G19)</f>
        <v>0.3</v>
      </c>
      <c r="K19" s="11">
        <f>SUMIFS(ar6_r10!$F$2:$F$999,ar6_r10!$A$2:$A$999,Veda!$E$5,ar6_r10!$C$2:$C$999,Veda!K$17,ar6_r10!$M$2:$M$999,Veda!$G19)</f>
        <v>0.28999999999999998</v>
      </c>
      <c r="L19" s="11">
        <f>SUMIFS(ar6_r10!$F$2:$F$999,ar6_r10!$A$2:$A$999,Veda!$E$5,ar6_r10!$C$2:$C$999,Veda!L$17,ar6_r10!$M$2:$M$999,Veda!$G19)</f>
        <v>0.27</v>
      </c>
      <c r="M19" s="11">
        <f>SUMIFS(ar6_r10!$F$2:$F$999,ar6_r10!$A$2:$A$999,Veda!$E$5,ar6_r10!$C$2:$C$999,Veda!M$17,ar6_r10!$M$2:$M$999,Veda!$G19)</f>
        <v>0.28000000000000003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0.28999999999999998</v>
      </c>
      <c r="S19" s="10" t="s">
        <v>19</v>
      </c>
      <c r="T19" s="6">
        <f t="shared" si="7"/>
        <v>92.078800000000001</v>
      </c>
      <c r="U19" s="6">
        <f t="shared" si="7"/>
        <v>80.433540000000008</v>
      </c>
      <c r="V19" s="6">
        <f t="shared" si="7"/>
        <v>78.53779999999999</v>
      </c>
      <c r="W19" s="6">
        <f t="shared" si="7"/>
        <v>73.852614000000003</v>
      </c>
      <c r="X19" s="6">
        <f t="shared" si="7"/>
        <v>85.687448000000003</v>
      </c>
      <c r="Y19" s="6">
        <f t="shared" si="7"/>
        <v>94.245359999999991</v>
      </c>
      <c r="Z19" s="6">
        <f t="shared" si="7"/>
        <v>104.455274</v>
      </c>
      <c r="AA19" t="s">
        <v>17</v>
      </c>
      <c r="AG19">
        <v>11</v>
      </c>
      <c r="AH19" t="s">
        <v>105</v>
      </c>
      <c r="AI19" t="s">
        <v>113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0.64</v>
      </c>
      <c r="J20" s="11">
        <f>SUMIFS(ar6_r10!$F$2:$F$999,ar6_r10!$A$2:$A$999,Veda!$E$5,ar6_r10!$C$2:$C$999,Veda!J$17,ar6_r10!$M$2:$M$999,Veda!$G20)</f>
        <v>0.67</v>
      </c>
      <c r="K20" s="11">
        <f>SUMIFS(ar6_r10!$F$2:$F$999,ar6_r10!$A$2:$A$999,Veda!$E$5,ar6_r10!$C$2:$C$999,Veda!K$17,ar6_r10!$M$2:$M$999,Veda!$G20)</f>
        <v>0.67</v>
      </c>
      <c r="L20" s="11">
        <f>SUMIFS(ar6_r10!$F$2:$F$999,ar6_r10!$A$2:$A$999,Veda!$E$5,ar6_r10!$C$2:$C$999,Veda!L$17,ar6_r10!$M$2:$M$999,Veda!$G20)</f>
        <v>0.65</v>
      </c>
      <c r="M20" s="11">
        <f>SUMIFS(ar6_r10!$F$2:$F$999,ar6_r10!$A$2:$A$999,Veda!$E$5,ar6_r10!$C$2:$C$999,Veda!M$17,ar6_r10!$M$2:$M$999,Veda!$G20)</f>
        <v>0.62</v>
      </c>
      <c r="N20" s="11">
        <f>SUMIFS(ar6_r10!$F$2:$F$999,ar6_r10!$A$2:$A$999,Veda!$E$5,ar6_r10!$C$2:$C$999,Veda!N$17,ar6_r10!$M$2:$M$999,Veda!$G20)</f>
        <v>0.59</v>
      </c>
      <c r="O20" s="11">
        <f>SUMIFS(ar6_r10!$F$2:$F$999,ar6_r10!$A$2:$A$999,Veda!$E$5,ar6_r10!$C$2:$C$999,Veda!O$17,ar6_r10!$M$2:$M$999,Veda!$G20)</f>
        <v>0.57999999999999996</v>
      </c>
      <c r="S20" s="10" t="s">
        <v>22</v>
      </c>
      <c r="T20" s="6">
        <f t="shared" si="7"/>
        <v>173.32480000000001</v>
      </c>
      <c r="U20" s="6">
        <f t="shared" si="7"/>
        <v>179.63490600000003</v>
      </c>
      <c r="V20" s="6">
        <f t="shared" si="7"/>
        <v>181.4494</v>
      </c>
      <c r="W20" s="6">
        <f t="shared" si="7"/>
        <v>177.79333</v>
      </c>
      <c r="X20" s="6">
        <f t="shared" si="7"/>
        <v>189.73649199999997</v>
      </c>
      <c r="Y20" s="6">
        <f t="shared" si="7"/>
        <v>191.74055999999999</v>
      </c>
      <c r="Z20" s="6">
        <f t="shared" si="7"/>
        <v>208.91054800000001</v>
      </c>
      <c r="AA20" t="s">
        <v>17</v>
      </c>
      <c r="AG20">
        <v>12</v>
      </c>
      <c r="AH20" t="s">
        <v>108</v>
      </c>
      <c r="AI20" t="s">
        <v>120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0.02</v>
      </c>
      <c r="J21" s="11">
        <f>SUMIFS(ar6_r10!$F$2:$F$999,ar6_r10!$A$2:$A$999,Veda!$E$5,ar6_r10!$C$2:$C$999,Veda!J$17,ar6_r10!$M$2:$M$999,Veda!$G21)</f>
        <v>0.03</v>
      </c>
      <c r="K21" s="11">
        <f>SUMIFS(ar6_r10!$F$2:$F$999,ar6_r10!$A$2:$A$999,Veda!$E$5,ar6_r10!$C$2:$C$999,Veda!K$17,ar6_r10!$M$2:$M$999,Veda!$G21)</f>
        <v>0.03</v>
      </c>
      <c r="L21" s="11">
        <f>SUMIFS(ar6_r10!$F$2:$F$999,ar6_r10!$A$2:$A$999,Veda!$E$5,ar6_r10!$C$2:$C$999,Veda!L$17,ar6_r10!$M$2:$M$999,Veda!$G21)</f>
        <v>0.05</v>
      </c>
      <c r="M21" s="11">
        <f>SUMIFS(ar6_r10!$F$2:$F$999,ar6_r10!$A$2:$A$999,Veda!$E$5,ar6_r10!$C$2:$C$999,Veda!M$17,ar6_r10!$M$2:$M$999,Veda!$G21)</f>
        <v>0.08</v>
      </c>
      <c r="N21" s="11">
        <f>SUMIFS(ar6_r10!$F$2:$F$999,ar6_r10!$A$2:$A$999,Veda!$E$5,ar6_r10!$C$2:$C$999,Veda!N$17,ar6_r10!$M$2:$M$999,Veda!$G21)</f>
        <v>0.11</v>
      </c>
      <c r="O21" s="11">
        <f>SUMIFS(ar6_r10!$F$2:$F$999,ar6_r10!$A$2:$A$999,Veda!$E$5,ar6_r10!$C$2:$C$999,Veda!O$17,ar6_r10!$M$2:$M$999,Veda!$G21)</f>
        <v>0.12</v>
      </c>
      <c r="S21" s="10" t="s">
        <v>24</v>
      </c>
      <c r="T21" s="6">
        <f>I21*T$14</f>
        <v>5.4164000000000003</v>
      </c>
      <c r="U21" s="6">
        <f t="shared" ref="U21:Z21" si="8">T21</f>
        <v>5.4164000000000003</v>
      </c>
      <c r="V21" s="6">
        <f t="shared" si="8"/>
        <v>5.4164000000000003</v>
      </c>
      <c r="W21" s="6">
        <f t="shared" si="8"/>
        <v>5.4164000000000003</v>
      </c>
      <c r="X21" s="6">
        <f t="shared" si="8"/>
        <v>5.4164000000000003</v>
      </c>
      <c r="Y21" s="6">
        <f t="shared" si="8"/>
        <v>5.4164000000000003</v>
      </c>
      <c r="Z21" s="6">
        <f t="shared" si="8"/>
        <v>5.4164000000000003</v>
      </c>
      <c r="AA21" t="s">
        <v>17</v>
      </c>
      <c r="AC21" s="2" t="s">
        <v>20</v>
      </c>
      <c r="AG21">
        <v>13</v>
      </c>
      <c r="AH21" t="s">
        <v>106</v>
      </c>
      <c r="AI21" t="s">
        <v>115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</v>
      </c>
      <c r="U22" s="6">
        <f t="shared" si="9"/>
        <v>2.6269539999999552</v>
      </c>
      <c r="V22" s="6">
        <f t="shared" si="9"/>
        <v>5.4164000000000101</v>
      </c>
      <c r="W22" s="6">
        <f t="shared" si="9"/>
        <v>16.465855999999974</v>
      </c>
      <c r="X22" s="6">
        <f t="shared" si="9"/>
        <v>25.186260000000004</v>
      </c>
      <c r="Y22" s="6">
        <f t="shared" si="9"/>
        <v>33.581680000000006</v>
      </c>
      <c r="Z22" s="6">
        <f t="shared" si="9"/>
        <v>41.408378000000027</v>
      </c>
      <c r="AA22" t="s">
        <v>17</v>
      </c>
      <c r="AG22">
        <v>14</v>
      </c>
      <c r="AH22" t="s">
        <v>107</v>
      </c>
      <c r="AI22" t="s">
        <v>117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56.33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5.6329999999999998E-2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0</v>
      </c>
      <c r="S28" t="s">
        <v>32</v>
      </c>
      <c r="T28" s="3">
        <f>Q28</f>
        <v>0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0</v>
      </c>
      <c r="S29" t="s">
        <v>35</v>
      </c>
      <c r="T29" s="3">
        <f>-1*Q29</f>
        <v>0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76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1.03</v>
      </c>
      <c r="K37" s="11">
        <f>SUMIFS(ar6_r10!$F$2:$F$999,ar6_r10!$A$2:$A$999,Veda!$G$36,ar6_r10!$C$2:$C$999,Veda!K$17,ar6_r10!$M$2:$M$999,Veda!$G37)</f>
        <v>1.1299999999999999</v>
      </c>
      <c r="L37" s="11">
        <f>SUMIFS(ar6_r10!$F$2:$F$999,ar6_r10!$A$2:$A$999,Veda!$G$36,ar6_r10!$C$2:$C$999,Veda!L$17,ar6_r10!$M$2:$M$999,Veda!$G37)</f>
        <v>1.1599999999999999</v>
      </c>
      <c r="M37" s="11">
        <f>SUMIFS(ar6_r10!$F$2:$F$999,ar6_r10!$A$2:$A$999,Veda!$G$36,ar6_r10!$C$2:$C$999,Veda!M$17,ar6_r10!$M$2:$M$999,Veda!$G37)</f>
        <v>1.19</v>
      </c>
      <c r="N37" s="11">
        <f>SUMIFS(ar6_r10!$F$2:$F$999,ar6_r10!$A$2:$A$999,Veda!$G$36,ar6_r10!$C$2:$C$999,Veda!N$17,ar6_r10!$M$2:$M$999,Veda!$G37)</f>
        <v>1.27</v>
      </c>
      <c r="O37" s="11">
        <f>SUMIFS(ar6_r10!$F$2:$F$999,ar6_r10!$A$2:$A$999,Veda!$G$36,ar6_r10!$C$2:$C$999,Veda!O$17,ar6_r10!$M$2:$M$999,Veda!$G37)</f>
        <v>1.31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77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1.03</v>
      </c>
      <c r="K38" s="11">
        <f>SUMIFS(ar6_r10!$F$2:$F$999,ar6_r10!$A$2:$A$999,Veda!$G$36,ar6_r10!$C$2:$C$999,Veda!K$17,ar6_r10!$M$2:$M$999,Veda!$G38)</f>
        <v>1.0900000000000001</v>
      </c>
      <c r="L38" s="11">
        <f>SUMIFS(ar6_r10!$F$2:$F$999,ar6_r10!$A$2:$A$999,Veda!$G$36,ar6_r10!$C$2:$C$999,Veda!L$17,ar6_r10!$M$2:$M$999,Veda!$G38)</f>
        <v>1.18</v>
      </c>
      <c r="M38" s="11">
        <f>SUMIFS(ar6_r10!$F$2:$F$999,ar6_r10!$A$2:$A$999,Veda!$G$36,ar6_r10!$C$2:$C$999,Veda!M$17,ar6_r10!$M$2:$M$999,Veda!$G38)</f>
        <v>1.27</v>
      </c>
      <c r="N38" s="11">
        <f>SUMIFS(ar6_r10!$F$2:$F$999,ar6_r10!$A$2:$A$999,Veda!$G$36,ar6_r10!$C$2:$C$999,Veda!N$17,ar6_r10!$M$2:$M$999,Veda!$G38)</f>
        <v>1.35</v>
      </c>
      <c r="O38" s="11">
        <f>SUMIFS(ar6_r10!$F$2:$F$999,ar6_r10!$A$2:$A$999,Veda!$G$36,ar6_r10!$C$2:$C$999,Veda!O$17,ar6_r10!$M$2:$M$999,Veda!$G38)</f>
        <v>1.41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OS.f97p50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78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1.04</v>
      </c>
      <c r="K39" s="11">
        <f>SUMIFS(ar6_r10!$F$2:$F$999,ar6_r10!$A$2:$A$999,Veda!$G$36,ar6_r10!$C$2:$C$999,Veda!K$17,ar6_r10!$M$2:$M$999,Veda!$G39)</f>
        <v>1.05</v>
      </c>
      <c r="L39" s="11">
        <f>SUMIFS(ar6_r10!$F$2:$F$999,ar6_r10!$A$2:$A$999,Veda!$G$36,ar6_r10!$C$2:$C$999,Veda!L$17,ar6_r10!$M$2:$M$999,Veda!$G39)</f>
        <v>1.04</v>
      </c>
      <c r="M39" s="11">
        <f>SUMIFS(ar6_r10!$F$2:$F$999,ar6_r10!$A$2:$A$999,Veda!$G$36,ar6_r10!$C$2:$C$999,Veda!M$17,ar6_r10!$M$2:$M$999,Veda!$G39)</f>
        <v>1.04</v>
      </c>
      <c r="N39" s="11">
        <f>SUMIFS(ar6_r10!$F$2:$F$999,ar6_r10!$A$2:$A$999,Veda!$G$36,ar6_r10!$C$2:$C$999,Veda!N$17,ar6_r10!$M$2:$M$999,Veda!$G39)</f>
        <v>1.17</v>
      </c>
      <c r="O39" s="11">
        <f>SUMIFS(ar6_r10!$F$2:$F$999,ar6_r10!$A$2:$A$999,Veda!$G$36,ar6_r10!$C$2:$C$999,Veda!O$17,ar6_r10!$M$2:$M$999,Veda!$G39)</f>
        <v>1.25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OS.f97p50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79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1.01</v>
      </c>
      <c r="K40" s="11">
        <f>SUMIFS(ar6_r10!$F$2:$F$999,ar6_r10!$A$2:$A$999,Veda!$G$36,ar6_r10!$C$2:$C$999,Veda!K$17,ar6_r10!$M$2:$M$999,Veda!$G40)</f>
        <v>0.99</v>
      </c>
      <c r="L40" s="11">
        <f>SUMIFS(ar6_r10!$F$2:$F$999,ar6_r10!$A$2:$A$999,Veda!$G$36,ar6_r10!$C$2:$C$999,Veda!L$17,ar6_r10!$M$2:$M$999,Veda!$G40)</f>
        <v>0.97</v>
      </c>
      <c r="M40" s="11">
        <f>SUMIFS(ar6_r10!$F$2:$F$999,ar6_r10!$A$2:$A$999,Veda!$G$36,ar6_r10!$C$2:$C$999,Veda!M$17,ar6_r10!$M$2:$M$999,Veda!$G40)</f>
        <v>0.92</v>
      </c>
      <c r="N40" s="11">
        <f>SUMIFS(ar6_r10!$F$2:$F$999,ar6_r10!$A$2:$A$999,Veda!$G$36,ar6_r10!$C$2:$C$999,Veda!N$17,ar6_r10!$M$2:$M$999,Veda!$G40)</f>
        <v>0.95</v>
      </c>
      <c r="O40" s="11">
        <f>SUMIFS(ar6_r10!$F$2:$F$999,ar6_r10!$A$2:$A$999,Veda!$G$36,ar6_r10!$C$2:$C$999,Veda!O$17,ar6_r10!$M$2:$M$999,Veda!$G40)</f>
        <v>1.02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(67%).f97p50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(50%).f97p50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deg.f97p50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86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110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84</v>
      </c>
      <c r="S44" t="s">
        <v>85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80</v>
      </c>
      <c r="H45" t="str">
        <f>G45</f>
        <v>Gas</v>
      </c>
      <c r="I45">
        <f t="shared" ref="I45:O48" si="12">AVERAGE($R45:$S45)*I37</f>
        <v>13.700000000000001</v>
      </c>
      <c r="J45">
        <f t="shared" si="12"/>
        <v>14.111000000000001</v>
      </c>
      <c r="K45">
        <f t="shared" si="12"/>
        <v>15.481</v>
      </c>
      <c r="L45">
        <f t="shared" si="12"/>
        <v>15.891999999999999</v>
      </c>
      <c r="M45">
        <f t="shared" si="12"/>
        <v>16.303000000000001</v>
      </c>
      <c r="N45">
        <f t="shared" si="12"/>
        <v>17.399000000000001</v>
      </c>
      <c r="O45">
        <f t="shared" si="12"/>
        <v>17.947000000000003</v>
      </c>
      <c r="R45">
        <f>HLOOKUP($G45&amp;"_"&amp;R$44,fuel_prices!$B$10:$I$11,2,FALSE)</f>
        <v>10.3</v>
      </c>
      <c r="S45">
        <f>HLOOKUP($G45&amp;"_"&amp;S$44,fuel_prices!$B$10:$I$11,2,FALSE)</f>
        <v>17.100000000000001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81</v>
      </c>
      <c r="H46" t="str">
        <f t="shared" ref="H46:H48" si="13">G46</f>
        <v>Coal</v>
      </c>
      <c r="I46">
        <f t="shared" si="12"/>
        <v>9.1499999999999986</v>
      </c>
      <c r="J46">
        <f t="shared" si="12"/>
        <v>9.4244999999999983</v>
      </c>
      <c r="K46">
        <f t="shared" si="12"/>
        <v>9.9734999999999996</v>
      </c>
      <c r="L46">
        <f t="shared" si="12"/>
        <v>10.796999999999997</v>
      </c>
      <c r="M46">
        <f t="shared" si="12"/>
        <v>11.620499999999998</v>
      </c>
      <c r="N46">
        <f t="shared" si="12"/>
        <v>12.352499999999999</v>
      </c>
      <c r="O46">
        <f t="shared" si="12"/>
        <v>12.901499999999997</v>
      </c>
      <c r="R46">
        <f>HLOOKUP($G46&amp;"_"&amp;R$44,fuel_prices!$B$10:$I$11,2,FALSE)</f>
        <v>7.6</v>
      </c>
      <c r="S46">
        <f>HLOOKUP($G46&amp;"_"&amp;S$44,fuel_prices!$B$10:$I$11,2,FALSE)</f>
        <v>10.7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82</v>
      </c>
      <c r="H47" t="str">
        <f t="shared" si="13"/>
        <v>Oil</v>
      </c>
      <c r="I47">
        <f t="shared" si="12"/>
        <v>53</v>
      </c>
      <c r="J47">
        <f t="shared" si="12"/>
        <v>55.120000000000005</v>
      </c>
      <c r="K47">
        <f t="shared" si="12"/>
        <v>55.650000000000006</v>
      </c>
      <c r="L47">
        <f t="shared" si="12"/>
        <v>55.120000000000005</v>
      </c>
      <c r="M47">
        <f t="shared" si="12"/>
        <v>55.120000000000005</v>
      </c>
      <c r="N47">
        <f t="shared" si="12"/>
        <v>62.01</v>
      </c>
      <c r="O47">
        <f t="shared" si="12"/>
        <v>66.25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83</v>
      </c>
      <c r="H48" t="str">
        <f t="shared" si="13"/>
        <v>Bioenergy</v>
      </c>
      <c r="I48">
        <f t="shared" si="12"/>
        <v>24</v>
      </c>
      <c r="J48">
        <f t="shared" si="12"/>
        <v>24.240000000000002</v>
      </c>
      <c r="K48">
        <f t="shared" si="12"/>
        <v>23.759999999999998</v>
      </c>
      <c r="L48">
        <f t="shared" si="12"/>
        <v>23.28</v>
      </c>
      <c r="M48">
        <f t="shared" si="12"/>
        <v>22.080000000000002</v>
      </c>
      <c r="N48">
        <f t="shared" si="12"/>
        <v>22.799999999999997</v>
      </c>
      <c r="O48">
        <f t="shared" si="12"/>
        <v>24.48</v>
      </c>
      <c r="R48">
        <f>HLOOKUP($G48&amp;"_"&amp;R$44,fuel_prices!$B$10:$I$11,2,FALSE)</f>
        <v>20</v>
      </c>
      <c r="S48">
        <f>HLOOKUP($G48&amp;"_"&amp;S$44,fuel_prices!$B$10:$I$11,2,FALSE)</f>
        <v>28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74</v>
      </c>
      <c r="B11">
        <v>10.3</v>
      </c>
      <c r="C11">
        <v>17.100000000000001</v>
      </c>
      <c r="D11">
        <v>7.6</v>
      </c>
      <c r="E11">
        <v>10.7</v>
      </c>
      <c r="F11">
        <v>48</v>
      </c>
      <c r="G11">
        <v>58</v>
      </c>
      <c r="H11">
        <v>20</v>
      </c>
      <c r="I11">
        <v>28</v>
      </c>
      <c r="J11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74</v>
      </c>
      <c r="B11">
        <v>2000</v>
      </c>
      <c r="C11">
        <v>113.87</v>
      </c>
      <c r="D11">
        <v>93.39</v>
      </c>
      <c r="E11">
        <v>1.95</v>
      </c>
      <c r="F11">
        <v>0</v>
      </c>
      <c r="G11">
        <v>0</v>
      </c>
      <c r="H11">
        <v>0</v>
      </c>
      <c r="I11">
        <v>209.86</v>
      </c>
    </row>
    <row r="12" spans="1:9" x14ac:dyDescent="0.45">
      <c r="A12" t="s">
        <v>74</v>
      </c>
      <c r="B12">
        <v>2001</v>
      </c>
      <c r="C12">
        <v>128</v>
      </c>
      <c r="D12">
        <v>93.56</v>
      </c>
      <c r="E12">
        <v>2.0299999999999998</v>
      </c>
      <c r="F12">
        <v>0</v>
      </c>
      <c r="G12">
        <v>0</v>
      </c>
      <c r="H12">
        <v>0</v>
      </c>
      <c r="I12">
        <v>224.26</v>
      </c>
    </row>
    <row r="13" spans="1:9" x14ac:dyDescent="0.45">
      <c r="A13" t="s">
        <v>74</v>
      </c>
      <c r="B13">
        <v>2002</v>
      </c>
      <c r="C13">
        <v>123.86</v>
      </c>
      <c r="D13">
        <v>101.24</v>
      </c>
      <c r="E13">
        <v>2.02</v>
      </c>
      <c r="F13">
        <v>0</v>
      </c>
      <c r="G13">
        <v>0</v>
      </c>
      <c r="H13">
        <v>0</v>
      </c>
      <c r="I13">
        <v>227.38</v>
      </c>
    </row>
    <row r="14" spans="1:9" x14ac:dyDescent="0.45">
      <c r="A14" t="s">
        <v>74</v>
      </c>
      <c r="B14">
        <v>2003</v>
      </c>
      <c r="C14">
        <v>107.49</v>
      </c>
      <c r="D14">
        <v>109.42</v>
      </c>
      <c r="E14">
        <v>2.25</v>
      </c>
      <c r="F14">
        <v>0</v>
      </c>
      <c r="G14">
        <v>0</v>
      </c>
      <c r="H14">
        <v>0</v>
      </c>
      <c r="I14">
        <v>220.59</v>
      </c>
    </row>
    <row r="15" spans="1:9" x14ac:dyDescent="0.45">
      <c r="A15" t="s">
        <v>74</v>
      </c>
      <c r="B15">
        <v>2004</v>
      </c>
      <c r="C15">
        <v>111.72</v>
      </c>
      <c r="D15">
        <v>112.72</v>
      </c>
      <c r="E15">
        <v>2.37</v>
      </c>
      <c r="F15">
        <v>0</v>
      </c>
      <c r="G15">
        <v>0</v>
      </c>
      <c r="H15">
        <v>0</v>
      </c>
      <c r="I15">
        <v>228.21</v>
      </c>
    </row>
    <row r="16" spans="1:9" x14ac:dyDescent="0.45">
      <c r="A16" t="s">
        <v>74</v>
      </c>
      <c r="B16">
        <v>2005</v>
      </c>
      <c r="C16">
        <v>112.64</v>
      </c>
      <c r="D16">
        <v>111.71</v>
      </c>
      <c r="E16">
        <v>2.2999999999999998</v>
      </c>
      <c r="F16">
        <v>0</v>
      </c>
      <c r="G16">
        <v>0</v>
      </c>
      <c r="H16">
        <v>0</v>
      </c>
      <c r="I16">
        <v>228.35</v>
      </c>
    </row>
    <row r="17" spans="1:9" x14ac:dyDescent="0.45">
      <c r="A17" t="s">
        <v>74</v>
      </c>
      <c r="B17">
        <v>2006</v>
      </c>
      <c r="C17">
        <v>115.3</v>
      </c>
      <c r="D17">
        <v>113.28</v>
      </c>
      <c r="E17">
        <v>2.37</v>
      </c>
      <c r="F17">
        <v>0</v>
      </c>
      <c r="G17">
        <v>0</v>
      </c>
      <c r="H17">
        <v>0</v>
      </c>
      <c r="I17">
        <v>232.73</v>
      </c>
    </row>
    <row r="18" spans="1:9" x14ac:dyDescent="0.45">
      <c r="A18" t="s">
        <v>74</v>
      </c>
      <c r="B18">
        <v>2007</v>
      </c>
      <c r="C18">
        <v>119.46</v>
      </c>
      <c r="D18">
        <v>118.79</v>
      </c>
      <c r="E18">
        <v>2.4700000000000002</v>
      </c>
      <c r="F18">
        <v>0</v>
      </c>
      <c r="G18">
        <v>0</v>
      </c>
      <c r="H18">
        <v>0</v>
      </c>
      <c r="I18">
        <v>242.98</v>
      </c>
    </row>
    <row r="19" spans="1:9" x14ac:dyDescent="0.45">
      <c r="A19" t="s">
        <v>74</v>
      </c>
      <c r="B19">
        <v>2008</v>
      </c>
      <c r="C19">
        <v>118.09</v>
      </c>
      <c r="D19">
        <v>120.12</v>
      </c>
      <c r="E19">
        <v>2.56</v>
      </c>
      <c r="F19">
        <v>0</v>
      </c>
      <c r="G19">
        <v>0</v>
      </c>
      <c r="H19">
        <v>0</v>
      </c>
      <c r="I19">
        <v>243.07</v>
      </c>
    </row>
    <row r="20" spans="1:9" x14ac:dyDescent="0.45">
      <c r="A20" t="s">
        <v>74</v>
      </c>
      <c r="B20">
        <v>2009</v>
      </c>
      <c r="C20">
        <v>119.83</v>
      </c>
      <c r="D20">
        <v>123.53</v>
      </c>
      <c r="E20">
        <v>2.65</v>
      </c>
      <c r="F20">
        <v>0</v>
      </c>
      <c r="G20">
        <v>0</v>
      </c>
      <c r="H20">
        <v>0</v>
      </c>
      <c r="I20">
        <v>248.1</v>
      </c>
    </row>
    <row r="21" spans="1:9" x14ac:dyDescent="0.45">
      <c r="A21" t="s">
        <v>74</v>
      </c>
      <c r="B21">
        <v>2010</v>
      </c>
      <c r="C21">
        <v>124.32</v>
      </c>
      <c r="D21">
        <v>124.09</v>
      </c>
      <c r="E21">
        <v>2.09</v>
      </c>
      <c r="F21">
        <v>0</v>
      </c>
      <c r="G21">
        <v>0</v>
      </c>
      <c r="H21">
        <v>0</v>
      </c>
      <c r="I21">
        <v>252.61</v>
      </c>
    </row>
    <row r="22" spans="1:9" x14ac:dyDescent="0.45">
      <c r="A22" t="s">
        <v>74</v>
      </c>
      <c r="B22">
        <v>2011</v>
      </c>
      <c r="C22">
        <v>122.48</v>
      </c>
      <c r="D22">
        <v>126.22</v>
      </c>
      <c r="E22">
        <v>2.15</v>
      </c>
      <c r="F22">
        <v>0</v>
      </c>
      <c r="G22">
        <v>0</v>
      </c>
      <c r="H22">
        <v>0</v>
      </c>
      <c r="I22">
        <v>253.71</v>
      </c>
    </row>
    <row r="23" spans="1:9" x14ac:dyDescent="0.45">
      <c r="A23" t="s">
        <v>74</v>
      </c>
      <c r="B23">
        <v>2012</v>
      </c>
      <c r="C23">
        <v>120.39</v>
      </c>
      <c r="D23">
        <v>124.76</v>
      </c>
      <c r="E23">
        <v>2.2200000000000002</v>
      </c>
      <c r="F23">
        <v>0</v>
      </c>
      <c r="G23">
        <v>0</v>
      </c>
      <c r="H23">
        <v>0</v>
      </c>
      <c r="I23">
        <v>250.83</v>
      </c>
    </row>
    <row r="24" spans="1:9" x14ac:dyDescent="0.45">
      <c r="A24" t="s">
        <v>74</v>
      </c>
      <c r="B24">
        <v>2013</v>
      </c>
      <c r="C24">
        <v>118.37</v>
      </c>
      <c r="D24">
        <v>125.76</v>
      </c>
      <c r="E24">
        <v>2.4900000000000002</v>
      </c>
      <c r="F24">
        <v>0</v>
      </c>
      <c r="G24">
        <v>0</v>
      </c>
      <c r="H24">
        <v>0</v>
      </c>
      <c r="I24">
        <v>249.22</v>
      </c>
    </row>
    <row r="25" spans="1:9" x14ac:dyDescent="0.45">
      <c r="A25" t="s">
        <v>74</v>
      </c>
      <c r="B25">
        <v>2014</v>
      </c>
      <c r="C25">
        <v>118.42</v>
      </c>
      <c r="D25">
        <v>123.8</v>
      </c>
      <c r="E25">
        <v>2.5299999999999998</v>
      </c>
      <c r="F25">
        <v>0</v>
      </c>
      <c r="G25">
        <v>0</v>
      </c>
      <c r="H25">
        <v>0</v>
      </c>
      <c r="I25">
        <v>247.37</v>
      </c>
    </row>
    <row r="26" spans="1:9" x14ac:dyDescent="0.45">
      <c r="A26" t="s">
        <v>74</v>
      </c>
      <c r="B26">
        <v>2015</v>
      </c>
      <c r="C26">
        <v>113.57</v>
      </c>
      <c r="D26">
        <v>128.86000000000001</v>
      </c>
      <c r="E26">
        <v>3.18</v>
      </c>
      <c r="F26">
        <v>0.01</v>
      </c>
      <c r="G26">
        <v>0</v>
      </c>
      <c r="H26">
        <v>0</v>
      </c>
      <c r="I26">
        <v>251.29</v>
      </c>
    </row>
    <row r="27" spans="1:9" x14ac:dyDescent="0.45">
      <c r="A27" t="s">
        <v>74</v>
      </c>
      <c r="B27">
        <v>2016</v>
      </c>
      <c r="C27">
        <v>117.31</v>
      </c>
      <c r="D27">
        <v>129.29</v>
      </c>
      <c r="E27">
        <v>3.44</v>
      </c>
      <c r="F27">
        <v>0.01</v>
      </c>
      <c r="G27">
        <v>0</v>
      </c>
      <c r="H27">
        <v>0</v>
      </c>
      <c r="I27">
        <v>256.27</v>
      </c>
    </row>
    <row r="28" spans="1:9" x14ac:dyDescent="0.45">
      <c r="A28" t="s">
        <v>74</v>
      </c>
      <c r="B28">
        <v>2017</v>
      </c>
      <c r="C28">
        <v>117.29</v>
      </c>
      <c r="D28">
        <v>130.21</v>
      </c>
      <c r="E28">
        <v>3.25</v>
      </c>
      <c r="F28">
        <v>0.01</v>
      </c>
      <c r="G28">
        <v>0</v>
      </c>
      <c r="H28">
        <v>0</v>
      </c>
      <c r="I28">
        <v>257.77</v>
      </c>
    </row>
    <row r="29" spans="1:9" x14ac:dyDescent="0.45">
      <c r="A29" t="s">
        <v>74</v>
      </c>
      <c r="B29">
        <v>2018</v>
      </c>
      <c r="C29">
        <v>118.22</v>
      </c>
      <c r="D29">
        <v>131.25</v>
      </c>
      <c r="E29">
        <v>3.23</v>
      </c>
      <c r="F29">
        <v>0.02</v>
      </c>
      <c r="G29">
        <v>0</v>
      </c>
      <c r="H29">
        <v>0</v>
      </c>
      <c r="I29">
        <v>260.77999999999997</v>
      </c>
    </row>
    <row r="30" spans="1:9" x14ac:dyDescent="0.45">
      <c r="A30" t="s">
        <v>74</v>
      </c>
      <c r="B30">
        <v>2019</v>
      </c>
      <c r="C30">
        <v>118.39</v>
      </c>
      <c r="D30">
        <v>132.16999999999999</v>
      </c>
      <c r="E30">
        <v>3.24</v>
      </c>
      <c r="F30">
        <v>0.02</v>
      </c>
      <c r="G30">
        <v>0</v>
      </c>
      <c r="H30">
        <v>0</v>
      </c>
      <c r="I30">
        <v>263.66000000000003</v>
      </c>
    </row>
    <row r="31" spans="1:9" x14ac:dyDescent="0.45">
      <c r="A31" t="s">
        <v>74</v>
      </c>
      <c r="B31">
        <v>2020</v>
      </c>
      <c r="C31">
        <v>117.79</v>
      </c>
      <c r="D31">
        <v>132.63</v>
      </c>
      <c r="E31">
        <v>3.27</v>
      </c>
      <c r="F31">
        <v>0.04</v>
      </c>
      <c r="G31">
        <v>0</v>
      </c>
      <c r="H31">
        <v>0</v>
      </c>
      <c r="I31">
        <v>264.79000000000002</v>
      </c>
    </row>
    <row r="32" spans="1:9" x14ac:dyDescent="0.45">
      <c r="A32" t="s">
        <v>74</v>
      </c>
      <c r="B32">
        <v>2021</v>
      </c>
      <c r="C32">
        <v>119.63</v>
      </c>
      <c r="D32">
        <v>131.30000000000001</v>
      </c>
      <c r="E32">
        <v>3.32</v>
      </c>
      <c r="F32">
        <v>7.0000000000000007E-2</v>
      </c>
      <c r="G32">
        <v>0</v>
      </c>
      <c r="H32">
        <v>0</v>
      </c>
      <c r="I32">
        <v>265.12</v>
      </c>
    </row>
    <row r="33" spans="1:9" x14ac:dyDescent="0.45">
      <c r="A33" t="s">
        <v>74</v>
      </c>
      <c r="B33">
        <v>2022</v>
      </c>
      <c r="C33">
        <v>120.26</v>
      </c>
      <c r="D33">
        <v>135.47</v>
      </c>
      <c r="E33">
        <v>3.27</v>
      </c>
      <c r="F33">
        <v>0.13</v>
      </c>
      <c r="G33">
        <v>0</v>
      </c>
      <c r="H33">
        <v>0</v>
      </c>
      <c r="I33">
        <v>270.82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75</v>
      </c>
      <c r="C11">
        <v>2020</v>
      </c>
      <c r="D11">
        <v>60</v>
      </c>
      <c r="E11">
        <v>0.46</v>
      </c>
      <c r="F11">
        <v>0.28000000000000003</v>
      </c>
      <c r="G11">
        <v>0.84</v>
      </c>
      <c r="H11">
        <v>0</v>
      </c>
      <c r="I11">
        <v>3.32</v>
      </c>
      <c r="J11">
        <v>0</v>
      </c>
      <c r="K11">
        <v>0.28000000000000003</v>
      </c>
      <c r="L11" t="s">
        <v>1</v>
      </c>
      <c r="M11" t="s">
        <v>27</v>
      </c>
    </row>
    <row r="12" spans="1:13" x14ac:dyDescent="0.45">
      <c r="A12" t="s">
        <v>0</v>
      </c>
      <c r="B12" t="s">
        <v>75</v>
      </c>
      <c r="C12">
        <v>2025</v>
      </c>
      <c r="D12">
        <v>60</v>
      </c>
      <c r="E12">
        <v>197.76</v>
      </c>
      <c r="F12">
        <v>174.96</v>
      </c>
      <c r="G12">
        <v>126.47</v>
      </c>
      <c r="H12">
        <v>33.32</v>
      </c>
      <c r="I12">
        <v>626.48</v>
      </c>
      <c r="J12">
        <v>121.06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75</v>
      </c>
      <c r="C13">
        <v>2030</v>
      </c>
      <c r="D13">
        <v>60</v>
      </c>
      <c r="E13">
        <v>261.77999999999997</v>
      </c>
      <c r="F13">
        <v>241.69</v>
      </c>
      <c r="G13">
        <v>129.13</v>
      </c>
      <c r="H13">
        <v>27.52</v>
      </c>
      <c r="I13">
        <v>673.46</v>
      </c>
      <c r="J13">
        <v>173.6</v>
      </c>
      <c r="K13">
        <v>320.88</v>
      </c>
      <c r="L13" t="s">
        <v>1</v>
      </c>
      <c r="M13" t="s">
        <v>27</v>
      </c>
    </row>
    <row r="14" spans="1:13" x14ac:dyDescent="0.45">
      <c r="A14" t="s">
        <v>0</v>
      </c>
      <c r="B14" t="s">
        <v>75</v>
      </c>
      <c r="C14">
        <v>2035</v>
      </c>
      <c r="D14">
        <v>60</v>
      </c>
      <c r="E14">
        <v>354.71</v>
      </c>
      <c r="F14">
        <v>335.39</v>
      </c>
      <c r="G14">
        <v>164.48</v>
      </c>
      <c r="H14">
        <v>92.8</v>
      </c>
      <c r="I14">
        <v>859.53</v>
      </c>
      <c r="J14">
        <v>227.05</v>
      </c>
      <c r="K14">
        <v>451.85</v>
      </c>
      <c r="L14" t="s">
        <v>1</v>
      </c>
      <c r="M14" t="s">
        <v>27</v>
      </c>
    </row>
    <row r="15" spans="1:13" x14ac:dyDescent="0.45">
      <c r="A15" t="s">
        <v>0</v>
      </c>
      <c r="B15" t="s">
        <v>75</v>
      </c>
      <c r="C15">
        <v>2040</v>
      </c>
      <c r="D15">
        <v>60</v>
      </c>
      <c r="E15">
        <v>458.15</v>
      </c>
      <c r="F15">
        <v>407.27</v>
      </c>
      <c r="G15">
        <v>216.6</v>
      </c>
      <c r="H15">
        <v>162.1</v>
      </c>
      <c r="I15">
        <v>1097.01</v>
      </c>
      <c r="J15">
        <v>287.98</v>
      </c>
      <c r="K15">
        <v>574.94000000000005</v>
      </c>
      <c r="L15" t="s">
        <v>1</v>
      </c>
      <c r="M15" t="s">
        <v>27</v>
      </c>
    </row>
    <row r="16" spans="1:13" x14ac:dyDescent="0.45">
      <c r="A16" t="s">
        <v>0</v>
      </c>
      <c r="B16" t="s">
        <v>75</v>
      </c>
      <c r="C16">
        <v>2045</v>
      </c>
      <c r="D16">
        <v>60</v>
      </c>
      <c r="E16">
        <v>551.41</v>
      </c>
      <c r="F16">
        <v>479.16</v>
      </c>
      <c r="G16">
        <v>249.14</v>
      </c>
      <c r="H16">
        <v>190.36</v>
      </c>
      <c r="I16">
        <v>1269.8800000000001</v>
      </c>
      <c r="J16">
        <v>352.78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75</v>
      </c>
      <c r="C17">
        <v>2050</v>
      </c>
      <c r="D17">
        <v>60</v>
      </c>
      <c r="E17">
        <v>631.32000000000005</v>
      </c>
      <c r="F17">
        <v>604.24</v>
      </c>
      <c r="G17">
        <v>264.83</v>
      </c>
      <c r="H17">
        <v>194.32</v>
      </c>
      <c r="I17">
        <v>1170.26</v>
      </c>
      <c r="J17">
        <v>409.79</v>
      </c>
      <c r="K17">
        <v>827.36</v>
      </c>
      <c r="L17" t="s">
        <v>1</v>
      </c>
      <c r="M17" t="s">
        <v>27</v>
      </c>
    </row>
    <row r="18" spans="1:13" x14ac:dyDescent="0.45">
      <c r="A18" t="s">
        <v>2</v>
      </c>
      <c r="B18" t="s">
        <v>75</v>
      </c>
      <c r="C18">
        <v>2020</v>
      </c>
      <c r="D18">
        <v>86</v>
      </c>
      <c r="E18">
        <v>0.79</v>
      </c>
      <c r="F18">
        <v>0</v>
      </c>
      <c r="G18">
        <v>1.67</v>
      </c>
      <c r="H18">
        <v>0</v>
      </c>
      <c r="I18">
        <v>11.08</v>
      </c>
      <c r="J18">
        <v>0</v>
      </c>
      <c r="K18">
        <v>0.28000000000000003</v>
      </c>
      <c r="L18" t="s">
        <v>3</v>
      </c>
      <c r="M18" t="s">
        <v>27</v>
      </c>
    </row>
    <row r="19" spans="1:13" x14ac:dyDescent="0.45">
      <c r="A19" t="s">
        <v>2</v>
      </c>
      <c r="B19" t="s">
        <v>75</v>
      </c>
      <c r="C19">
        <v>2025</v>
      </c>
      <c r="D19">
        <v>75</v>
      </c>
      <c r="E19">
        <v>45</v>
      </c>
      <c r="F19">
        <v>24.75</v>
      </c>
      <c r="G19">
        <v>48.96</v>
      </c>
      <c r="H19">
        <v>1.1100000000000001</v>
      </c>
      <c r="I19">
        <v>220.01</v>
      </c>
      <c r="J19">
        <v>10.72</v>
      </c>
      <c r="K19">
        <v>68.180000000000007</v>
      </c>
      <c r="L19" t="s">
        <v>3</v>
      </c>
      <c r="M19" t="s">
        <v>27</v>
      </c>
    </row>
    <row r="20" spans="1:13" x14ac:dyDescent="0.45">
      <c r="A20" t="s">
        <v>2</v>
      </c>
      <c r="B20" t="s">
        <v>75</v>
      </c>
      <c r="C20">
        <v>2030</v>
      </c>
      <c r="D20">
        <v>86</v>
      </c>
      <c r="E20">
        <v>60.99</v>
      </c>
      <c r="F20">
        <v>46.2</v>
      </c>
      <c r="G20">
        <v>58.39</v>
      </c>
      <c r="H20">
        <v>0</v>
      </c>
      <c r="I20">
        <v>293.35000000000002</v>
      </c>
      <c r="J20">
        <v>15.43</v>
      </c>
      <c r="K20">
        <v>90.62</v>
      </c>
      <c r="L20" t="s">
        <v>3</v>
      </c>
      <c r="M20" t="s">
        <v>27</v>
      </c>
    </row>
    <row r="21" spans="1:13" x14ac:dyDescent="0.45">
      <c r="A21" t="s">
        <v>2</v>
      </c>
      <c r="B21" t="s">
        <v>75</v>
      </c>
      <c r="C21">
        <v>2035</v>
      </c>
      <c r="D21">
        <v>75</v>
      </c>
      <c r="E21">
        <v>195.24</v>
      </c>
      <c r="F21">
        <v>129.57</v>
      </c>
      <c r="G21">
        <v>290.37</v>
      </c>
      <c r="H21">
        <v>26.47</v>
      </c>
      <c r="I21">
        <v>2037.12</v>
      </c>
      <c r="J21">
        <v>87.35</v>
      </c>
      <c r="K21">
        <v>200.38</v>
      </c>
      <c r="L21" t="s">
        <v>3</v>
      </c>
      <c r="M21" t="s">
        <v>27</v>
      </c>
    </row>
    <row r="22" spans="1:13" x14ac:dyDescent="0.45">
      <c r="A22" t="s">
        <v>2</v>
      </c>
      <c r="B22" t="s">
        <v>75</v>
      </c>
      <c r="C22">
        <v>2040</v>
      </c>
      <c r="D22">
        <v>86</v>
      </c>
      <c r="E22">
        <v>250.65</v>
      </c>
      <c r="F22">
        <v>172.09</v>
      </c>
      <c r="G22">
        <v>359.95</v>
      </c>
      <c r="H22">
        <v>0</v>
      </c>
      <c r="I22">
        <v>2600</v>
      </c>
      <c r="J22">
        <v>112.15</v>
      </c>
      <c r="K22">
        <v>257.75</v>
      </c>
      <c r="L22" t="s">
        <v>3</v>
      </c>
      <c r="M22" t="s">
        <v>27</v>
      </c>
    </row>
    <row r="23" spans="1:13" x14ac:dyDescent="0.45">
      <c r="A23" t="s">
        <v>2</v>
      </c>
      <c r="B23" t="s">
        <v>75</v>
      </c>
      <c r="C23">
        <v>2045</v>
      </c>
      <c r="D23">
        <v>75</v>
      </c>
      <c r="E23">
        <v>297.39999999999998</v>
      </c>
      <c r="F23">
        <v>253.87</v>
      </c>
      <c r="G23">
        <v>189.37</v>
      </c>
      <c r="H23">
        <v>103.36</v>
      </c>
      <c r="I23">
        <v>1213.1199999999999</v>
      </c>
      <c r="J23">
        <v>166.02</v>
      </c>
      <c r="K23">
        <v>347.01</v>
      </c>
      <c r="L23" t="s">
        <v>3</v>
      </c>
      <c r="M23" t="s">
        <v>27</v>
      </c>
    </row>
    <row r="24" spans="1:13" x14ac:dyDescent="0.45">
      <c r="A24" t="s">
        <v>2</v>
      </c>
      <c r="B24" t="s">
        <v>75</v>
      </c>
      <c r="C24">
        <v>2050</v>
      </c>
      <c r="D24">
        <v>86</v>
      </c>
      <c r="E24">
        <v>308.77999999999997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75</v>
      </c>
      <c r="C25">
        <v>2020</v>
      </c>
      <c r="D25">
        <v>188</v>
      </c>
      <c r="E25">
        <v>2.98</v>
      </c>
      <c r="F25">
        <v>0.1</v>
      </c>
      <c r="G25">
        <v>11.31</v>
      </c>
      <c r="H25">
        <v>0</v>
      </c>
      <c r="I25">
        <v>119.5</v>
      </c>
      <c r="J25">
        <v>0</v>
      </c>
      <c r="K25">
        <v>0.41</v>
      </c>
      <c r="L25" t="s">
        <v>6</v>
      </c>
      <c r="M25" t="s">
        <v>27</v>
      </c>
    </row>
    <row r="26" spans="1:13" x14ac:dyDescent="0.45">
      <c r="A26" t="s">
        <v>5</v>
      </c>
      <c r="B26" t="s">
        <v>75</v>
      </c>
      <c r="C26">
        <v>2025</v>
      </c>
      <c r="D26">
        <v>165</v>
      </c>
      <c r="E26">
        <v>52.69</v>
      </c>
      <c r="F26">
        <v>37.94</v>
      </c>
      <c r="G26">
        <v>52.17</v>
      </c>
      <c r="H26">
        <v>1.1100000000000001</v>
      </c>
      <c r="I26">
        <v>260.38</v>
      </c>
      <c r="J26">
        <v>16.88</v>
      </c>
      <c r="K26">
        <v>73.58</v>
      </c>
      <c r="L26" t="s">
        <v>6</v>
      </c>
      <c r="M26" t="s">
        <v>27</v>
      </c>
    </row>
    <row r="27" spans="1:13" x14ac:dyDescent="0.45">
      <c r="A27" t="s">
        <v>5</v>
      </c>
      <c r="B27" t="s">
        <v>75</v>
      </c>
      <c r="C27">
        <v>2030</v>
      </c>
      <c r="D27">
        <v>188</v>
      </c>
      <c r="E27">
        <v>73.2</v>
      </c>
      <c r="F27">
        <v>56.33</v>
      </c>
      <c r="G27">
        <v>59.29</v>
      </c>
      <c r="H27">
        <v>1.1100000000000001</v>
      </c>
      <c r="I27">
        <v>347.18</v>
      </c>
      <c r="J27">
        <v>35.18</v>
      </c>
      <c r="K27">
        <v>92.14</v>
      </c>
      <c r="L27" t="s">
        <v>6</v>
      </c>
      <c r="M27" t="s">
        <v>27</v>
      </c>
    </row>
    <row r="28" spans="1:13" x14ac:dyDescent="0.45">
      <c r="A28" t="s">
        <v>5</v>
      </c>
      <c r="B28" t="s">
        <v>75</v>
      </c>
      <c r="C28">
        <v>2035</v>
      </c>
      <c r="D28">
        <v>165</v>
      </c>
      <c r="E28">
        <v>130.62</v>
      </c>
      <c r="F28">
        <v>104.42</v>
      </c>
      <c r="G28">
        <v>98.52</v>
      </c>
      <c r="H28">
        <v>39.29</v>
      </c>
      <c r="I28">
        <v>960.63</v>
      </c>
      <c r="J28">
        <v>71.63</v>
      </c>
      <c r="K28">
        <v>167.91</v>
      </c>
      <c r="L28" t="s">
        <v>6</v>
      </c>
      <c r="M28" t="s">
        <v>27</v>
      </c>
    </row>
    <row r="29" spans="1:13" x14ac:dyDescent="0.45">
      <c r="A29" t="s">
        <v>5</v>
      </c>
      <c r="B29" t="s">
        <v>75</v>
      </c>
      <c r="C29">
        <v>2040</v>
      </c>
      <c r="D29">
        <v>188</v>
      </c>
      <c r="E29">
        <v>166.72</v>
      </c>
      <c r="F29">
        <v>134.85</v>
      </c>
      <c r="G29">
        <v>119.17</v>
      </c>
      <c r="H29">
        <v>47.96</v>
      </c>
      <c r="I29">
        <v>1226.04</v>
      </c>
      <c r="J29">
        <v>98.06</v>
      </c>
      <c r="K29">
        <v>213.2</v>
      </c>
      <c r="L29" t="s">
        <v>6</v>
      </c>
      <c r="M29" t="s">
        <v>27</v>
      </c>
    </row>
    <row r="30" spans="1:13" x14ac:dyDescent="0.45">
      <c r="A30" t="s">
        <v>5</v>
      </c>
      <c r="B30" t="s">
        <v>75</v>
      </c>
      <c r="C30">
        <v>2045</v>
      </c>
      <c r="D30">
        <v>165</v>
      </c>
      <c r="E30">
        <v>207.97</v>
      </c>
      <c r="F30">
        <v>178.1</v>
      </c>
      <c r="G30">
        <v>150.35</v>
      </c>
      <c r="H30">
        <v>47.73</v>
      </c>
      <c r="I30">
        <v>1564.8</v>
      </c>
      <c r="J30">
        <v>120.68</v>
      </c>
      <c r="K30">
        <v>263.27</v>
      </c>
      <c r="L30" t="s">
        <v>6</v>
      </c>
      <c r="M30" t="s">
        <v>27</v>
      </c>
    </row>
    <row r="31" spans="1:13" x14ac:dyDescent="0.45">
      <c r="A31" t="s">
        <v>5</v>
      </c>
      <c r="B31" t="s">
        <v>75</v>
      </c>
      <c r="C31">
        <v>2050</v>
      </c>
      <c r="D31">
        <v>188</v>
      </c>
      <c r="E31">
        <v>239.6</v>
      </c>
      <c r="F31">
        <v>209.45</v>
      </c>
      <c r="G31">
        <v>124.12</v>
      </c>
      <c r="H31">
        <v>27.36</v>
      </c>
      <c r="I31">
        <v>712.07</v>
      </c>
      <c r="J31">
        <v>147.49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75</v>
      </c>
      <c r="C32">
        <v>2020</v>
      </c>
      <c r="D32">
        <v>74</v>
      </c>
      <c r="E32">
        <v>1.84</v>
      </c>
      <c r="F32">
        <v>0</v>
      </c>
      <c r="G32">
        <v>5.26</v>
      </c>
      <c r="H32">
        <v>0</v>
      </c>
      <c r="I32">
        <v>26.81</v>
      </c>
      <c r="J32">
        <v>0</v>
      </c>
      <c r="K32">
        <v>0.1</v>
      </c>
      <c r="L32" t="s">
        <v>8</v>
      </c>
      <c r="M32" t="s">
        <v>27</v>
      </c>
    </row>
    <row r="33" spans="1:13" x14ac:dyDescent="0.45">
      <c r="A33" t="s">
        <v>7</v>
      </c>
      <c r="B33" t="s">
        <v>75</v>
      </c>
      <c r="C33">
        <v>2025</v>
      </c>
      <c r="D33">
        <v>68</v>
      </c>
      <c r="E33">
        <v>22.35</v>
      </c>
      <c r="F33">
        <v>17.329999999999998</v>
      </c>
      <c r="G33">
        <v>21.31</v>
      </c>
      <c r="H33">
        <v>0</v>
      </c>
      <c r="I33">
        <v>107.94</v>
      </c>
      <c r="J33">
        <v>10.49</v>
      </c>
      <c r="K33">
        <v>23.89</v>
      </c>
      <c r="L33" t="s">
        <v>8</v>
      </c>
      <c r="M33" t="s">
        <v>27</v>
      </c>
    </row>
    <row r="34" spans="1:13" x14ac:dyDescent="0.45">
      <c r="A34" t="s">
        <v>7</v>
      </c>
      <c r="B34" t="s">
        <v>75</v>
      </c>
      <c r="C34">
        <v>2030</v>
      </c>
      <c r="D34">
        <v>74</v>
      </c>
      <c r="E34">
        <v>43.19</v>
      </c>
      <c r="F34">
        <v>35.18</v>
      </c>
      <c r="G34">
        <v>21.26</v>
      </c>
      <c r="H34">
        <v>0</v>
      </c>
      <c r="I34">
        <v>97.4</v>
      </c>
      <c r="J34">
        <v>32.270000000000003</v>
      </c>
      <c r="K34">
        <v>56.45</v>
      </c>
      <c r="L34" t="s">
        <v>8</v>
      </c>
      <c r="M34" t="s">
        <v>27</v>
      </c>
    </row>
    <row r="35" spans="1:13" x14ac:dyDescent="0.45">
      <c r="A35" t="s">
        <v>7</v>
      </c>
      <c r="B35" t="s">
        <v>75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75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27</v>
      </c>
    </row>
    <row r="37" spans="1:13" x14ac:dyDescent="0.45">
      <c r="A37" t="s">
        <v>7</v>
      </c>
      <c r="B37" t="s">
        <v>75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75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75</v>
      </c>
      <c r="C39">
        <v>2020</v>
      </c>
      <c r="D39">
        <v>52</v>
      </c>
      <c r="E39">
        <v>0.75</v>
      </c>
      <c r="F39">
        <v>0</v>
      </c>
      <c r="G39">
        <v>1.89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27</v>
      </c>
    </row>
    <row r="40" spans="1:13" x14ac:dyDescent="0.45">
      <c r="A40" t="s">
        <v>9</v>
      </c>
      <c r="B40" t="s">
        <v>75</v>
      </c>
      <c r="C40">
        <v>2025</v>
      </c>
      <c r="D40">
        <v>47</v>
      </c>
      <c r="E40">
        <v>0.55000000000000004</v>
      </c>
      <c r="F40">
        <v>0</v>
      </c>
      <c r="G40">
        <v>1.24</v>
      </c>
      <c r="H40">
        <v>0</v>
      </c>
      <c r="I40">
        <v>5.17</v>
      </c>
      <c r="J40">
        <v>0</v>
      </c>
      <c r="K40">
        <v>0.26</v>
      </c>
      <c r="L40" t="s">
        <v>10</v>
      </c>
      <c r="M40" t="s">
        <v>27</v>
      </c>
    </row>
    <row r="41" spans="1:13" x14ac:dyDescent="0.45">
      <c r="A41" t="s">
        <v>9</v>
      </c>
      <c r="B41" t="s">
        <v>75</v>
      </c>
      <c r="C41">
        <v>2030</v>
      </c>
      <c r="D41">
        <v>52</v>
      </c>
      <c r="E41">
        <v>3.19</v>
      </c>
      <c r="F41">
        <v>0</v>
      </c>
      <c r="G41">
        <v>10.75</v>
      </c>
      <c r="H41">
        <v>0</v>
      </c>
      <c r="I41">
        <v>46.98</v>
      </c>
      <c r="J41">
        <v>0</v>
      </c>
      <c r="K41">
        <v>0.76</v>
      </c>
      <c r="L41" t="s">
        <v>10</v>
      </c>
      <c r="M41" t="s">
        <v>27</v>
      </c>
    </row>
    <row r="42" spans="1:13" x14ac:dyDescent="0.45">
      <c r="A42" t="s">
        <v>9</v>
      </c>
      <c r="B42" t="s">
        <v>75</v>
      </c>
      <c r="C42">
        <v>2035</v>
      </c>
      <c r="D42">
        <v>47</v>
      </c>
      <c r="E42">
        <v>0.83</v>
      </c>
      <c r="F42">
        <v>0</v>
      </c>
      <c r="G42">
        <v>1.35</v>
      </c>
      <c r="H42">
        <v>0</v>
      </c>
      <c r="I42">
        <v>5.82</v>
      </c>
      <c r="J42">
        <v>0</v>
      </c>
      <c r="K42">
        <v>1.19</v>
      </c>
      <c r="L42" t="s">
        <v>10</v>
      </c>
      <c r="M42" t="s">
        <v>27</v>
      </c>
    </row>
    <row r="43" spans="1:13" x14ac:dyDescent="0.45">
      <c r="A43" t="s">
        <v>9</v>
      </c>
      <c r="B43" t="s">
        <v>75</v>
      </c>
      <c r="C43">
        <v>2040</v>
      </c>
      <c r="D43">
        <v>52</v>
      </c>
      <c r="E43">
        <v>0.96</v>
      </c>
      <c r="F43">
        <v>0</v>
      </c>
      <c r="G43">
        <v>1.56</v>
      </c>
      <c r="H43">
        <v>0</v>
      </c>
      <c r="I43">
        <v>6.81</v>
      </c>
      <c r="J43">
        <v>0</v>
      </c>
      <c r="K43">
        <v>1.54</v>
      </c>
      <c r="L43" t="s">
        <v>10</v>
      </c>
      <c r="M43" t="s">
        <v>27</v>
      </c>
    </row>
    <row r="44" spans="1:13" x14ac:dyDescent="0.45">
      <c r="A44" t="s">
        <v>9</v>
      </c>
      <c r="B44" t="s">
        <v>75</v>
      </c>
      <c r="C44">
        <v>2045</v>
      </c>
      <c r="D44">
        <v>47</v>
      </c>
      <c r="E44">
        <v>1.32</v>
      </c>
      <c r="F44">
        <v>0</v>
      </c>
      <c r="G44">
        <v>1.87</v>
      </c>
      <c r="H44">
        <v>0</v>
      </c>
      <c r="I44">
        <v>7.73</v>
      </c>
      <c r="J44">
        <v>0</v>
      </c>
      <c r="K44">
        <v>2.08</v>
      </c>
      <c r="L44" t="s">
        <v>10</v>
      </c>
      <c r="M44" t="s">
        <v>27</v>
      </c>
    </row>
    <row r="45" spans="1:13" x14ac:dyDescent="0.45">
      <c r="A45" t="s">
        <v>9</v>
      </c>
      <c r="B45" t="s">
        <v>75</v>
      </c>
      <c r="C45">
        <v>2050</v>
      </c>
      <c r="D45">
        <v>52</v>
      </c>
      <c r="E45">
        <v>1.44</v>
      </c>
      <c r="F45">
        <v>0</v>
      </c>
      <c r="G45">
        <v>2.12</v>
      </c>
      <c r="H45">
        <v>0</v>
      </c>
      <c r="I45">
        <v>8.75</v>
      </c>
      <c r="J45">
        <v>0</v>
      </c>
      <c r="K45">
        <v>2.68</v>
      </c>
      <c r="L45" t="s">
        <v>10</v>
      </c>
      <c r="M45" t="s">
        <v>27</v>
      </c>
    </row>
    <row r="46" spans="1:13" x14ac:dyDescent="0.45">
      <c r="A46" t="s">
        <v>0</v>
      </c>
      <c r="B46" t="s">
        <v>75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75</v>
      </c>
      <c r="C47">
        <v>2025</v>
      </c>
      <c r="D47">
        <v>64</v>
      </c>
      <c r="E47">
        <v>0.94</v>
      </c>
      <c r="F47">
        <v>0.93</v>
      </c>
      <c r="G47">
        <v>0.11</v>
      </c>
      <c r="H47">
        <v>0.67</v>
      </c>
      <c r="I47">
        <v>1.25</v>
      </c>
      <c r="J47">
        <v>0.9</v>
      </c>
      <c r="K47">
        <v>1.01</v>
      </c>
      <c r="L47" t="s">
        <v>1</v>
      </c>
      <c r="M47" t="s">
        <v>11</v>
      </c>
    </row>
    <row r="48" spans="1:13" x14ac:dyDescent="0.45">
      <c r="A48" t="s">
        <v>0</v>
      </c>
      <c r="B48" t="s">
        <v>75</v>
      </c>
      <c r="C48">
        <v>2030</v>
      </c>
      <c r="D48">
        <v>64</v>
      </c>
      <c r="E48">
        <v>0.98</v>
      </c>
      <c r="F48">
        <v>0.94</v>
      </c>
      <c r="G48">
        <v>0.17</v>
      </c>
      <c r="H48">
        <v>0.73</v>
      </c>
      <c r="I48">
        <v>1.64</v>
      </c>
      <c r="J48">
        <v>0.88</v>
      </c>
      <c r="K48">
        <v>1.05</v>
      </c>
      <c r="L48" t="s">
        <v>1</v>
      </c>
      <c r="M48" t="s">
        <v>11</v>
      </c>
    </row>
    <row r="49" spans="1:13" x14ac:dyDescent="0.45">
      <c r="A49" t="s">
        <v>0</v>
      </c>
      <c r="B49" t="s">
        <v>75</v>
      </c>
      <c r="C49">
        <v>2035</v>
      </c>
      <c r="D49">
        <v>64</v>
      </c>
      <c r="E49">
        <v>1.08</v>
      </c>
      <c r="F49">
        <v>0.99</v>
      </c>
      <c r="G49">
        <v>0.21</v>
      </c>
      <c r="H49">
        <v>0.83</v>
      </c>
      <c r="I49">
        <v>1.88</v>
      </c>
      <c r="J49">
        <v>0.95</v>
      </c>
      <c r="K49">
        <v>1.17</v>
      </c>
      <c r="L49" t="s">
        <v>1</v>
      </c>
      <c r="M49" t="s">
        <v>11</v>
      </c>
    </row>
    <row r="50" spans="1:13" x14ac:dyDescent="0.45">
      <c r="A50" t="s">
        <v>0</v>
      </c>
      <c r="B50" t="s">
        <v>75</v>
      </c>
      <c r="C50">
        <v>2040</v>
      </c>
      <c r="D50">
        <v>64</v>
      </c>
      <c r="E50">
        <v>1.2</v>
      </c>
      <c r="F50">
        <v>1.1100000000000001</v>
      </c>
      <c r="G50">
        <v>0.25</v>
      </c>
      <c r="H50">
        <v>0.84</v>
      </c>
      <c r="I50">
        <v>2.2400000000000002</v>
      </c>
      <c r="J50">
        <v>1.05</v>
      </c>
      <c r="K50">
        <v>1.33</v>
      </c>
      <c r="L50" t="s">
        <v>1</v>
      </c>
      <c r="M50" t="s">
        <v>11</v>
      </c>
    </row>
    <row r="51" spans="1:13" x14ac:dyDescent="0.45">
      <c r="A51" t="s">
        <v>0</v>
      </c>
      <c r="B51" t="s">
        <v>75</v>
      </c>
      <c r="C51">
        <v>2045</v>
      </c>
      <c r="D51">
        <v>64</v>
      </c>
      <c r="E51">
        <v>1.29</v>
      </c>
      <c r="F51">
        <v>1.23</v>
      </c>
      <c r="G51">
        <v>0.26</v>
      </c>
      <c r="H51">
        <v>0.86</v>
      </c>
      <c r="I51">
        <v>2.3199999999999998</v>
      </c>
      <c r="J51">
        <v>1.1299999999999999</v>
      </c>
      <c r="K51">
        <v>1.44</v>
      </c>
      <c r="L51" t="s">
        <v>1</v>
      </c>
      <c r="M51" t="s">
        <v>11</v>
      </c>
    </row>
    <row r="52" spans="1:13" x14ac:dyDescent="0.45">
      <c r="A52" t="s">
        <v>0</v>
      </c>
      <c r="B52" t="s">
        <v>75</v>
      </c>
      <c r="C52">
        <v>2050</v>
      </c>
      <c r="D52">
        <v>64</v>
      </c>
      <c r="E52">
        <v>1.37</v>
      </c>
      <c r="F52">
        <v>1.33</v>
      </c>
      <c r="G52">
        <v>0.27</v>
      </c>
      <c r="H52">
        <v>0.87</v>
      </c>
      <c r="I52">
        <v>2.36</v>
      </c>
      <c r="J52">
        <v>1.18</v>
      </c>
      <c r="K52">
        <v>1.52</v>
      </c>
      <c r="L52" t="s">
        <v>1</v>
      </c>
      <c r="M52" t="s">
        <v>11</v>
      </c>
    </row>
    <row r="53" spans="1:13" x14ac:dyDescent="0.45">
      <c r="A53" t="s">
        <v>2</v>
      </c>
      <c r="B53" t="s">
        <v>75</v>
      </c>
      <c r="C53">
        <v>2020</v>
      </c>
      <c r="D53">
        <v>95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75</v>
      </c>
      <c r="C54">
        <v>2025</v>
      </c>
      <c r="D54">
        <v>84</v>
      </c>
      <c r="E54">
        <v>1</v>
      </c>
      <c r="F54">
        <v>1</v>
      </c>
      <c r="G54">
        <v>0.04</v>
      </c>
      <c r="H54">
        <v>0.84</v>
      </c>
      <c r="I54">
        <v>1.06</v>
      </c>
      <c r="J54">
        <v>0.98</v>
      </c>
      <c r="K54">
        <v>1.02</v>
      </c>
      <c r="L54" t="s">
        <v>3</v>
      </c>
      <c r="M54" t="s">
        <v>11</v>
      </c>
    </row>
    <row r="55" spans="1:13" x14ac:dyDescent="0.45">
      <c r="A55" t="s">
        <v>2</v>
      </c>
      <c r="B55" t="s">
        <v>75</v>
      </c>
      <c r="C55">
        <v>2030</v>
      </c>
      <c r="D55">
        <v>95</v>
      </c>
      <c r="E55">
        <v>1.03</v>
      </c>
      <c r="F55">
        <v>1.03</v>
      </c>
      <c r="G55">
        <v>0.09</v>
      </c>
      <c r="H55">
        <v>0.74</v>
      </c>
      <c r="I55">
        <v>1.25</v>
      </c>
      <c r="J55">
        <v>0.97</v>
      </c>
      <c r="K55">
        <v>1.06</v>
      </c>
      <c r="L55" t="s">
        <v>3</v>
      </c>
      <c r="M55" t="s">
        <v>11</v>
      </c>
    </row>
    <row r="56" spans="1:13" x14ac:dyDescent="0.45">
      <c r="A56" t="s">
        <v>2</v>
      </c>
      <c r="B56" t="s">
        <v>75</v>
      </c>
      <c r="C56">
        <v>2035</v>
      </c>
      <c r="D56">
        <v>84</v>
      </c>
      <c r="E56">
        <v>1.03</v>
      </c>
      <c r="F56">
        <v>1.03</v>
      </c>
      <c r="G56">
        <v>0.1</v>
      </c>
      <c r="H56">
        <v>0.76</v>
      </c>
      <c r="I56">
        <v>1.24</v>
      </c>
      <c r="J56">
        <v>0.96</v>
      </c>
      <c r="K56">
        <v>1.1200000000000001</v>
      </c>
      <c r="L56" t="s">
        <v>3</v>
      </c>
      <c r="M56" t="s">
        <v>11</v>
      </c>
    </row>
    <row r="57" spans="1:13" x14ac:dyDescent="0.45">
      <c r="A57" t="s">
        <v>2</v>
      </c>
      <c r="B57" t="s">
        <v>75</v>
      </c>
      <c r="C57">
        <v>2040</v>
      </c>
      <c r="D57">
        <v>95</v>
      </c>
      <c r="E57">
        <v>1.1599999999999999</v>
      </c>
      <c r="F57">
        <v>1.1499999999999999</v>
      </c>
      <c r="G57">
        <v>0.18</v>
      </c>
      <c r="H57">
        <v>0.81</v>
      </c>
      <c r="I57">
        <v>1.62</v>
      </c>
      <c r="J57">
        <v>1.03</v>
      </c>
      <c r="K57">
        <v>1.28</v>
      </c>
      <c r="L57" t="s">
        <v>3</v>
      </c>
      <c r="M57" t="s">
        <v>11</v>
      </c>
    </row>
    <row r="58" spans="1:13" x14ac:dyDescent="0.45">
      <c r="A58" t="s">
        <v>2</v>
      </c>
      <c r="B58" t="s">
        <v>75</v>
      </c>
      <c r="C58">
        <v>2045</v>
      </c>
      <c r="D58">
        <v>84</v>
      </c>
      <c r="E58">
        <v>1.22</v>
      </c>
      <c r="F58">
        <v>1.2</v>
      </c>
      <c r="G58">
        <v>0.14000000000000001</v>
      </c>
      <c r="H58">
        <v>0.82</v>
      </c>
      <c r="I58">
        <v>1.45</v>
      </c>
      <c r="J58">
        <v>1.1200000000000001</v>
      </c>
      <c r="K58">
        <v>1.37</v>
      </c>
      <c r="L58" t="s">
        <v>3</v>
      </c>
      <c r="M58" t="s">
        <v>11</v>
      </c>
    </row>
    <row r="59" spans="1:13" x14ac:dyDescent="0.45">
      <c r="A59" t="s">
        <v>2</v>
      </c>
      <c r="B59" t="s">
        <v>75</v>
      </c>
      <c r="C59">
        <v>2050</v>
      </c>
      <c r="D59">
        <v>95</v>
      </c>
      <c r="E59">
        <v>1.37</v>
      </c>
      <c r="F59">
        <v>1.35</v>
      </c>
      <c r="G59">
        <v>0.2</v>
      </c>
      <c r="H59">
        <v>0.84</v>
      </c>
      <c r="I59">
        <v>1.94</v>
      </c>
      <c r="J59">
        <v>1.24</v>
      </c>
      <c r="K59">
        <v>1.48</v>
      </c>
      <c r="L59" t="s">
        <v>3</v>
      </c>
      <c r="M59" t="s">
        <v>11</v>
      </c>
    </row>
    <row r="60" spans="1:13" x14ac:dyDescent="0.45">
      <c r="A60" t="s">
        <v>5</v>
      </c>
      <c r="B60" t="s">
        <v>75</v>
      </c>
      <c r="C60">
        <v>2020</v>
      </c>
      <c r="D60">
        <v>229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75</v>
      </c>
      <c r="C61">
        <v>2025</v>
      </c>
      <c r="D61">
        <v>206</v>
      </c>
      <c r="E61">
        <v>0.98</v>
      </c>
      <c r="F61">
        <v>0.99</v>
      </c>
      <c r="G61">
        <v>7.0000000000000007E-2</v>
      </c>
      <c r="H61">
        <v>0.68</v>
      </c>
      <c r="I61">
        <v>1.31</v>
      </c>
      <c r="J61">
        <v>0.97</v>
      </c>
      <c r="K61">
        <v>1.02</v>
      </c>
      <c r="L61" t="s">
        <v>6</v>
      </c>
      <c r="M61" t="s">
        <v>11</v>
      </c>
    </row>
    <row r="62" spans="1:13" x14ac:dyDescent="0.45">
      <c r="A62" t="s">
        <v>5</v>
      </c>
      <c r="B62" t="s">
        <v>75</v>
      </c>
      <c r="C62">
        <v>2030</v>
      </c>
      <c r="D62">
        <v>229</v>
      </c>
      <c r="E62">
        <v>1</v>
      </c>
      <c r="F62">
        <v>1</v>
      </c>
      <c r="G62">
        <v>0.1</v>
      </c>
      <c r="H62">
        <v>0.76</v>
      </c>
      <c r="I62">
        <v>1.6</v>
      </c>
      <c r="J62">
        <v>0.95</v>
      </c>
      <c r="K62">
        <v>1.06</v>
      </c>
      <c r="L62" t="s">
        <v>6</v>
      </c>
      <c r="M62" t="s">
        <v>11</v>
      </c>
    </row>
    <row r="63" spans="1:13" x14ac:dyDescent="0.45">
      <c r="A63" t="s">
        <v>5</v>
      </c>
      <c r="B63" t="s">
        <v>75</v>
      </c>
      <c r="C63">
        <v>2035</v>
      </c>
      <c r="D63">
        <v>206</v>
      </c>
      <c r="E63">
        <v>1.04</v>
      </c>
      <c r="F63">
        <v>1.01</v>
      </c>
      <c r="G63">
        <v>0.17</v>
      </c>
      <c r="H63">
        <v>0.83</v>
      </c>
      <c r="I63">
        <v>2.2000000000000002</v>
      </c>
      <c r="J63">
        <v>0.93</v>
      </c>
      <c r="K63">
        <v>1.1000000000000001</v>
      </c>
      <c r="L63" t="s">
        <v>6</v>
      </c>
      <c r="M63" t="s">
        <v>11</v>
      </c>
    </row>
    <row r="64" spans="1:13" x14ac:dyDescent="0.45">
      <c r="A64" t="s">
        <v>5</v>
      </c>
      <c r="B64" t="s">
        <v>75</v>
      </c>
      <c r="C64">
        <v>2040</v>
      </c>
      <c r="D64">
        <v>229</v>
      </c>
      <c r="E64">
        <v>1.1399999999999999</v>
      </c>
      <c r="F64">
        <v>1.1299999999999999</v>
      </c>
      <c r="G64">
        <v>0.21</v>
      </c>
      <c r="H64">
        <v>0.84</v>
      </c>
      <c r="I64">
        <v>2.2799999999999998</v>
      </c>
      <c r="J64">
        <v>0.99</v>
      </c>
      <c r="K64">
        <v>1.2</v>
      </c>
      <c r="L64" t="s">
        <v>6</v>
      </c>
      <c r="M64" t="s">
        <v>11</v>
      </c>
    </row>
    <row r="65" spans="1:13" x14ac:dyDescent="0.45">
      <c r="A65" t="s">
        <v>5</v>
      </c>
      <c r="B65" t="s">
        <v>75</v>
      </c>
      <c r="C65">
        <v>2045</v>
      </c>
      <c r="D65">
        <v>206</v>
      </c>
      <c r="E65">
        <v>1.25</v>
      </c>
      <c r="F65">
        <v>1.2</v>
      </c>
      <c r="G65">
        <v>0.24</v>
      </c>
      <c r="H65">
        <v>0.9</v>
      </c>
      <c r="I65">
        <v>2.34</v>
      </c>
      <c r="J65">
        <v>1.1000000000000001</v>
      </c>
      <c r="K65">
        <v>1.33</v>
      </c>
      <c r="L65" t="s">
        <v>6</v>
      </c>
      <c r="M65" t="s">
        <v>11</v>
      </c>
    </row>
    <row r="66" spans="1:13" x14ac:dyDescent="0.45">
      <c r="A66" t="s">
        <v>5</v>
      </c>
      <c r="B66" t="s">
        <v>75</v>
      </c>
      <c r="C66">
        <v>2050</v>
      </c>
      <c r="D66">
        <v>229</v>
      </c>
      <c r="E66">
        <v>1.36</v>
      </c>
      <c r="F66">
        <v>1.33</v>
      </c>
      <c r="G66">
        <v>0.24</v>
      </c>
      <c r="H66">
        <v>0.96</v>
      </c>
      <c r="I66">
        <v>2.38</v>
      </c>
      <c r="J66">
        <v>1.24</v>
      </c>
      <c r="K66">
        <v>1.45</v>
      </c>
      <c r="L66" t="s">
        <v>6</v>
      </c>
      <c r="M66" t="s">
        <v>11</v>
      </c>
    </row>
    <row r="67" spans="1:13" x14ac:dyDescent="0.45">
      <c r="A67" t="s">
        <v>7</v>
      </c>
      <c r="B67" t="s">
        <v>75</v>
      </c>
      <c r="C67">
        <v>2020</v>
      </c>
      <c r="D67">
        <v>97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75</v>
      </c>
      <c r="C68">
        <v>2025</v>
      </c>
      <c r="D68">
        <v>91</v>
      </c>
      <c r="E68">
        <v>0.99</v>
      </c>
      <c r="F68">
        <v>1</v>
      </c>
      <c r="G68">
        <v>0.04</v>
      </c>
      <c r="H68">
        <v>0.83</v>
      </c>
      <c r="I68">
        <v>1.05</v>
      </c>
      <c r="J68">
        <v>0.98</v>
      </c>
      <c r="K68">
        <v>1.01</v>
      </c>
      <c r="L68" t="s">
        <v>8</v>
      </c>
      <c r="M68" t="s">
        <v>11</v>
      </c>
    </row>
    <row r="69" spans="1:13" x14ac:dyDescent="0.45">
      <c r="A69" t="s">
        <v>7</v>
      </c>
      <c r="B69" t="s">
        <v>75</v>
      </c>
      <c r="C69">
        <v>2030</v>
      </c>
      <c r="D69">
        <v>97</v>
      </c>
      <c r="E69">
        <v>1</v>
      </c>
      <c r="F69">
        <v>1</v>
      </c>
      <c r="G69">
        <v>0.06</v>
      </c>
      <c r="H69">
        <v>0.83</v>
      </c>
      <c r="I69">
        <v>1.1299999999999999</v>
      </c>
      <c r="J69">
        <v>0.97</v>
      </c>
      <c r="K69">
        <v>1.03</v>
      </c>
      <c r="L69" t="s">
        <v>8</v>
      </c>
      <c r="M69" t="s">
        <v>11</v>
      </c>
    </row>
    <row r="70" spans="1:13" x14ac:dyDescent="0.45">
      <c r="A70" t="s">
        <v>7</v>
      </c>
      <c r="B70" t="s">
        <v>75</v>
      </c>
      <c r="C70">
        <v>2035</v>
      </c>
      <c r="D70">
        <v>91</v>
      </c>
      <c r="E70">
        <v>1.02</v>
      </c>
      <c r="F70">
        <v>1.02</v>
      </c>
      <c r="G70">
        <v>0.08</v>
      </c>
      <c r="H70">
        <v>0.85</v>
      </c>
      <c r="I70">
        <v>1.21</v>
      </c>
      <c r="J70">
        <v>0.98</v>
      </c>
      <c r="K70">
        <v>1.04</v>
      </c>
      <c r="L70" t="s">
        <v>8</v>
      </c>
      <c r="M70" t="s">
        <v>11</v>
      </c>
    </row>
    <row r="71" spans="1:13" x14ac:dyDescent="0.45">
      <c r="A71" t="s">
        <v>7</v>
      </c>
      <c r="B71" t="s">
        <v>75</v>
      </c>
      <c r="C71">
        <v>2040</v>
      </c>
      <c r="D71">
        <v>97</v>
      </c>
      <c r="E71">
        <v>1.08</v>
      </c>
      <c r="F71">
        <v>1.08</v>
      </c>
      <c r="G71">
        <v>0.1</v>
      </c>
      <c r="H71">
        <v>0.85</v>
      </c>
      <c r="I71">
        <v>1.29</v>
      </c>
      <c r="J71">
        <v>1.01</v>
      </c>
      <c r="K71">
        <v>1.1299999999999999</v>
      </c>
      <c r="L71" t="s">
        <v>8</v>
      </c>
      <c r="M71" t="s">
        <v>11</v>
      </c>
    </row>
    <row r="72" spans="1:13" x14ac:dyDescent="0.45">
      <c r="A72" t="s">
        <v>7</v>
      </c>
      <c r="B72" t="s">
        <v>75</v>
      </c>
      <c r="C72">
        <v>2045</v>
      </c>
      <c r="D72">
        <v>91</v>
      </c>
      <c r="E72">
        <v>1.1499999999999999</v>
      </c>
      <c r="F72">
        <v>1.1499999999999999</v>
      </c>
      <c r="G72">
        <v>0.12</v>
      </c>
      <c r="H72">
        <v>0.89</v>
      </c>
      <c r="I72">
        <v>1.37</v>
      </c>
      <c r="J72">
        <v>1.05</v>
      </c>
      <c r="K72">
        <v>1.24</v>
      </c>
      <c r="L72" t="s">
        <v>8</v>
      </c>
      <c r="M72" t="s">
        <v>11</v>
      </c>
    </row>
    <row r="73" spans="1:13" x14ac:dyDescent="0.45">
      <c r="A73" t="s">
        <v>7</v>
      </c>
      <c r="B73" t="s">
        <v>75</v>
      </c>
      <c r="C73">
        <v>2050</v>
      </c>
      <c r="D73">
        <v>97</v>
      </c>
      <c r="E73">
        <v>1.25</v>
      </c>
      <c r="F73">
        <v>1.29</v>
      </c>
      <c r="G73">
        <v>0.13</v>
      </c>
      <c r="H73">
        <v>0.94</v>
      </c>
      <c r="I73">
        <v>1.46</v>
      </c>
      <c r="J73">
        <v>1.1499999999999999</v>
      </c>
      <c r="K73">
        <v>1.36</v>
      </c>
      <c r="L73" t="s">
        <v>8</v>
      </c>
      <c r="M73" t="s">
        <v>11</v>
      </c>
    </row>
    <row r="74" spans="1:13" x14ac:dyDescent="0.45">
      <c r="A74" t="s">
        <v>9</v>
      </c>
      <c r="B74" t="s">
        <v>75</v>
      </c>
      <c r="C74">
        <v>2020</v>
      </c>
      <c r="D74">
        <v>60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75</v>
      </c>
      <c r="C75">
        <v>2025</v>
      </c>
      <c r="D75">
        <v>55</v>
      </c>
      <c r="E75">
        <v>1.02</v>
      </c>
      <c r="F75">
        <v>1.01</v>
      </c>
      <c r="G75">
        <v>0.09</v>
      </c>
      <c r="H75">
        <v>0.91</v>
      </c>
      <c r="I75">
        <v>1.62</v>
      </c>
      <c r="J75">
        <v>0.99</v>
      </c>
      <c r="K75">
        <v>1.04</v>
      </c>
      <c r="L75" t="s">
        <v>10</v>
      </c>
      <c r="M75" t="s">
        <v>11</v>
      </c>
    </row>
    <row r="76" spans="1:13" x14ac:dyDescent="0.45">
      <c r="A76" t="s">
        <v>9</v>
      </c>
      <c r="B76" t="s">
        <v>75</v>
      </c>
      <c r="C76">
        <v>2030</v>
      </c>
      <c r="D76">
        <v>60</v>
      </c>
      <c r="E76">
        <v>1.03</v>
      </c>
      <c r="F76">
        <v>1.03</v>
      </c>
      <c r="G76">
        <v>0.1</v>
      </c>
      <c r="H76">
        <v>0.82</v>
      </c>
      <c r="I76">
        <v>1.55</v>
      </c>
      <c r="J76">
        <v>0.95</v>
      </c>
      <c r="K76">
        <v>1.1000000000000001</v>
      </c>
      <c r="L76" t="s">
        <v>10</v>
      </c>
      <c r="M76" t="s">
        <v>11</v>
      </c>
    </row>
    <row r="77" spans="1:13" x14ac:dyDescent="0.45">
      <c r="A77" t="s">
        <v>9</v>
      </c>
      <c r="B77" t="s">
        <v>75</v>
      </c>
      <c r="C77">
        <v>2035</v>
      </c>
      <c r="D77">
        <v>55</v>
      </c>
      <c r="E77">
        <v>1.05</v>
      </c>
      <c r="F77">
        <v>1.05</v>
      </c>
      <c r="G77">
        <v>0.12</v>
      </c>
      <c r="H77">
        <v>0.78</v>
      </c>
      <c r="I77">
        <v>1.63</v>
      </c>
      <c r="J77">
        <v>0.96</v>
      </c>
      <c r="K77">
        <v>1.1000000000000001</v>
      </c>
      <c r="L77" t="s">
        <v>10</v>
      </c>
      <c r="M77" t="s">
        <v>11</v>
      </c>
    </row>
    <row r="78" spans="1:13" x14ac:dyDescent="0.45">
      <c r="A78" t="s">
        <v>9</v>
      </c>
      <c r="B78" t="s">
        <v>75</v>
      </c>
      <c r="C78">
        <v>2040</v>
      </c>
      <c r="D78">
        <v>60</v>
      </c>
      <c r="E78">
        <v>1.08</v>
      </c>
      <c r="F78">
        <v>1.0900000000000001</v>
      </c>
      <c r="G78">
        <v>0.15</v>
      </c>
      <c r="H78">
        <v>0.77</v>
      </c>
      <c r="I78">
        <v>1.74</v>
      </c>
      <c r="J78">
        <v>0.95</v>
      </c>
      <c r="K78">
        <v>1.19</v>
      </c>
      <c r="L78" t="s">
        <v>10</v>
      </c>
      <c r="M78" t="s">
        <v>11</v>
      </c>
    </row>
    <row r="79" spans="1:13" x14ac:dyDescent="0.45">
      <c r="A79" t="s">
        <v>9</v>
      </c>
      <c r="B79" t="s">
        <v>75</v>
      </c>
      <c r="C79">
        <v>2045</v>
      </c>
      <c r="D79">
        <v>55</v>
      </c>
      <c r="E79">
        <v>1.0900000000000001</v>
      </c>
      <c r="F79">
        <v>1.1000000000000001</v>
      </c>
      <c r="G79">
        <v>0.17</v>
      </c>
      <c r="H79">
        <v>0.77</v>
      </c>
      <c r="I79">
        <v>1.78</v>
      </c>
      <c r="J79">
        <v>0.93</v>
      </c>
      <c r="K79">
        <v>1.1599999999999999</v>
      </c>
      <c r="L79" t="s">
        <v>10</v>
      </c>
      <c r="M79" t="s">
        <v>11</v>
      </c>
    </row>
    <row r="80" spans="1:13" x14ac:dyDescent="0.45">
      <c r="A80" t="s">
        <v>9</v>
      </c>
      <c r="B80" t="s">
        <v>75</v>
      </c>
      <c r="C80">
        <v>2050</v>
      </c>
      <c r="D80">
        <v>60</v>
      </c>
      <c r="E80">
        <v>1.1299999999999999</v>
      </c>
      <c r="F80">
        <v>1.1499999999999999</v>
      </c>
      <c r="G80">
        <v>0.19</v>
      </c>
      <c r="H80">
        <v>0.79</v>
      </c>
      <c r="I80">
        <v>1.86</v>
      </c>
      <c r="J80">
        <v>0.95</v>
      </c>
      <c r="K80">
        <v>1.22</v>
      </c>
      <c r="L80" t="s">
        <v>10</v>
      </c>
      <c r="M80" t="s">
        <v>11</v>
      </c>
    </row>
    <row r="81" spans="1:13" x14ac:dyDescent="0.45">
      <c r="A81" t="s">
        <v>0</v>
      </c>
      <c r="B81" t="s">
        <v>75</v>
      </c>
      <c r="C81">
        <v>2020</v>
      </c>
      <c r="D81">
        <v>61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</v>
      </c>
      <c r="L81" t="s">
        <v>1</v>
      </c>
      <c r="M81" t="s">
        <v>15</v>
      </c>
    </row>
    <row r="82" spans="1:13" x14ac:dyDescent="0.45">
      <c r="A82" t="s">
        <v>0</v>
      </c>
      <c r="B82" t="s">
        <v>75</v>
      </c>
      <c r="C82">
        <v>2025</v>
      </c>
      <c r="D82">
        <v>61</v>
      </c>
      <c r="E82">
        <v>0</v>
      </c>
      <c r="F82">
        <v>0</v>
      </c>
      <c r="G82">
        <v>0</v>
      </c>
      <c r="H82">
        <v>0</v>
      </c>
      <c r="I82">
        <v>0.02</v>
      </c>
      <c r="J82">
        <v>0</v>
      </c>
      <c r="K82">
        <v>0</v>
      </c>
      <c r="L82" t="s">
        <v>1</v>
      </c>
      <c r="M82" t="s">
        <v>15</v>
      </c>
    </row>
    <row r="83" spans="1:13" x14ac:dyDescent="0.45">
      <c r="A83" t="s">
        <v>0</v>
      </c>
      <c r="B83" t="s">
        <v>75</v>
      </c>
      <c r="C83">
        <v>2030</v>
      </c>
      <c r="D83">
        <v>61</v>
      </c>
      <c r="E83">
        <v>0.01</v>
      </c>
      <c r="F83">
        <v>0.01</v>
      </c>
      <c r="G83">
        <v>0.01</v>
      </c>
      <c r="H83">
        <v>0</v>
      </c>
      <c r="I83">
        <v>0.03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75</v>
      </c>
      <c r="C84">
        <v>2035</v>
      </c>
      <c r="D84">
        <v>61</v>
      </c>
      <c r="E84">
        <v>0.03</v>
      </c>
      <c r="F84">
        <v>0.02</v>
      </c>
      <c r="G84">
        <v>0.02</v>
      </c>
      <c r="H84">
        <v>0</v>
      </c>
      <c r="I84">
        <v>0.09</v>
      </c>
      <c r="J84">
        <v>0.01</v>
      </c>
      <c r="K84">
        <v>0.03</v>
      </c>
      <c r="L84" t="s">
        <v>1</v>
      </c>
      <c r="M84" t="s">
        <v>15</v>
      </c>
    </row>
    <row r="85" spans="1:13" x14ac:dyDescent="0.45">
      <c r="A85" t="s">
        <v>0</v>
      </c>
      <c r="B85" t="s">
        <v>75</v>
      </c>
      <c r="C85">
        <v>2040</v>
      </c>
      <c r="D85">
        <v>61</v>
      </c>
      <c r="E85">
        <v>0.04</v>
      </c>
      <c r="F85">
        <v>0.03</v>
      </c>
      <c r="G85">
        <v>0.04</v>
      </c>
      <c r="H85">
        <v>0</v>
      </c>
      <c r="I85">
        <v>0.2</v>
      </c>
      <c r="J85">
        <v>0.02</v>
      </c>
      <c r="K85">
        <v>0.05</v>
      </c>
      <c r="L85" t="s">
        <v>1</v>
      </c>
      <c r="M85" t="s">
        <v>15</v>
      </c>
    </row>
    <row r="86" spans="1:13" x14ac:dyDescent="0.45">
      <c r="A86" t="s">
        <v>0</v>
      </c>
      <c r="B86" t="s">
        <v>75</v>
      </c>
      <c r="C86">
        <v>2045</v>
      </c>
      <c r="D86">
        <v>61</v>
      </c>
      <c r="E86">
        <v>0.06</v>
      </c>
      <c r="F86">
        <v>0.05</v>
      </c>
      <c r="G86">
        <v>0.05</v>
      </c>
      <c r="H86">
        <v>0</v>
      </c>
      <c r="I86">
        <v>0.22</v>
      </c>
      <c r="J86">
        <v>0.03</v>
      </c>
      <c r="K86">
        <v>0.06</v>
      </c>
      <c r="L86" t="s">
        <v>1</v>
      </c>
      <c r="M86" t="s">
        <v>15</v>
      </c>
    </row>
    <row r="87" spans="1:13" x14ac:dyDescent="0.45">
      <c r="A87" t="s">
        <v>0</v>
      </c>
      <c r="B87" t="s">
        <v>75</v>
      </c>
      <c r="C87">
        <v>2050</v>
      </c>
      <c r="D87">
        <v>61</v>
      </c>
      <c r="E87">
        <v>0.06</v>
      </c>
      <c r="F87">
        <v>0.06</v>
      </c>
      <c r="G87">
        <v>0.05</v>
      </c>
      <c r="H87">
        <v>0</v>
      </c>
      <c r="I87">
        <v>0.22</v>
      </c>
      <c r="J87">
        <v>0.04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75</v>
      </c>
      <c r="C88">
        <v>2020</v>
      </c>
      <c r="D88">
        <v>89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75</v>
      </c>
      <c r="C89">
        <v>2025</v>
      </c>
      <c r="D89">
        <v>78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</v>
      </c>
      <c r="L89" t="s">
        <v>3</v>
      </c>
      <c r="M89" t="s">
        <v>15</v>
      </c>
    </row>
    <row r="90" spans="1:13" x14ac:dyDescent="0.45">
      <c r="A90" t="s">
        <v>2</v>
      </c>
      <c r="B90" t="s">
        <v>75</v>
      </c>
      <c r="C90">
        <v>2030</v>
      </c>
      <c r="D90">
        <v>89</v>
      </c>
      <c r="E90">
        <v>0</v>
      </c>
      <c r="F90">
        <v>0</v>
      </c>
      <c r="G90">
        <v>0.01</v>
      </c>
      <c r="H90">
        <v>0</v>
      </c>
      <c r="I90">
        <v>0.03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75</v>
      </c>
      <c r="C91">
        <v>2035</v>
      </c>
      <c r="D91">
        <v>78</v>
      </c>
      <c r="E91">
        <v>0.01</v>
      </c>
      <c r="F91">
        <v>0.01</v>
      </c>
      <c r="G91">
        <v>0.02</v>
      </c>
      <c r="H91">
        <v>0</v>
      </c>
      <c r="I91">
        <v>0.09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75</v>
      </c>
      <c r="C92">
        <v>2040</v>
      </c>
      <c r="D92">
        <v>89</v>
      </c>
      <c r="E92">
        <v>0.04</v>
      </c>
      <c r="F92">
        <v>0.03</v>
      </c>
      <c r="G92">
        <v>0.04</v>
      </c>
      <c r="H92">
        <v>0</v>
      </c>
      <c r="I92">
        <v>0.2</v>
      </c>
      <c r="J92">
        <v>0.01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75</v>
      </c>
      <c r="C93">
        <v>2045</v>
      </c>
      <c r="D93">
        <v>78</v>
      </c>
      <c r="E93">
        <v>0.05</v>
      </c>
      <c r="F93">
        <v>0.03</v>
      </c>
      <c r="G93">
        <v>0.05</v>
      </c>
      <c r="H93">
        <v>0</v>
      </c>
      <c r="I93">
        <v>0.22</v>
      </c>
      <c r="J93">
        <v>0.02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75</v>
      </c>
      <c r="C94">
        <v>2050</v>
      </c>
      <c r="D94">
        <v>89</v>
      </c>
      <c r="E94">
        <v>0.06</v>
      </c>
      <c r="F94">
        <v>0.06</v>
      </c>
      <c r="G94">
        <v>0.05</v>
      </c>
      <c r="H94">
        <v>0</v>
      </c>
      <c r="I94">
        <v>0.24</v>
      </c>
      <c r="J94">
        <v>0.04</v>
      </c>
      <c r="K94">
        <v>7.0000000000000007E-2</v>
      </c>
      <c r="L94" t="s">
        <v>3</v>
      </c>
      <c r="M94" t="s">
        <v>15</v>
      </c>
    </row>
    <row r="95" spans="1:13" x14ac:dyDescent="0.45">
      <c r="A95" t="s">
        <v>5</v>
      </c>
      <c r="B95" t="s">
        <v>75</v>
      </c>
      <c r="C95">
        <v>2020</v>
      </c>
      <c r="D95">
        <v>215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</v>
      </c>
      <c r="L95" t="s">
        <v>6</v>
      </c>
      <c r="M95" t="s">
        <v>15</v>
      </c>
    </row>
    <row r="96" spans="1:13" x14ac:dyDescent="0.45">
      <c r="A96" t="s">
        <v>5</v>
      </c>
      <c r="B96" t="s">
        <v>75</v>
      </c>
      <c r="C96">
        <v>2025</v>
      </c>
      <c r="D96">
        <v>198</v>
      </c>
      <c r="E96">
        <v>0</v>
      </c>
      <c r="F96">
        <v>0</v>
      </c>
      <c r="G96">
        <v>0</v>
      </c>
      <c r="H96">
        <v>0</v>
      </c>
      <c r="I96">
        <v>0.02</v>
      </c>
      <c r="J96">
        <v>0</v>
      </c>
      <c r="K96">
        <v>0</v>
      </c>
      <c r="L96" t="s">
        <v>6</v>
      </c>
      <c r="M96" t="s">
        <v>15</v>
      </c>
    </row>
    <row r="97" spans="1:13" x14ac:dyDescent="0.45">
      <c r="A97" t="s">
        <v>5</v>
      </c>
      <c r="B97" t="s">
        <v>75</v>
      </c>
      <c r="C97">
        <v>2030</v>
      </c>
      <c r="D97">
        <v>215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75</v>
      </c>
      <c r="C98">
        <v>2035</v>
      </c>
      <c r="D98">
        <v>198</v>
      </c>
      <c r="E98">
        <v>0.01</v>
      </c>
      <c r="F98">
        <v>0.01</v>
      </c>
      <c r="G98">
        <v>0.01</v>
      </c>
      <c r="H98">
        <v>0</v>
      </c>
      <c r="I98">
        <v>7.0000000000000007E-2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75</v>
      </c>
      <c r="C99">
        <v>2040</v>
      </c>
      <c r="D99">
        <v>215</v>
      </c>
      <c r="E99">
        <v>0.02</v>
      </c>
      <c r="F99">
        <v>0.01</v>
      </c>
      <c r="G99">
        <v>0.02</v>
      </c>
      <c r="H99">
        <v>0</v>
      </c>
      <c r="I99">
        <v>0.11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75</v>
      </c>
      <c r="C100">
        <v>2045</v>
      </c>
      <c r="D100">
        <v>198</v>
      </c>
      <c r="E100">
        <v>0.02</v>
      </c>
      <c r="F100">
        <v>0.02</v>
      </c>
      <c r="G100">
        <v>0.03</v>
      </c>
      <c r="H100">
        <v>0</v>
      </c>
      <c r="I100">
        <v>0.14000000000000001</v>
      </c>
      <c r="J100">
        <v>0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75</v>
      </c>
      <c r="C101">
        <v>2050</v>
      </c>
      <c r="D101">
        <v>215</v>
      </c>
      <c r="E101">
        <v>0.04</v>
      </c>
      <c r="F101">
        <v>0.03</v>
      </c>
      <c r="G101">
        <v>0.03</v>
      </c>
      <c r="H101">
        <v>0</v>
      </c>
      <c r="I101">
        <v>0.17</v>
      </c>
      <c r="J101">
        <v>0.01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75</v>
      </c>
      <c r="C102">
        <v>2020</v>
      </c>
      <c r="D102">
        <v>97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75</v>
      </c>
      <c r="C103">
        <v>2025</v>
      </c>
      <c r="D103">
        <v>91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75</v>
      </c>
      <c r="C104">
        <v>2030</v>
      </c>
      <c r="D104">
        <v>97</v>
      </c>
      <c r="E104">
        <v>0.01</v>
      </c>
      <c r="F104">
        <v>0</v>
      </c>
      <c r="G104">
        <v>0.01</v>
      </c>
      <c r="H104">
        <v>0</v>
      </c>
      <c r="I104">
        <v>0.03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75</v>
      </c>
      <c r="C105">
        <v>2035</v>
      </c>
      <c r="D105">
        <v>91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75</v>
      </c>
      <c r="C106">
        <v>2040</v>
      </c>
      <c r="D106">
        <v>97</v>
      </c>
      <c r="E106">
        <v>0.01</v>
      </c>
      <c r="F106">
        <v>0</v>
      </c>
      <c r="G106">
        <v>0.03</v>
      </c>
      <c r="H106">
        <v>0</v>
      </c>
      <c r="I106">
        <v>0.11</v>
      </c>
      <c r="J106">
        <v>0</v>
      </c>
      <c r="K106">
        <v>0.02</v>
      </c>
      <c r="L106" t="s">
        <v>8</v>
      </c>
      <c r="M106" t="s">
        <v>15</v>
      </c>
    </row>
    <row r="107" spans="1:13" x14ac:dyDescent="0.45">
      <c r="A107" t="s">
        <v>7</v>
      </c>
      <c r="B107" t="s">
        <v>75</v>
      </c>
      <c r="C107">
        <v>2045</v>
      </c>
      <c r="D107">
        <v>91</v>
      </c>
      <c r="E107">
        <v>0.02</v>
      </c>
      <c r="F107">
        <v>0</v>
      </c>
      <c r="G107">
        <v>0.03</v>
      </c>
      <c r="H107">
        <v>0</v>
      </c>
      <c r="I107">
        <v>0.1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75</v>
      </c>
      <c r="C108">
        <v>2050</v>
      </c>
      <c r="D108">
        <v>97</v>
      </c>
      <c r="E108">
        <v>0.02</v>
      </c>
      <c r="F108">
        <v>0</v>
      </c>
      <c r="G108">
        <v>0.02</v>
      </c>
      <c r="H108">
        <v>0</v>
      </c>
      <c r="I108">
        <v>0.08</v>
      </c>
      <c r="J108">
        <v>0</v>
      </c>
      <c r="K108">
        <v>0.03</v>
      </c>
      <c r="L108" t="s">
        <v>8</v>
      </c>
      <c r="M108" t="s">
        <v>15</v>
      </c>
    </row>
    <row r="109" spans="1:13" x14ac:dyDescent="0.45">
      <c r="A109" t="s">
        <v>9</v>
      </c>
      <c r="B109" t="s">
        <v>75</v>
      </c>
      <c r="C109">
        <v>2020</v>
      </c>
      <c r="D109">
        <v>57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</v>
      </c>
      <c r="L109" t="s">
        <v>10</v>
      </c>
      <c r="M109" t="s">
        <v>15</v>
      </c>
    </row>
    <row r="110" spans="1:13" x14ac:dyDescent="0.45">
      <c r="A110" t="s">
        <v>9</v>
      </c>
      <c r="B110" t="s">
        <v>75</v>
      </c>
      <c r="C110">
        <v>2025</v>
      </c>
      <c r="D110">
        <v>52</v>
      </c>
      <c r="E110">
        <v>0</v>
      </c>
      <c r="F110">
        <v>0</v>
      </c>
      <c r="G110">
        <v>0</v>
      </c>
      <c r="H110">
        <v>0</v>
      </c>
      <c r="I110">
        <v>0.02</v>
      </c>
      <c r="J110">
        <v>0</v>
      </c>
      <c r="K110">
        <v>0</v>
      </c>
      <c r="L110" t="s">
        <v>10</v>
      </c>
      <c r="M110" t="s">
        <v>15</v>
      </c>
    </row>
    <row r="111" spans="1:13" x14ac:dyDescent="0.45">
      <c r="A111" t="s">
        <v>9</v>
      </c>
      <c r="B111" t="s">
        <v>75</v>
      </c>
      <c r="C111">
        <v>2030</v>
      </c>
      <c r="D111">
        <v>57</v>
      </c>
      <c r="E111">
        <v>0.01</v>
      </c>
      <c r="F111">
        <v>0.01</v>
      </c>
      <c r="G111">
        <v>0.01</v>
      </c>
      <c r="H111">
        <v>0</v>
      </c>
      <c r="I111">
        <v>0.03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75</v>
      </c>
      <c r="C112">
        <v>2035</v>
      </c>
      <c r="D112">
        <v>52</v>
      </c>
      <c r="E112">
        <v>0.01</v>
      </c>
      <c r="F112">
        <v>0.01</v>
      </c>
      <c r="G112">
        <v>0.01</v>
      </c>
      <c r="H112">
        <v>0</v>
      </c>
      <c r="I112">
        <v>7.0000000000000007E-2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75</v>
      </c>
      <c r="C113">
        <v>2040</v>
      </c>
      <c r="D113">
        <v>57</v>
      </c>
      <c r="E113">
        <v>0.02</v>
      </c>
      <c r="F113">
        <v>0.01</v>
      </c>
      <c r="G113">
        <v>0.02</v>
      </c>
      <c r="H113">
        <v>0</v>
      </c>
      <c r="I113">
        <v>0.09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75</v>
      </c>
      <c r="C114">
        <v>2045</v>
      </c>
      <c r="D114">
        <v>52</v>
      </c>
      <c r="E114">
        <v>0.02</v>
      </c>
      <c r="F114">
        <v>0.02</v>
      </c>
      <c r="G114">
        <v>0.02</v>
      </c>
      <c r="H114">
        <v>0</v>
      </c>
      <c r="I114">
        <v>0.09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75</v>
      </c>
      <c r="C115">
        <v>2050</v>
      </c>
      <c r="D115">
        <v>57</v>
      </c>
      <c r="E115">
        <v>0.02</v>
      </c>
      <c r="F115">
        <v>0.02</v>
      </c>
      <c r="G115">
        <v>0.02</v>
      </c>
      <c r="H115">
        <v>0</v>
      </c>
      <c r="I115">
        <v>0.08</v>
      </c>
      <c r="J115">
        <v>0.01</v>
      </c>
      <c r="K115">
        <v>0.03</v>
      </c>
      <c r="L115" t="s">
        <v>10</v>
      </c>
      <c r="M115" t="s">
        <v>15</v>
      </c>
    </row>
    <row r="116" spans="1:13" x14ac:dyDescent="0.45">
      <c r="A116" t="s">
        <v>0</v>
      </c>
      <c r="B116" t="s">
        <v>75</v>
      </c>
      <c r="C116">
        <v>2020</v>
      </c>
      <c r="D116">
        <v>58</v>
      </c>
      <c r="E116">
        <v>0.33</v>
      </c>
      <c r="F116">
        <v>0.32</v>
      </c>
      <c r="G116">
        <v>0.03</v>
      </c>
      <c r="H116">
        <v>0.3</v>
      </c>
      <c r="I116">
        <v>0.41</v>
      </c>
      <c r="J116">
        <v>0.3</v>
      </c>
      <c r="K116">
        <v>0.34</v>
      </c>
      <c r="L116" t="s">
        <v>1</v>
      </c>
      <c r="M116" t="s">
        <v>18</v>
      </c>
    </row>
    <row r="117" spans="1:13" x14ac:dyDescent="0.45">
      <c r="A117" t="s">
        <v>0</v>
      </c>
      <c r="B117" t="s">
        <v>75</v>
      </c>
      <c r="C117">
        <v>2025</v>
      </c>
      <c r="D117">
        <v>58</v>
      </c>
      <c r="E117">
        <v>0.3</v>
      </c>
      <c r="F117">
        <v>0.28000000000000003</v>
      </c>
      <c r="G117">
        <v>0.05</v>
      </c>
      <c r="H117">
        <v>0.2</v>
      </c>
      <c r="I117">
        <v>0.44</v>
      </c>
      <c r="J117">
        <v>0.28000000000000003</v>
      </c>
      <c r="K117">
        <v>0.33</v>
      </c>
      <c r="L117" t="s">
        <v>1</v>
      </c>
      <c r="M117" t="s">
        <v>18</v>
      </c>
    </row>
    <row r="118" spans="1:13" x14ac:dyDescent="0.45">
      <c r="A118" t="s">
        <v>0</v>
      </c>
      <c r="B118" t="s">
        <v>75</v>
      </c>
      <c r="C118">
        <v>2030</v>
      </c>
      <c r="D118">
        <v>58</v>
      </c>
      <c r="E118">
        <v>0.28999999999999998</v>
      </c>
      <c r="F118">
        <v>0.28000000000000003</v>
      </c>
      <c r="G118">
        <v>0.05</v>
      </c>
      <c r="H118">
        <v>0.21</v>
      </c>
      <c r="I118">
        <v>0.49</v>
      </c>
      <c r="J118">
        <v>0.27</v>
      </c>
      <c r="K118">
        <v>0.31</v>
      </c>
      <c r="L118" t="s">
        <v>1</v>
      </c>
      <c r="M118" t="s">
        <v>18</v>
      </c>
    </row>
    <row r="119" spans="1:13" x14ac:dyDescent="0.45">
      <c r="A119" t="s">
        <v>0</v>
      </c>
      <c r="B119" t="s">
        <v>75</v>
      </c>
      <c r="C119">
        <v>2035</v>
      </c>
      <c r="D119">
        <v>58</v>
      </c>
      <c r="E119">
        <v>0.28999999999999998</v>
      </c>
      <c r="F119">
        <v>0.27</v>
      </c>
      <c r="G119">
        <v>0.06</v>
      </c>
      <c r="H119">
        <v>0.21</v>
      </c>
      <c r="I119">
        <v>0.51</v>
      </c>
      <c r="J119">
        <v>0.27</v>
      </c>
      <c r="K119">
        <v>0.3</v>
      </c>
      <c r="L119" t="s">
        <v>1</v>
      </c>
      <c r="M119" t="s">
        <v>18</v>
      </c>
    </row>
    <row r="120" spans="1:13" x14ac:dyDescent="0.45">
      <c r="A120" t="s">
        <v>0</v>
      </c>
      <c r="B120" t="s">
        <v>75</v>
      </c>
      <c r="C120">
        <v>2040</v>
      </c>
      <c r="D120">
        <v>58</v>
      </c>
      <c r="E120">
        <v>0.3</v>
      </c>
      <c r="F120">
        <v>0.28999999999999998</v>
      </c>
      <c r="G120">
        <v>7.0000000000000007E-2</v>
      </c>
      <c r="H120">
        <v>0.2</v>
      </c>
      <c r="I120">
        <v>0.51</v>
      </c>
      <c r="J120">
        <v>0.26</v>
      </c>
      <c r="K120">
        <v>0.32</v>
      </c>
      <c r="L120" t="s">
        <v>1</v>
      </c>
      <c r="M120" t="s">
        <v>18</v>
      </c>
    </row>
    <row r="121" spans="1:13" x14ac:dyDescent="0.45">
      <c r="A121" t="s">
        <v>0</v>
      </c>
      <c r="B121" t="s">
        <v>75</v>
      </c>
      <c r="C121">
        <v>2045</v>
      </c>
      <c r="D121">
        <v>58</v>
      </c>
      <c r="E121">
        <v>0.3</v>
      </c>
      <c r="F121">
        <v>0.3</v>
      </c>
      <c r="G121">
        <v>7.0000000000000007E-2</v>
      </c>
      <c r="H121">
        <v>0.19</v>
      </c>
      <c r="I121">
        <v>0.51</v>
      </c>
      <c r="J121">
        <v>0.26</v>
      </c>
      <c r="K121">
        <v>0.33</v>
      </c>
      <c r="L121" t="s">
        <v>1</v>
      </c>
      <c r="M121" t="s">
        <v>18</v>
      </c>
    </row>
    <row r="122" spans="1:13" x14ac:dyDescent="0.45">
      <c r="A122" t="s">
        <v>0</v>
      </c>
      <c r="B122" t="s">
        <v>75</v>
      </c>
      <c r="C122">
        <v>2050</v>
      </c>
      <c r="D122">
        <v>58</v>
      </c>
      <c r="E122">
        <v>0.32</v>
      </c>
      <c r="F122">
        <v>0.32</v>
      </c>
      <c r="G122">
        <v>0.08</v>
      </c>
      <c r="H122">
        <v>0.19</v>
      </c>
      <c r="I122">
        <v>0.5</v>
      </c>
      <c r="J122">
        <v>0.26</v>
      </c>
      <c r="K122">
        <v>0.36</v>
      </c>
      <c r="L122" t="s">
        <v>1</v>
      </c>
      <c r="M122" t="s">
        <v>18</v>
      </c>
    </row>
    <row r="123" spans="1:13" x14ac:dyDescent="0.45">
      <c r="A123" t="s">
        <v>2</v>
      </c>
      <c r="B123" t="s">
        <v>75</v>
      </c>
      <c r="C123">
        <v>2020</v>
      </c>
      <c r="D123">
        <v>89</v>
      </c>
      <c r="E123">
        <v>0.32</v>
      </c>
      <c r="F123">
        <v>0.32</v>
      </c>
      <c r="G123">
        <v>0.03</v>
      </c>
      <c r="H123">
        <v>0.28000000000000003</v>
      </c>
      <c r="I123">
        <v>0.45</v>
      </c>
      <c r="J123">
        <v>0.3</v>
      </c>
      <c r="K123">
        <v>0.34</v>
      </c>
      <c r="L123" t="s">
        <v>3</v>
      </c>
      <c r="M123" t="s">
        <v>18</v>
      </c>
    </row>
    <row r="124" spans="1:13" x14ac:dyDescent="0.45">
      <c r="A124" t="s">
        <v>2</v>
      </c>
      <c r="B124" t="s">
        <v>75</v>
      </c>
      <c r="C124">
        <v>2025</v>
      </c>
      <c r="D124">
        <v>78</v>
      </c>
      <c r="E124">
        <v>0.31</v>
      </c>
      <c r="F124">
        <v>0.31</v>
      </c>
      <c r="G124">
        <v>0.04</v>
      </c>
      <c r="H124">
        <v>0</v>
      </c>
      <c r="I124">
        <v>0.43</v>
      </c>
      <c r="J124">
        <v>0.3</v>
      </c>
      <c r="K124">
        <v>0.32</v>
      </c>
      <c r="L124" t="s">
        <v>3</v>
      </c>
      <c r="M124" t="s">
        <v>18</v>
      </c>
    </row>
    <row r="125" spans="1:13" x14ac:dyDescent="0.45">
      <c r="A125" t="s">
        <v>2</v>
      </c>
      <c r="B125" t="s">
        <v>75</v>
      </c>
      <c r="C125">
        <v>2030</v>
      </c>
      <c r="D125">
        <v>89</v>
      </c>
      <c r="E125">
        <v>0.28999999999999998</v>
      </c>
      <c r="F125">
        <v>0.28999999999999998</v>
      </c>
      <c r="G125">
        <v>0.05</v>
      </c>
      <c r="H125">
        <v>0</v>
      </c>
      <c r="I125">
        <v>0.39</v>
      </c>
      <c r="J125">
        <v>0.27</v>
      </c>
      <c r="K125">
        <v>0.31</v>
      </c>
      <c r="L125" t="s">
        <v>3</v>
      </c>
      <c r="M125" t="s">
        <v>18</v>
      </c>
    </row>
    <row r="126" spans="1:13" x14ac:dyDescent="0.45">
      <c r="A126" t="s">
        <v>2</v>
      </c>
      <c r="B126" t="s">
        <v>75</v>
      </c>
      <c r="C126">
        <v>2035</v>
      </c>
      <c r="D126">
        <v>78</v>
      </c>
      <c r="E126">
        <v>0.3</v>
      </c>
      <c r="F126">
        <v>0.28999999999999998</v>
      </c>
      <c r="G126">
        <v>0.04</v>
      </c>
      <c r="H126">
        <v>0.23</v>
      </c>
      <c r="I126">
        <v>0.41</v>
      </c>
      <c r="J126">
        <v>0.27</v>
      </c>
      <c r="K126">
        <v>0.31</v>
      </c>
      <c r="L126" t="s">
        <v>3</v>
      </c>
      <c r="M126" t="s">
        <v>18</v>
      </c>
    </row>
    <row r="127" spans="1:13" x14ac:dyDescent="0.45">
      <c r="A127" t="s">
        <v>2</v>
      </c>
      <c r="B127" t="s">
        <v>75</v>
      </c>
      <c r="C127">
        <v>2040</v>
      </c>
      <c r="D127">
        <v>89</v>
      </c>
      <c r="E127">
        <v>0.28000000000000003</v>
      </c>
      <c r="F127">
        <v>0.28999999999999998</v>
      </c>
      <c r="G127">
        <v>0.05</v>
      </c>
      <c r="H127">
        <v>0.18</v>
      </c>
      <c r="I127">
        <v>0.43</v>
      </c>
      <c r="J127">
        <v>0.25</v>
      </c>
      <c r="K127">
        <v>0.31</v>
      </c>
      <c r="L127" t="s">
        <v>3</v>
      </c>
      <c r="M127" t="s">
        <v>18</v>
      </c>
    </row>
    <row r="128" spans="1:13" x14ac:dyDescent="0.45">
      <c r="A128" t="s">
        <v>2</v>
      </c>
      <c r="B128" t="s">
        <v>75</v>
      </c>
      <c r="C128">
        <v>2045</v>
      </c>
      <c r="D128">
        <v>78</v>
      </c>
      <c r="E128">
        <v>0.28999999999999998</v>
      </c>
      <c r="F128">
        <v>0.3</v>
      </c>
      <c r="G128">
        <v>0.05</v>
      </c>
      <c r="H128">
        <v>0.19</v>
      </c>
      <c r="I128">
        <v>0.45</v>
      </c>
      <c r="J128">
        <v>0.26</v>
      </c>
      <c r="K128">
        <v>0.32</v>
      </c>
      <c r="L128" t="s">
        <v>3</v>
      </c>
      <c r="M128" t="s">
        <v>18</v>
      </c>
    </row>
    <row r="129" spans="1:13" x14ac:dyDescent="0.45">
      <c r="A129" t="s">
        <v>2</v>
      </c>
      <c r="B129" t="s">
        <v>75</v>
      </c>
      <c r="C129">
        <v>2050</v>
      </c>
      <c r="D129">
        <v>89</v>
      </c>
      <c r="E129">
        <v>0.28999999999999998</v>
      </c>
      <c r="F129">
        <v>0.3</v>
      </c>
      <c r="G129">
        <v>7.0000000000000007E-2</v>
      </c>
      <c r="H129">
        <v>0.16</v>
      </c>
      <c r="I129">
        <v>0.45</v>
      </c>
      <c r="J129">
        <v>0.23</v>
      </c>
      <c r="K129">
        <v>0.32</v>
      </c>
      <c r="L129" t="s">
        <v>3</v>
      </c>
      <c r="M129" t="s">
        <v>18</v>
      </c>
    </row>
    <row r="130" spans="1:13" x14ac:dyDescent="0.45">
      <c r="A130" t="s">
        <v>5</v>
      </c>
      <c r="B130" t="s">
        <v>75</v>
      </c>
      <c r="C130">
        <v>2020</v>
      </c>
      <c r="D130">
        <v>220</v>
      </c>
      <c r="E130">
        <v>0.35</v>
      </c>
      <c r="F130">
        <v>0.34</v>
      </c>
      <c r="G130">
        <v>0.05</v>
      </c>
      <c r="H130">
        <v>0.28000000000000003</v>
      </c>
      <c r="I130">
        <v>0.49</v>
      </c>
      <c r="J130">
        <v>0.3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75</v>
      </c>
      <c r="C131">
        <v>2025</v>
      </c>
      <c r="D131">
        <v>197</v>
      </c>
      <c r="E131">
        <v>0.28999999999999998</v>
      </c>
      <c r="F131">
        <v>0.3</v>
      </c>
      <c r="G131">
        <v>0.1</v>
      </c>
      <c r="H131">
        <v>0</v>
      </c>
      <c r="I131">
        <v>0.55000000000000004</v>
      </c>
      <c r="J131">
        <v>0.28000000000000003</v>
      </c>
      <c r="K131">
        <v>0.32</v>
      </c>
      <c r="L131" t="s">
        <v>6</v>
      </c>
      <c r="M131" t="s">
        <v>18</v>
      </c>
    </row>
    <row r="132" spans="1:13" x14ac:dyDescent="0.45">
      <c r="A132" t="s">
        <v>5</v>
      </c>
      <c r="B132" t="s">
        <v>75</v>
      </c>
      <c r="C132">
        <v>2030</v>
      </c>
      <c r="D132">
        <v>220</v>
      </c>
      <c r="E132">
        <v>0.28999999999999998</v>
      </c>
      <c r="F132">
        <v>0.28999999999999998</v>
      </c>
      <c r="G132">
        <v>0.09</v>
      </c>
      <c r="H132">
        <v>0</v>
      </c>
      <c r="I132">
        <v>0.55000000000000004</v>
      </c>
      <c r="J132">
        <v>0.27</v>
      </c>
      <c r="K132">
        <v>0.31</v>
      </c>
      <c r="L132" t="s">
        <v>6</v>
      </c>
      <c r="M132" t="s">
        <v>18</v>
      </c>
    </row>
    <row r="133" spans="1:13" x14ac:dyDescent="0.45">
      <c r="A133" t="s">
        <v>5</v>
      </c>
      <c r="B133" t="s">
        <v>75</v>
      </c>
      <c r="C133">
        <v>2035</v>
      </c>
      <c r="D133">
        <v>197</v>
      </c>
      <c r="E133">
        <v>0.3</v>
      </c>
      <c r="F133">
        <v>0.27</v>
      </c>
      <c r="G133">
        <v>7.0000000000000007E-2</v>
      </c>
      <c r="H133">
        <v>0.23</v>
      </c>
      <c r="I133">
        <v>0.53</v>
      </c>
      <c r="J133">
        <v>0.26</v>
      </c>
      <c r="K133">
        <v>0.31</v>
      </c>
      <c r="L133" t="s">
        <v>6</v>
      </c>
      <c r="M133" t="s">
        <v>18</v>
      </c>
    </row>
    <row r="134" spans="1:13" x14ac:dyDescent="0.45">
      <c r="A134" t="s">
        <v>5</v>
      </c>
      <c r="B134" t="s">
        <v>75</v>
      </c>
      <c r="C134">
        <v>2040</v>
      </c>
      <c r="D134">
        <v>220</v>
      </c>
      <c r="E134">
        <v>0.3</v>
      </c>
      <c r="F134">
        <v>0.28000000000000003</v>
      </c>
      <c r="G134">
        <v>0.08</v>
      </c>
      <c r="H134">
        <v>0.19</v>
      </c>
      <c r="I134">
        <v>0.54</v>
      </c>
      <c r="J134">
        <v>0.25</v>
      </c>
      <c r="K134">
        <v>0.31</v>
      </c>
      <c r="L134" t="s">
        <v>6</v>
      </c>
      <c r="M134" t="s">
        <v>18</v>
      </c>
    </row>
    <row r="135" spans="1:13" x14ac:dyDescent="0.45">
      <c r="A135" t="s">
        <v>5</v>
      </c>
      <c r="B135" t="s">
        <v>75</v>
      </c>
      <c r="C135">
        <v>2045</v>
      </c>
      <c r="D135">
        <v>197</v>
      </c>
      <c r="E135">
        <v>0.3</v>
      </c>
      <c r="F135">
        <v>0.28999999999999998</v>
      </c>
      <c r="G135">
        <v>0.08</v>
      </c>
      <c r="H135">
        <v>0.19</v>
      </c>
      <c r="I135">
        <v>0.54</v>
      </c>
      <c r="J135">
        <v>0.24</v>
      </c>
      <c r="K135">
        <v>0.31</v>
      </c>
      <c r="L135" t="s">
        <v>6</v>
      </c>
      <c r="M135" t="s">
        <v>18</v>
      </c>
    </row>
    <row r="136" spans="1:13" x14ac:dyDescent="0.45">
      <c r="A136" t="s">
        <v>5</v>
      </c>
      <c r="B136" t="s">
        <v>75</v>
      </c>
      <c r="C136">
        <v>2050</v>
      </c>
      <c r="D136">
        <v>220</v>
      </c>
      <c r="E136">
        <v>0.3</v>
      </c>
      <c r="F136">
        <v>0.28999999999999998</v>
      </c>
      <c r="G136">
        <v>0.09</v>
      </c>
      <c r="H136">
        <v>0.16</v>
      </c>
      <c r="I136">
        <v>0.55000000000000004</v>
      </c>
      <c r="J136">
        <v>0.24</v>
      </c>
      <c r="K136">
        <v>0.33</v>
      </c>
      <c r="L136" t="s">
        <v>6</v>
      </c>
      <c r="M136" t="s">
        <v>18</v>
      </c>
    </row>
    <row r="137" spans="1:13" x14ac:dyDescent="0.45">
      <c r="A137" t="s">
        <v>7</v>
      </c>
      <c r="B137" t="s">
        <v>75</v>
      </c>
      <c r="C137">
        <v>2020</v>
      </c>
      <c r="D137">
        <v>97</v>
      </c>
      <c r="E137">
        <v>0.37</v>
      </c>
      <c r="F137">
        <v>0.34</v>
      </c>
      <c r="G137">
        <v>0.05</v>
      </c>
      <c r="H137">
        <v>0.3</v>
      </c>
      <c r="I137">
        <v>0.49</v>
      </c>
      <c r="J137">
        <v>0.34</v>
      </c>
      <c r="K137">
        <v>0.41</v>
      </c>
      <c r="L137" t="s">
        <v>8</v>
      </c>
      <c r="M137" t="s">
        <v>18</v>
      </c>
    </row>
    <row r="138" spans="1:13" x14ac:dyDescent="0.45">
      <c r="A138" t="s">
        <v>7</v>
      </c>
      <c r="B138" t="s">
        <v>75</v>
      </c>
      <c r="C138">
        <v>2025</v>
      </c>
      <c r="D138">
        <v>91</v>
      </c>
      <c r="E138">
        <v>0.32</v>
      </c>
      <c r="F138">
        <v>0.32</v>
      </c>
      <c r="G138">
        <v>0.11</v>
      </c>
      <c r="H138">
        <v>0</v>
      </c>
      <c r="I138">
        <v>0.48</v>
      </c>
      <c r="J138">
        <v>0.3</v>
      </c>
      <c r="K138">
        <v>0.42</v>
      </c>
      <c r="L138" t="s">
        <v>8</v>
      </c>
      <c r="M138" t="s">
        <v>18</v>
      </c>
    </row>
    <row r="139" spans="1:13" x14ac:dyDescent="0.45">
      <c r="A139" t="s">
        <v>7</v>
      </c>
      <c r="B139" t="s">
        <v>75</v>
      </c>
      <c r="C139">
        <v>2030</v>
      </c>
      <c r="D139">
        <v>97</v>
      </c>
      <c r="E139">
        <v>0.32</v>
      </c>
      <c r="F139">
        <v>0.31</v>
      </c>
      <c r="G139">
        <v>0.1</v>
      </c>
      <c r="H139">
        <v>0</v>
      </c>
      <c r="I139">
        <v>0.45</v>
      </c>
      <c r="J139">
        <v>0.28999999999999998</v>
      </c>
      <c r="K139">
        <v>0.39</v>
      </c>
      <c r="L139" t="s">
        <v>8</v>
      </c>
      <c r="M139" t="s">
        <v>18</v>
      </c>
    </row>
    <row r="140" spans="1:13" x14ac:dyDescent="0.45">
      <c r="A140" t="s">
        <v>7</v>
      </c>
      <c r="B140" t="s">
        <v>75</v>
      </c>
      <c r="C140">
        <v>2035</v>
      </c>
      <c r="D140">
        <v>91</v>
      </c>
      <c r="E140">
        <v>0.33</v>
      </c>
      <c r="F140">
        <v>0.3</v>
      </c>
      <c r="G140">
        <v>7.0000000000000007E-2</v>
      </c>
      <c r="H140">
        <v>0.23</v>
      </c>
      <c r="I140">
        <v>0.45</v>
      </c>
      <c r="J140">
        <v>0.27</v>
      </c>
      <c r="K140">
        <v>0.39</v>
      </c>
      <c r="L140" t="s">
        <v>8</v>
      </c>
      <c r="M140" t="s">
        <v>18</v>
      </c>
    </row>
    <row r="141" spans="1:13" x14ac:dyDescent="0.45">
      <c r="A141" t="s">
        <v>7</v>
      </c>
      <c r="B141" t="s">
        <v>75</v>
      </c>
      <c r="C141">
        <v>2040</v>
      </c>
      <c r="D141">
        <v>97</v>
      </c>
      <c r="E141">
        <v>0.32</v>
      </c>
      <c r="F141">
        <v>0.28000000000000003</v>
      </c>
      <c r="G141">
        <v>7.0000000000000007E-2</v>
      </c>
      <c r="H141">
        <v>0.24</v>
      </c>
      <c r="I141">
        <v>0.5</v>
      </c>
      <c r="J141">
        <v>0.26</v>
      </c>
      <c r="K141">
        <v>0.37</v>
      </c>
      <c r="L141" t="s">
        <v>8</v>
      </c>
      <c r="M141" t="s">
        <v>18</v>
      </c>
    </row>
    <row r="142" spans="1:13" x14ac:dyDescent="0.45">
      <c r="A142" t="s">
        <v>7</v>
      </c>
      <c r="B142" t="s">
        <v>75</v>
      </c>
      <c r="C142">
        <v>2045</v>
      </c>
      <c r="D142">
        <v>91</v>
      </c>
      <c r="E142">
        <v>0.31</v>
      </c>
      <c r="F142">
        <v>0.28999999999999998</v>
      </c>
      <c r="G142">
        <v>0.08</v>
      </c>
      <c r="H142">
        <v>0.21</v>
      </c>
      <c r="I142">
        <v>0.49</v>
      </c>
      <c r="J142">
        <v>0.25</v>
      </c>
      <c r="K142">
        <v>0.36</v>
      </c>
      <c r="L142" t="s">
        <v>8</v>
      </c>
      <c r="M142" t="s">
        <v>18</v>
      </c>
    </row>
    <row r="143" spans="1:13" x14ac:dyDescent="0.45">
      <c r="A143" t="s">
        <v>7</v>
      </c>
      <c r="B143" t="s">
        <v>75</v>
      </c>
      <c r="C143">
        <v>2050</v>
      </c>
      <c r="D143">
        <v>97</v>
      </c>
      <c r="E143">
        <v>0.3</v>
      </c>
      <c r="F143">
        <v>0.28000000000000003</v>
      </c>
      <c r="G143">
        <v>0.09</v>
      </c>
      <c r="H143">
        <v>0.19</v>
      </c>
      <c r="I143">
        <v>0.49</v>
      </c>
      <c r="J143">
        <v>0.24</v>
      </c>
      <c r="K143">
        <v>0.35</v>
      </c>
      <c r="L143" t="s">
        <v>8</v>
      </c>
      <c r="M143" t="s">
        <v>18</v>
      </c>
    </row>
    <row r="144" spans="1:13" x14ac:dyDescent="0.45">
      <c r="A144" t="s">
        <v>9</v>
      </c>
      <c r="B144" t="s">
        <v>75</v>
      </c>
      <c r="C144">
        <v>2020</v>
      </c>
      <c r="D144">
        <v>55</v>
      </c>
      <c r="E144">
        <v>0.33</v>
      </c>
      <c r="F144">
        <v>0.32</v>
      </c>
      <c r="G144">
        <v>0.04</v>
      </c>
      <c r="H144">
        <v>0.3</v>
      </c>
      <c r="I144">
        <v>0.43</v>
      </c>
      <c r="J144">
        <v>0.3</v>
      </c>
      <c r="K144">
        <v>0.35</v>
      </c>
      <c r="L144" t="s">
        <v>10</v>
      </c>
      <c r="M144" t="s">
        <v>18</v>
      </c>
    </row>
    <row r="145" spans="1:13" x14ac:dyDescent="0.45">
      <c r="A145" t="s">
        <v>9</v>
      </c>
      <c r="B145" t="s">
        <v>75</v>
      </c>
      <c r="C145">
        <v>2025</v>
      </c>
      <c r="D145">
        <v>50</v>
      </c>
      <c r="E145">
        <v>0.32</v>
      </c>
      <c r="F145">
        <v>0.31</v>
      </c>
      <c r="G145">
        <v>0.04</v>
      </c>
      <c r="H145">
        <v>0.28000000000000003</v>
      </c>
      <c r="I145">
        <v>0.41</v>
      </c>
      <c r="J145">
        <v>0.28000000000000003</v>
      </c>
      <c r="K145">
        <v>0.32</v>
      </c>
      <c r="L145" t="s">
        <v>10</v>
      </c>
      <c r="M145" t="s">
        <v>18</v>
      </c>
    </row>
    <row r="146" spans="1:13" x14ac:dyDescent="0.45">
      <c r="A146" t="s">
        <v>9</v>
      </c>
      <c r="B146" t="s">
        <v>75</v>
      </c>
      <c r="C146">
        <v>2030</v>
      </c>
      <c r="D146">
        <v>55</v>
      </c>
      <c r="E146">
        <v>0.31</v>
      </c>
      <c r="F146">
        <v>0.31</v>
      </c>
      <c r="G146">
        <v>0.04</v>
      </c>
      <c r="H146">
        <v>0.26</v>
      </c>
      <c r="I146">
        <v>0.41</v>
      </c>
      <c r="J146">
        <v>0.28000000000000003</v>
      </c>
      <c r="K146">
        <v>0.31</v>
      </c>
      <c r="L146" t="s">
        <v>10</v>
      </c>
      <c r="M146" t="s">
        <v>18</v>
      </c>
    </row>
    <row r="147" spans="1:13" x14ac:dyDescent="0.45">
      <c r="A147" t="s">
        <v>9</v>
      </c>
      <c r="B147" t="s">
        <v>75</v>
      </c>
      <c r="C147">
        <v>2035</v>
      </c>
      <c r="D147">
        <v>50</v>
      </c>
      <c r="E147">
        <v>0.31</v>
      </c>
      <c r="F147">
        <v>0.3</v>
      </c>
      <c r="G147">
        <v>0.04</v>
      </c>
      <c r="H147">
        <v>0.26</v>
      </c>
      <c r="I147">
        <v>0.4</v>
      </c>
      <c r="J147">
        <v>0.27</v>
      </c>
      <c r="K147">
        <v>0.31</v>
      </c>
      <c r="L147" t="s">
        <v>10</v>
      </c>
      <c r="M147" t="s">
        <v>18</v>
      </c>
    </row>
    <row r="148" spans="1:13" x14ac:dyDescent="0.45">
      <c r="A148" t="s">
        <v>9</v>
      </c>
      <c r="B148" t="s">
        <v>75</v>
      </c>
      <c r="C148">
        <v>2040</v>
      </c>
      <c r="D148">
        <v>55</v>
      </c>
      <c r="E148">
        <v>0.3</v>
      </c>
      <c r="F148">
        <v>0.28000000000000003</v>
      </c>
      <c r="G148">
        <v>0.04</v>
      </c>
      <c r="H148">
        <v>0.25</v>
      </c>
      <c r="I148">
        <v>0.41</v>
      </c>
      <c r="J148">
        <v>0.27</v>
      </c>
      <c r="K148">
        <v>0.31</v>
      </c>
      <c r="L148" t="s">
        <v>10</v>
      </c>
      <c r="M148" t="s">
        <v>18</v>
      </c>
    </row>
    <row r="149" spans="1:13" x14ac:dyDescent="0.45">
      <c r="A149" t="s">
        <v>9</v>
      </c>
      <c r="B149" t="s">
        <v>75</v>
      </c>
      <c r="C149">
        <v>2045</v>
      </c>
      <c r="D149">
        <v>50</v>
      </c>
      <c r="E149">
        <v>0.28999999999999998</v>
      </c>
      <c r="F149">
        <v>0.28000000000000003</v>
      </c>
      <c r="G149">
        <v>0.04</v>
      </c>
      <c r="H149">
        <v>0.25</v>
      </c>
      <c r="I149">
        <v>0.41</v>
      </c>
      <c r="J149">
        <v>0.27</v>
      </c>
      <c r="K149">
        <v>0.31</v>
      </c>
      <c r="L149" t="s">
        <v>10</v>
      </c>
      <c r="M149" t="s">
        <v>18</v>
      </c>
    </row>
    <row r="150" spans="1:13" x14ac:dyDescent="0.45">
      <c r="A150" t="s">
        <v>9</v>
      </c>
      <c r="B150" t="s">
        <v>75</v>
      </c>
      <c r="C150">
        <v>2050</v>
      </c>
      <c r="D150">
        <v>55</v>
      </c>
      <c r="E150">
        <v>0.28999999999999998</v>
      </c>
      <c r="F150">
        <v>0.27</v>
      </c>
      <c r="G150">
        <v>0.04</v>
      </c>
      <c r="H150">
        <v>0.24</v>
      </c>
      <c r="I150">
        <v>0.41</v>
      </c>
      <c r="J150">
        <v>0.26</v>
      </c>
      <c r="K150">
        <v>0.3</v>
      </c>
      <c r="L150" t="s">
        <v>10</v>
      </c>
      <c r="M150" t="s">
        <v>18</v>
      </c>
    </row>
    <row r="151" spans="1:13" x14ac:dyDescent="0.45">
      <c r="A151" t="s">
        <v>0</v>
      </c>
      <c r="B151" t="s">
        <v>75</v>
      </c>
      <c r="C151">
        <v>2020</v>
      </c>
      <c r="D151">
        <v>64</v>
      </c>
      <c r="E151">
        <v>0.64</v>
      </c>
      <c r="F151">
        <v>0.66</v>
      </c>
      <c r="G151">
        <v>0.05</v>
      </c>
      <c r="H151">
        <v>0.54</v>
      </c>
      <c r="I151">
        <v>0.68</v>
      </c>
      <c r="J151">
        <v>0.57999999999999996</v>
      </c>
      <c r="K151">
        <v>0.68</v>
      </c>
      <c r="L151" t="s">
        <v>1</v>
      </c>
      <c r="M151" t="s">
        <v>21</v>
      </c>
    </row>
    <row r="152" spans="1:13" x14ac:dyDescent="0.45">
      <c r="A152" t="s">
        <v>0</v>
      </c>
      <c r="B152" t="s">
        <v>75</v>
      </c>
      <c r="C152">
        <v>2025</v>
      </c>
      <c r="D152">
        <v>64</v>
      </c>
      <c r="E152">
        <v>0.65</v>
      </c>
      <c r="F152">
        <v>0.68</v>
      </c>
      <c r="G152">
        <v>7.0000000000000007E-2</v>
      </c>
      <c r="H152">
        <v>0.44</v>
      </c>
      <c r="I152">
        <v>0.75</v>
      </c>
      <c r="J152">
        <v>0.62</v>
      </c>
      <c r="K152">
        <v>0.69</v>
      </c>
      <c r="L152" t="s">
        <v>1</v>
      </c>
      <c r="M152" t="s">
        <v>21</v>
      </c>
    </row>
    <row r="153" spans="1:13" x14ac:dyDescent="0.45">
      <c r="A153" t="s">
        <v>0</v>
      </c>
      <c r="B153" t="s">
        <v>75</v>
      </c>
      <c r="C153">
        <v>2030</v>
      </c>
      <c r="D153">
        <v>64</v>
      </c>
      <c r="E153">
        <v>0.63</v>
      </c>
      <c r="F153">
        <v>0.67</v>
      </c>
      <c r="G153">
        <v>0.08</v>
      </c>
      <c r="H153">
        <v>0.42</v>
      </c>
      <c r="I153">
        <v>0.71</v>
      </c>
      <c r="J153">
        <v>0.6</v>
      </c>
      <c r="K153">
        <v>0.69</v>
      </c>
      <c r="L153" t="s">
        <v>1</v>
      </c>
      <c r="M153" t="s">
        <v>21</v>
      </c>
    </row>
    <row r="154" spans="1:13" x14ac:dyDescent="0.45">
      <c r="A154" t="s">
        <v>0</v>
      </c>
      <c r="B154" t="s">
        <v>75</v>
      </c>
      <c r="C154">
        <v>2035</v>
      </c>
      <c r="D154">
        <v>64</v>
      </c>
      <c r="E154">
        <v>0.6</v>
      </c>
      <c r="F154">
        <v>0.64</v>
      </c>
      <c r="G154">
        <v>0.08</v>
      </c>
      <c r="H154">
        <v>0.44</v>
      </c>
      <c r="I154">
        <v>0.72</v>
      </c>
      <c r="J154">
        <v>0.56000000000000005</v>
      </c>
      <c r="K154">
        <v>0.66</v>
      </c>
      <c r="L154" t="s">
        <v>1</v>
      </c>
      <c r="M154" t="s">
        <v>21</v>
      </c>
    </row>
    <row r="155" spans="1:13" x14ac:dyDescent="0.45">
      <c r="A155" t="s">
        <v>0</v>
      </c>
      <c r="B155" t="s">
        <v>75</v>
      </c>
      <c r="C155">
        <v>2040</v>
      </c>
      <c r="D155">
        <v>64</v>
      </c>
      <c r="E155">
        <v>0.56999999999999995</v>
      </c>
      <c r="F155">
        <v>0.59</v>
      </c>
      <c r="G155">
        <v>0.08</v>
      </c>
      <c r="H155">
        <v>0.41</v>
      </c>
      <c r="I155">
        <v>0.71</v>
      </c>
      <c r="J155">
        <v>0.53</v>
      </c>
      <c r="K155">
        <v>0.63</v>
      </c>
      <c r="L155" t="s">
        <v>1</v>
      </c>
      <c r="M155" t="s">
        <v>21</v>
      </c>
    </row>
    <row r="156" spans="1:13" x14ac:dyDescent="0.45">
      <c r="A156" t="s">
        <v>0</v>
      </c>
      <c r="B156" t="s">
        <v>75</v>
      </c>
      <c r="C156">
        <v>2045</v>
      </c>
      <c r="D156">
        <v>64</v>
      </c>
      <c r="E156">
        <v>0.55000000000000004</v>
      </c>
      <c r="F156">
        <v>0.56999999999999995</v>
      </c>
      <c r="G156">
        <v>0.08</v>
      </c>
      <c r="H156">
        <v>0.39</v>
      </c>
      <c r="I156">
        <v>0.7</v>
      </c>
      <c r="J156">
        <v>0.53</v>
      </c>
      <c r="K156">
        <v>0.61</v>
      </c>
      <c r="L156" t="s">
        <v>1</v>
      </c>
      <c r="M156" t="s">
        <v>21</v>
      </c>
    </row>
    <row r="157" spans="1:13" x14ac:dyDescent="0.45">
      <c r="A157" t="s">
        <v>0</v>
      </c>
      <c r="B157" t="s">
        <v>75</v>
      </c>
      <c r="C157">
        <v>2050</v>
      </c>
      <c r="D157">
        <v>64</v>
      </c>
      <c r="E157">
        <v>0.54</v>
      </c>
      <c r="F157">
        <v>0.54</v>
      </c>
      <c r="G157">
        <v>0.08</v>
      </c>
      <c r="H157">
        <v>0.38</v>
      </c>
      <c r="I157">
        <v>0.69</v>
      </c>
      <c r="J157">
        <v>0.48</v>
      </c>
      <c r="K157">
        <v>0.61</v>
      </c>
      <c r="L157" t="s">
        <v>1</v>
      </c>
      <c r="M157" t="s">
        <v>21</v>
      </c>
    </row>
    <row r="158" spans="1:13" x14ac:dyDescent="0.45">
      <c r="A158" t="s">
        <v>2</v>
      </c>
      <c r="B158" t="s">
        <v>75</v>
      </c>
      <c r="C158">
        <v>2020</v>
      </c>
      <c r="D158">
        <v>92</v>
      </c>
      <c r="E158">
        <v>0.64</v>
      </c>
      <c r="F158">
        <v>0.64</v>
      </c>
      <c r="G158">
        <v>0.04</v>
      </c>
      <c r="H158">
        <v>0.54</v>
      </c>
      <c r="I158">
        <v>0.7</v>
      </c>
      <c r="J158">
        <v>0.63</v>
      </c>
      <c r="K158">
        <v>0.68</v>
      </c>
      <c r="L158" t="s">
        <v>3</v>
      </c>
      <c r="M158" t="s">
        <v>21</v>
      </c>
    </row>
    <row r="159" spans="1:13" x14ac:dyDescent="0.45">
      <c r="A159" t="s">
        <v>2</v>
      </c>
      <c r="B159" t="s">
        <v>75</v>
      </c>
      <c r="C159">
        <v>2025</v>
      </c>
      <c r="D159">
        <v>81</v>
      </c>
      <c r="E159">
        <v>0.64</v>
      </c>
      <c r="F159">
        <v>0.65</v>
      </c>
      <c r="G159">
        <v>0.04</v>
      </c>
      <c r="H159">
        <v>0.53</v>
      </c>
      <c r="I159">
        <v>0.71</v>
      </c>
      <c r="J159">
        <v>0.63</v>
      </c>
      <c r="K159">
        <v>0.67</v>
      </c>
      <c r="L159" t="s">
        <v>3</v>
      </c>
      <c r="M159" t="s">
        <v>21</v>
      </c>
    </row>
    <row r="160" spans="1:13" x14ac:dyDescent="0.45">
      <c r="A160" t="s">
        <v>2</v>
      </c>
      <c r="B160" t="s">
        <v>75</v>
      </c>
      <c r="C160">
        <v>2030</v>
      </c>
      <c r="D160">
        <v>92</v>
      </c>
      <c r="E160">
        <v>0.64</v>
      </c>
      <c r="F160">
        <v>0.66</v>
      </c>
      <c r="G160">
        <v>0.05</v>
      </c>
      <c r="H160">
        <v>0.48</v>
      </c>
      <c r="I160">
        <v>0.72</v>
      </c>
      <c r="J160">
        <v>0.62</v>
      </c>
      <c r="K160">
        <v>0.68</v>
      </c>
      <c r="L160" t="s">
        <v>3</v>
      </c>
      <c r="M160" t="s">
        <v>21</v>
      </c>
    </row>
    <row r="161" spans="1:13" x14ac:dyDescent="0.45">
      <c r="A161" t="s">
        <v>2</v>
      </c>
      <c r="B161" t="s">
        <v>75</v>
      </c>
      <c r="C161">
        <v>2035</v>
      </c>
      <c r="D161">
        <v>81</v>
      </c>
      <c r="E161">
        <v>0.62</v>
      </c>
      <c r="F161">
        <v>0.63</v>
      </c>
      <c r="G161">
        <v>0.06</v>
      </c>
      <c r="H161">
        <v>0.46</v>
      </c>
      <c r="I161">
        <v>0.71</v>
      </c>
      <c r="J161">
        <v>0.59</v>
      </c>
      <c r="K161">
        <v>0.66</v>
      </c>
      <c r="L161" t="s">
        <v>3</v>
      </c>
      <c r="M161" t="s">
        <v>21</v>
      </c>
    </row>
    <row r="162" spans="1:13" x14ac:dyDescent="0.45">
      <c r="A162" t="s">
        <v>2</v>
      </c>
      <c r="B162" t="s">
        <v>75</v>
      </c>
      <c r="C162">
        <v>2040</v>
      </c>
      <c r="D162">
        <v>92</v>
      </c>
      <c r="E162">
        <v>0.59</v>
      </c>
      <c r="F162">
        <v>0.61</v>
      </c>
      <c r="G162">
        <v>0.05</v>
      </c>
      <c r="H162">
        <v>0.44</v>
      </c>
      <c r="I162">
        <v>0.7</v>
      </c>
      <c r="J162">
        <v>0.57999999999999996</v>
      </c>
      <c r="K162">
        <v>0.63</v>
      </c>
      <c r="L162" t="s">
        <v>3</v>
      </c>
      <c r="M162" t="s">
        <v>21</v>
      </c>
    </row>
    <row r="163" spans="1:13" x14ac:dyDescent="0.45">
      <c r="A163" t="s">
        <v>2</v>
      </c>
      <c r="B163" t="s">
        <v>75</v>
      </c>
      <c r="C163">
        <v>2045</v>
      </c>
      <c r="D163">
        <v>81</v>
      </c>
      <c r="E163">
        <v>0.57999999999999996</v>
      </c>
      <c r="F163">
        <v>0.59</v>
      </c>
      <c r="G163">
        <v>0.06</v>
      </c>
      <c r="H163">
        <v>0.41</v>
      </c>
      <c r="I163">
        <v>0.69</v>
      </c>
      <c r="J163">
        <v>0.56999999999999995</v>
      </c>
      <c r="K163">
        <v>0.62</v>
      </c>
      <c r="L163" t="s">
        <v>3</v>
      </c>
      <c r="M163" t="s">
        <v>21</v>
      </c>
    </row>
    <row r="164" spans="1:13" x14ac:dyDescent="0.45">
      <c r="A164" t="s">
        <v>2</v>
      </c>
      <c r="B164" t="s">
        <v>75</v>
      </c>
      <c r="C164">
        <v>2050</v>
      </c>
      <c r="D164">
        <v>92</v>
      </c>
      <c r="E164">
        <v>0.56000000000000005</v>
      </c>
      <c r="F164">
        <v>0.59</v>
      </c>
      <c r="G164">
        <v>0.06</v>
      </c>
      <c r="H164">
        <v>0.4</v>
      </c>
      <c r="I164">
        <v>0.69</v>
      </c>
      <c r="J164">
        <v>0.53</v>
      </c>
      <c r="K164">
        <v>0.61</v>
      </c>
      <c r="L164" t="s">
        <v>3</v>
      </c>
      <c r="M164" t="s">
        <v>21</v>
      </c>
    </row>
    <row r="165" spans="1:13" x14ac:dyDescent="0.45">
      <c r="A165" t="s">
        <v>5</v>
      </c>
      <c r="B165" t="s">
        <v>75</v>
      </c>
      <c r="C165">
        <v>2020</v>
      </c>
      <c r="D165">
        <v>229</v>
      </c>
      <c r="E165">
        <v>0.63</v>
      </c>
      <c r="F165">
        <v>0.64</v>
      </c>
      <c r="G165">
        <v>0.05</v>
      </c>
      <c r="H165">
        <v>0.49</v>
      </c>
      <c r="I165">
        <v>0.7</v>
      </c>
      <c r="J165">
        <v>0.57999999999999996</v>
      </c>
      <c r="K165">
        <v>0.68</v>
      </c>
      <c r="L165" t="s">
        <v>6</v>
      </c>
      <c r="M165" t="s">
        <v>21</v>
      </c>
    </row>
    <row r="166" spans="1:13" x14ac:dyDescent="0.45">
      <c r="A166" t="s">
        <v>5</v>
      </c>
      <c r="B166" t="s">
        <v>75</v>
      </c>
      <c r="C166">
        <v>2025</v>
      </c>
      <c r="D166">
        <v>206</v>
      </c>
      <c r="E166">
        <v>0.65</v>
      </c>
      <c r="F166">
        <v>0.67</v>
      </c>
      <c r="G166">
        <v>0.11</v>
      </c>
      <c r="H166">
        <v>0.14000000000000001</v>
      </c>
      <c r="I166">
        <v>0.9</v>
      </c>
      <c r="J166">
        <v>0.61</v>
      </c>
      <c r="K166">
        <v>0.69</v>
      </c>
      <c r="L166" t="s">
        <v>6</v>
      </c>
      <c r="M166" t="s">
        <v>21</v>
      </c>
    </row>
    <row r="167" spans="1:13" x14ac:dyDescent="0.45">
      <c r="A167" t="s">
        <v>5</v>
      </c>
      <c r="B167" t="s">
        <v>75</v>
      </c>
      <c r="C167">
        <v>2030</v>
      </c>
      <c r="D167">
        <v>229</v>
      </c>
      <c r="E167">
        <v>0.64</v>
      </c>
      <c r="F167">
        <v>0.67</v>
      </c>
      <c r="G167">
        <v>0.11</v>
      </c>
      <c r="H167">
        <v>0.1</v>
      </c>
      <c r="I167">
        <v>0.88</v>
      </c>
      <c r="J167">
        <v>0.63</v>
      </c>
      <c r="K167">
        <v>0.69</v>
      </c>
      <c r="L167" t="s">
        <v>6</v>
      </c>
      <c r="M167" t="s">
        <v>21</v>
      </c>
    </row>
    <row r="168" spans="1:13" x14ac:dyDescent="0.45">
      <c r="A168" t="s">
        <v>5</v>
      </c>
      <c r="B168" t="s">
        <v>75</v>
      </c>
      <c r="C168">
        <v>2035</v>
      </c>
      <c r="D168">
        <v>206</v>
      </c>
      <c r="E168">
        <v>0.63</v>
      </c>
      <c r="F168">
        <v>0.65</v>
      </c>
      <c r="G168">
        <v>7.0000000000000007E-2</v>
      </c>
      <c r="H168">
        <v>0.42</v>
      </c>
      <c r="I168">
        <v>0.71</v>
      </c>
      <c r="J168">
        <v>0.6</v>
      </c>
      <c r="K168">
        <v>0.68</v>
      </c>
      <c r="L168" t="s">
        <v>6</v>
      </c>
      <c r="M168" t="s">
        <v>21</v>
      </c>
    </row>
    <row r="169" spans="1:13" x14ac:dyDescent="0.45">
      <c r="A169" t="s">
        <v>5</v>
      </c>
      <c r="B169" t="s">
        <v>75</v>
      </c>
      <c r="C169">
        <v>2040</v>
      </c>
      <c r="D169">
        <v>229</v>
      </c>
      <c r="E169">
        <v>0.61</v>
      </c>
      <c r="F169">
        <v>0.62</v>
      </c>
      <c r="G169">
        <v>7.0000000000000007E-2</v>
      </c>
      <c r="H169">
        <v>0.44</v>
      </c>
      <c r="I169">
        <v>0.7</v>
      </c>
      <c r="J169">
        <v>0.57999999999999996</v>
      </c>
      <c r="K169">
        <v>0.66</v>
      </c>
      <c r="L169" t="s">
        <v>6</v>
      </c>
      <c r="M169" t="s">
        <v>21</v>
      </c>
    </row>
    <row r="170" spans="1:13" x14ac:dyDescent="0.45">
      <c r="A170" t="s">
        <v>5</v>
      </c>
      <c r="B170" t="s">
        <v>75</v>
      </c>
      <c r="C170">
        <v>2045</v>
      </c>
      <c r="D170">
        <v>206</v>
      </c>
      <c r="E170">
        <v>0.57999999999999996</v>
      </c>
      <c r="F170">
        <v>0.59</v>
      </c>
      <c r="G170">
        <v>0.06</v>
      </c>
      <c r="H170">
        <v>0.41</v>
      </c>
      <c r="I170">
        <v>0.68</v>
      </c>
      <c r="J170">
        <v>0.56000000000000005</v>
      </c>
      <c r="K170">
        <v>0.63</v>
      </c>
      <c r="L170" t="s">
        <v>6</v>
      </c>
      <c r="M170" t="s">
        <v>21</v>
      </c>
    </row>
    <row r="171" spans="1:13" x14ac:dyDescent="0.45">
      <c r="A171" t="s">
        <v>5</v>
      </c>
      <c r="B171" t="s">
        <v>75</v>
      </c>
      <c r="C171">
        <v>2050</v>
      </c>
      <c r="D171">
        <v>229</v>
      </c>
      <c r="E171">
        <v>0.57999999999999996</v>
      </c>
      <c r="F171">
        <v>0.57999999999999996</v>
      </c>
      <c r="G171">
        <v>7.0000000000000007E-2</v>
      </c>
      <c r="H171">
        <v>0.39</v>
      </c>
      <c r="I171">
        <v>0.71</v>
      </c>
      <c r="J171">
        <v>0.53</v>
      </c>
      <c r="K171">
        <v>0.64</v>
      </c>
      <c r="L171" t="s">
        <v>6</v>
      </c>
      <c r="M171" t="s">
        <v>21</v>
      </c>
    </row>
    <row r="172" spans="1:13" x14ac:dyDescent="0.45">
      <c r="A172" t="s">
        <v>7</v>
      </c>
      <c r="B172" t="s">
        <v>75</v>
      </c>
      <c r="C172">
        <v>2020</v>
      </c>
      <c r="D172">
        <v>97</v>
      </c>
      <c r="E172">
        <v>0.61</v>
      </c>
      <c r="F172">
        <v>0.63</v>
      </c>
      <c r="G172">
        <v>0.05</v>
      </c>
      <c r="H172">
        <v>0.49</v>
      </c>
      <c r="I172">
        <v>0.68</v>
      </c>
      <c r="J172">
        <v>0.56000000000000005</v>
      </c>
      <c r="K172">
        <v>0.64</v>
      </c>
      <c r="L172" t="s">
        <v>8</v>
      </c>
      <c r="M172" t="s">
        <v>21</v>
      </c>
    </row>
    <row r="173" spans="1:13" x14ac:dyDescent="0.45">
      <c r="A173" t="s">
        <v>7</v>
      </c>
      <c r="B173" t="s">
        <v>75</v>
      </c>
      <c r="C173">
        <v>2025</v>
      </c>
      <c r="D173">
        <v>91</v>
      </c>
      <c r="E173">
        <v>0.62</v>
      </c>
      <c r="F173">
        <v>0.65</v>
      </c>
      <c r="G173">
        <v>0.1</v>
      </c>
      <c r="H173">
        <v>0.13</v>
      </c>
      <c r="I173">
        <v>0.9</v>
      </c>
      <c r="J173">
        <v>0.56000000000000005</v>
      </c>
      <c r="K173">
        <v>0.67</v>
      </c>
      <c r="L173" t="s">
        <v>8</v>
      </c>
      <c r="M173" t="s">
        <v>21</v>
      </c>
    </row>
    <row r="174" spans="1:13" x14ac:dyDescent="0.45">
      <c r="A174" t="s">
        <v>7</v>
      </c>
      <c r="B174" t="s">
        <v>75</v>
      </c>
      <c r="C174">
        <v>2030</v>
      </c>
      <c r="D174">
        <v>97</v>
      </c>
      <c r="E174">
        <v>0.62</v>
      </c>
      <c r="F174">
        <v>0.65</v>
      </c>
      <c r="G174">
        <v>0.1</v>
      </c>
      <c r="H174">
        <v>0.15</v>
      </c>
      <c r="I174">
        <v>0.87</v>
      </c>
      <c r="J174">
        <v>0.59</v>
      </c>
      <c r="K174">
        <v>0.68</v>
      </c>
      <c r="L174" t="s">
        <v>8</v>
      </c>
      <c r="M174" t="s">
        <v>21</v>
      </c>
    </row>
    <row r="175" spans="1:13" x14ac:dyDescent="0.45">
      <c r="A175" t="s">
        <v>7</v>
      </c>
      <c r="B175" t="s">
        <v>75</v>
      </c>
      <c r="C175">
        <v>2035</v>
      </c>
      <c r="D175">
        <v>91</v>
      </c>
      <c r="E175">
        <v>0.63</v>
      </c>
      <c r="F175">
        <v>0.65</v>
      </c>
      <c r="G175">
        <v>0.06</v>
      </c>
      <c r="H175">
        <v>0.53</v>
      </c>
      <c r="I175">
        <v>0.71</v>
      </c>
      <c r="J175">
        <v>0.6</v>
      </c>
      <c r="K175">
        <v>0.68</v>
      </c>
      <c r="L175" t="s">
        <v>8</v>
      </c>
      <c r="M175" t="s">
        <v>21</v>
      </c>
    </row>
    <row r="176" spans="1:13" x14ac:dyDescent="0.45">
      <c r="A176" t="s">
        <v>7</v>
      </c>
      <c r="B176" t="s">
        <v>75</v>
      </c>
      <c r="C176">
        <v>2040</v>
      </c>
      <c r="D176">
        <v>97</v>
      </c>
      <c r="E176">
        <v>0.62</v>
      </c>
      <c r="F176">
        <v>0.64</v>
      </c>
      <c r="G176">
        <v>0.06</v>
      </c>
      <c r="H176">
        <v>0.46</v>
      </c>
      <c r="I176">
        <v>0.71</v>
      </c>
      <c r="J176">
        <v>0.6</v>
      </c>
      <c r="K176">
        <v>0.67</v>
      </c>
      <c r="L176" t="s">
        <v>8</v>
      </c>
      <c r="M176" t="s">
        <v>21</v>
      </c>
    </row>
    <row r="177" spans="1:13" x14ac:dyDescent="0.45">
      <c r="A177" t="s">
        <v>7</v>
      </c>
      <c r="B177" t="s">
        <v>75</v>
      </c>
      <c r="C177">
        <v>2045</v>
      </c>
      <c r="D177">
        <v>91</v>
      </c>
      <c r="E177">
        <v>0.61</v>
      </c>
      <c r="F177">
        <v>0.62</v>
      </c>
      <c r="G177">
        <v>0.05</v>
      </c>
      <c r="H177">
        <v>0.47</v>
      </c>
      <c r="I177">
        <v>0.68</v>
      </c>
      <c r="J177">
        <v>0.6</v>
      </c>
      <c r="K177">
        <v>0.64</v>
      </c>
      <c r="L177" t="s">
        <v>8</v>
      </c>
      <c r="M177" t="s">
        <v>21</v>
      </c>
    </row>
    <row r="178" spans="1:13" x14ac:dyDescent="0.45">
      <c r="A178" t="s">
        <v>7</v>
      </c>
      <c r="B178" t="s">
        <v>75</v>
      </c>
      <c r="C178">
        <v>2050</v>
      </c>
      <c r="D178">
        <v>97</v>
      </c>
      <c r="E178">
        <v>0.6</v>
      </c>
      <c r="F178">
        <v>0.6</v>
      </c>
      <c r="G178">
        <v>0.06</v>
      </c>
      <c r="H178">
        <v>0.47</v>
      </c>
      <c r="I178">
        <v>0.72</v>
      </c>
      <c r="J178">
        <v>0.56999999999999995</v>
      </c>
      <c r="K178">
        <v>0.63</v>
      </c>
      <c r="L178" t="s">
        <v>8</v>
      </c>
      <c r="M178" t="s">
        <v>21</v>
      </c>
    </row>
    <row r="179" spans="1:13" x14ac:dyDescent="0.45">
      <c r="A179" t="s">
        <v>9</v>
      </c>
      <c r="B179" t="s">
        <v>75</v>
      </c>
      <c r="C179">
        <v>2020</v>
      </c>
      <c r="D179">
        <v>57</v>
      </c>
      <c r="E179">
        <v>0.63</v>
      </c>
      <c r="F179">
        <v>0.66</v>
      </c>
      <c r="G179">
        <v>0.05</v>
      </c>
      <c r="H179">
        <v>0.49</v>
      </c>
      <c r="I179">
        <v>0.68</v>
      </c>
      <c r="J179">
        <v>0.6</v>
      </c>
      <c r="K179">
        <v>0.68</v>
      </c>
      <c r="L179" t="s">
        <v>10</v>
      </c>
      <c r="M179" t="s">
        <v>21</v>
      </c>
    </row>
    <row r="180" spans="1:13" x14ac:dyDescent="0.45">
      <c r="A180" t="s">
        <v>9</v>
      </c>
      <c r="B180" t="s">
        <v>75</v>
      </c>
      <c r="C180">
        <v>2025</v>
      </c>
      <c r="D180">
        <v>52</v>
      </c>
      <c r="E180">
        <v>0.64</v>
      </c>
      <c r="F180">
        <v>0.67</v>
      </c>
      <c r="G180">
        <v>0.06</v>
      </c>
      <c r="H180">
        <v>0.43</v>
      </c>
      <c r="I180">
        <v>0.7</v>
      </c>
      <c r="J180">
        <v>0.61</v>
      </c>
      <c r="K180">
        <v>0.69</v>
      </c>
      <c r="L180" t="s">
        <v>10</v>
      </c>
      <c r="M180" t="s">
        <v>21</v>
      </c>
    </row>
    <row r="181" spans="1:13" x14ac:dyDescent="0.45">
      <c r="A181" t="s">
        <v>9</v>
      </c>
      <c r="B181" t="s">
        <v>75</v>
      </c>
      <c r="C181">
        <v>2030</v>
      </c>
      <c r="D181">
        <v>57</v>
      </c>
      <c r="E181">
        <v>0.65</v>
      </c>
      <c r="F181">
        <v>0.67</v>
      </c>
      <c r="G181">
        <v>0.06</v>
      </c>
      <c r="H181">
        <v>0.4</v>
      </c>
      <c r="I181">
        <v>0.7</v>
      </c>
      <c r="J181">
        <v>0.6</v>
      </c>
      <c r="K181">
        <v>0.69</v>
      </c>
      <c r="L181" t="s">
        <v>10</v>
      </c>
      <c r="M181" t="s">
        <v>21</v>
      </c>
    </row>
    <row r="182" spans="1:13" x14ac:dyDescent="0.45">
      <c r="A182" t="s">
        <v>9</v>
      </c>
      <c r="B182" t="s">
        <v>75</v>
      </c>
      <c r="C182">
        <v>2035</v>
      </c>
      <c r="D182">
        <v>52</v>
      </c>
      <c r="E182">
        <v>0.64</v>
      </c>
      <c r="F182">
        <v>0.67</v>
      </c>
      <c r="G182">
        <v>7.0000000000000007E-2</v>
      </c>
      <c r="H182">
        <v>0.37</v>
      </c>
      <c r="I182">
        <v>0.7</v>
      </c>
      <c r="J182">
        <v>0.57999999999999996</v>
      </c>
      <c r="K182">
        <v>0.68</v>
      </c>
      <c r="L182" t="s">
        <v>10</v>
      </c>
      <c r="M182" t="s">
        <v>21</v>
      </c>
    </row>
    <row r="183" spans="1:13" x14ac:dyDescent="0.45">
      <c r="A183" t="s">
        <v>9</v>
      </c>
      <c r="B183" t="s">
        <v>75</v>
      </c>
      <c r="C183">
        <v>2040</v>
      </c>
      <c r="D183">
        <v>57</v>
      </c>
      <c r="E183">
        <v>0.63</v>
      </c>
      <c r="F183">
        <v>0.66</v>
      </c>
      <c r="G183">
        <v>0.06</v>
      </c>
      <c r="H183">
        <v>0.4</v>
      </c>
      <c r="I183">
        <v>0.71</v>
      </c>
      <c r="J183">
        <v>0.57999999999999996</v>
      </c>
      <c r="K183">
        <v>0.67</v>
      </c>
      <c r="L183" t="s">
        <v>10</v>
      </c>
      <c r="M183" t="s">
        <v>21</v>
      </c>
    </row>
    <row r="184" spans="1:13" x14ac:dyDescent="0.45">
      <c r="A184" t="s">
        <v>9</v>
      </c>
      <c r="B184" t="s">
        <v>75</v>
      </c>
      <c r="C184">
        <v>2045</v>
      </c>
      <c r="D184">
        <v>52</v>
      </c>
      <c r="E184">
        <v>0.62</v>
      </c>
      <c r="F184">
        <v>0.63</v>
      </c>
      <c r="G184">
        <v>0.06</v>
      </c>
      <c r="H184">
        <v>0.4</v>
      </c>
      <c r="I184">
        <v>0.73</v>
      </c>
      <c r="J184">
        <v>0.55000000000000004</v>
      </c>
      <c r="K184">
        <v>0.66</v>
      </c>
      <c r="L184" t="s">
        <v>10</v>
      </c>
      <c r="M184" t="s">
        <v>21</v>
      </c>
    </row>
    <row r="185" spans="1:13" x14ac:dyDescent="0.45">
      <c r="A185" t="s">
        <v>9</v>
      </c>
      <c r="B185" t="s">
        <v>75</v>
      </c>
      <c r="C185">
        <v>2050</v>
      </c>
      <c r="D185">
        <v>57</v>
      </c>
      <c r="E185">
        <v>0.61</v>
      </c>
      <c r="F185">
        <v>0.61</v>
      </c>
      <c r="G185">
        <v>7.0000000000000007E-2</v>
      </c>
      <c r="H185">
        <v>0.4</v>
      </c>
      <c r="I185">
        <v>0.74</v>
      </c>
      <c r="J185">
        <v>0.56000000000000005</v>
      </c>
      <c r="K185">
        <v>0.66</v>
      </c>
      <c r="L185" t="s">
        <v>10</v>
      </c>
      <c r="M185" t="s">
        <v>21</v>
      </c>
    </row>
    <row r="186" spans="1:13" x14ac:dyDescent="0.45">
      <c r="A186" t="s">
        <v>0</v>
      </c>
      <c r="B186" t="s">
        <v>75</v>
      </c>
      <c r="C186">
        <v>2020</v>
      </c>
      <c r="D186">
        <v>64</v>
      </c>
      <c r="E186">
        <v>0.02</v>
      </c>
      <c r="F186">
        <v>0.02</v>
      </c>
      <c r="G186">
        <v>0.01</v>
      </c>
      <c r="H186">
        <v>0.01</v>
      </c>
      <c r="I186">
        <v>0.06</v>
      </c>
      <c r="J186">
        <v>0.02</v>
      </c>
      <c r="K186">
        <v>0.02</v>
      </c>
      <c r="L186" t="s">
        <v>1</v>
      </c>
      <c r="M186" t="s">
        <v>23</v>
      </c>
    </row>
    <row r="187" spans="1:13" x14ac:dyDescent="0.45">
      <c r="A187" t="s">
        <v>0</v>
      </c>
      <c r="B187" t="s">
        <v>75</v>
      </c>
      <c r="C187">
        <v>2025</v>
      </c>
      <c r="D187">
        <v>64</v>
      </c>
      <c r="E187">
        <v>0.03</v>
      </c>
      <c r="F187">
        <v>0.03</v>
      </c>
      <c r="G187">
        <v>0.01</v>
      </c>
      <c r="H187">
        <v>0.01</v>
      </c>
      <c r="I187">
        <v>7.0000000000000007E-2</v>
      </c>
      <c r="J187">
        <v>0.02</v>
      </c>
      <c r="K187">
        <v>0.04</v>
      </c>
      <c r="L187" t="s">
        <v>1</v>
      </c>
      <c r="M187" t="s">
        <v>23</v>
      </c>
    </row>
    <row r="188" spans="1:13" x14ac:dyDescent="0.45">
      <c r="A188" t="s">
        <v>0</v>
      </c>
      <c r="B188" t="s">
        <v>75</v>
      </c>
      <c r="C188">
        <v>2030</v>
      </c>
      <c r="D188">
        <v>64</v>
      </c>
      <c r="E188">
        <v>0.05</v>
      </c>
      <c r="F188">
        <v>0.05</v>
      </c>
      <c r="G188">
        <v>0.02</v>
      </c>
      <c r="H188">
        <v>0.01</v>
      </c>
      <c r="I188">
        <v>0.1</v>
      </c>
      <c r="J188">
        <v>0.04</v>
      </c>
      <c r="K188">
        <v>0.08</v>
      </c>
      <c r="L188" t="s">
        <v>1</v>
      </c>
      <c r="M188" t="s">
        <v>23</v>
      </c>
    </row>
    <row r="189" spans="1:13" x14ac:dyDescent="0.45">
      <c r="A189" t="s">
        <v>0</v>
      </c>
      <c r="B189" t="s">
        <v>75</v>
      </c>
      <c r="C189">
        <v>2035</v>
      </c>
      <c r="D189">
        <v>64</v>
      </c>
      <c r="E189">
        <v>0.08</v>
      </c>
      <c r="F189">
        <v>0.08</v>
      </c>
      <c r="G189">
        <v>0.04</v>
      </c>
      <c r="H189">
        <v>0.02</v>
      </c>
      <c r="I189">
        <v>0.15</v>
      </c>
      <c r="J189">
        <v>0.06</v>
      </c>
      <c r="K189">
        <v>0.11</v>
      </c>
      <c r="L189" t="s">
        <v>1</v>
      </c>
      <c r="M189" t="s">
        <v>23</v>
      </c>
    </row>
    <row r="190" spans="1:13" x14ac:dyDescent="0.45">
      <c r="A190" t="s">
        <v>0</v>
      </c>
      <c r="B190" t="s">
        <v>75</v>
      </c>
      <c r="C190">
        <v>2040</v>
      </c>
      <c r="D190">
        <v>64</v>
      </c>
      <c r="E190">
        <v>0.11</v>
      </c>
      <c r="F190">
        <v>0.11</v>
      </c>
      <c r="G190">
        <v>0.05</v>
      </c>
      <c r="H190">
        <v>0.02</v>
      </c>
      <c r="I190">
        <v>0.19</v>
      </c>
      <c r="J190">
        <v>0.08</v>
      </c>
      <c r="K190">
        <v>0.14000000000000001</v>
      </c>
      <c r="L190" t="s">
        <v>1</v>
      </c>
      <c r="M190" t="s">
        <v>23</v>
      </c>
    </row>
    <row r="191" spans="1:13" x14ac:dyDescent="0.45">
      <c r="A191" t="s">
        <v>0</v>
      </c>
      <c r="B191" t="s">
        <v>75</v>
      </c>
      <c r="C191">
        <v>2045</v>
      </c>
      <c r="D191">
        <v>64</v>
      </c>
      <c r="E191">
        <v>0.12</v>
      </c>
      <c r="F191">
        <v>0.13</v>
      </c>
      <c r="G191">
        <v>0.05</v>
      </c>
      <c r="H191">
        <v>0.02</v>
      </c>
      <c r="I191">
        <v>0.22</v>
      </c>
      <c r="J191">
        <v>0.09</v>
      </c>
      <c r="K191">
        <v>0.15</v>
      </c>
      <c r="L191" t="s">
        <v>1</v>
      </c>
      <c r="M191" t="s">
        <v>23</v>
      </c>
    </row>
    <row r="192" spans="1:13" x14ac:dyDescent="0.45">
      <c r="A192" t="s">
        <v>0</v>
      </c>
      <c r="B192" t="s">
        <v>75</v>
      </c>
      <c r="C192">
        <v>2050</v>
      </c>
      <c r="D192">
        <v>64</v>
      </c>
      <c r="E192">
        <v>0.13</v>
      </c>
      <c r="F192">
        <v>0.13</v>
      </c>
      <c r="G192">
        <v>0.05</v>
      </c>
      <c r="H192">
        <v>0.02</v>
      </c>
      <c r="I192">
        <v>0.24</v>
      </c>
      <c r="J192">
        <v>0.09</v>
      </c>
      <c r="K192">
        <v>0.16</v>
      </c>
      <c r="L192" t="s">
        <v>1</v>
      </c>
      <c r="M192" t="s">
        <v>23</v>
      </c>
    </row>
    <row r="193" spans="1:13" x14ac:dyDescent="0.45">
      <c r="A193" t="s">
        <v>2</v>
      </c>
      <c r="B193" t="s">
        <v>75</v>
      </c>
      <c r="C193">
        <v>2020</v>
      </c>
      <c r="D193">
        <v>95</v>
      </c>
      <c r="E193">
        <v>0.02</v>
      </c>
      <c r="F193">
        <v>0.02</v>
      </c>
      <c r="G193">
        <v>0.01</v>
      </c>
      <c r="H193">
        <v>0.01</v>
      </c>
      <c r="I193">
        <v>0.06</v>
      </c>
      <c r="J193">
        <v>0.02</v>
      </c>
      <c r="K193">
        <v>0.02</v>
      </c>
      <c r="L193" t="s">
        <v>3</v>
      </c>
      <c r="M193" t="s">
        <v>23</v>
      </c>
    </row>
    <row r="194" spans="1:13" x14ac:dyDescent="0.45">
      <c r="A194" t="s">
        <v>2</v>
      </c>
      <c r="B194" t="s">
        <v>75</v>
      </c>
      <c r="C194">
        <v>2025</v>
      </c>
      <c r="D194">
        <v>84</v>
      </c>
      <c r="E194">
        <v>0.03</v>
      </c>
      <c r="F194">
        <v>0.03</v>
      </c>
      <c r="G194">
        <v>0.02</v>
      </c>
      <c r="H194">
        <v>0.01</v>
      </c>
      <c r="I194">
        <v>0.13</v>
      </c>
      <c r="J194">
        <v>0.02</v>
      </c>
      <c r="K194">
        <v>0.04</v>
      </c>
      <c r="L194" t="s">
        <v>3</v>
      </c>
      <c r="M194" t="s">
        <v>23</v>
      </c>
    </row>
    <row r="195" spans="1:13" x14ac:dyDescent="0.45">
      <c r="A195" t="s">
        <v>2</v>
      </c>
      <c r="B195" t="s">
        <v>75</v>
      </c>
      <c r="C195">
        <v>2030</v>
      </c>
      <c r="D195">
        <v>95</v>
      </c>
      <c r="E195">
        <v>0.05</v>
      </c>
      <c r="F195">
        <v>0.04</v>
      </c>
      <c r="G195">
        <v>0.03</v>
      </c>
      <c r="H195">
        <v>0.01</v>
      </c>
      <c r="I195">
        <v>0.2</v>
      </c>
      <c r="J195">
        <v>0.03</v>
      </c>
      <c r="K195">
        <v>0.08</v>
      </c>
      <c r="L195" t="s">
        <v>3</v>
      </c>
      <c r="M195" t="s">
        <v>23</v>
      </c>
    </row>
    <row r="196" spans="1:13" x14ac:dyDescent="0.45">
      <c r="A196" t="s">
        <v>2</v>
      </c>
      <c r="B196" t="s">
        <v>75</v>
      </c>
      <c r="C196">
        <v>2035</v>
      </c>
      <c r="D196">
        <v>84</v>
      </c>
      <c r="E196">
        <v>7.0000000000000007E-2</v>
      </c>
      <c r="F196">
        <v>0.06</v>
      </c>
      <c r="G196">
        <v>0.04</v>
      </c>
      <c r="H196">
        <v>0.01</v>
      </c>
      <c r="I196">
        <v>0.14000000000000001</v>
      </c>
      <c r="J196">
        <v>0.04</v>
      </c>
      <c r="K196">
        <v>0.11</v>
      </c>
      <c r="L196" t="s">
        <v>3</v>
      </c>
      <c r="M196" t="s">
        <v>23</v>
      </c>
    </row>
    <row r="197" spans="1:13" x14ac:dyDescent="0.45">
      <c r="A197" t="s">
        <v>2</v>
      </c>
      <c r="B197" t="s">
        <v>75</v>
      </c>
      <c r="C197">
        <v>2040</v>
      </c>
      <c r="D197">
        <v>95</v>
      </c>
      <c r="E197">
        <v>0.11</v>
      </c>
      <c r="F197">
        <v>0.1</v>
      </c>
      <c r="G197">
        <v>0.06</v>
      </c>
      <c r="H197">
        <v>0.01</v>
      </c>
      <c r="I197">
        <v>0.2</v>
      </c>
      <c r="J197">
        <v>0.06</v>
      </c>
      <c r="K197">
        <v>0.17</v>
      </c>
      <c r="L197" t="s">
        <v>3</v>
      </c>
      <c r="M197" t="s">
        <v>23</v>
      </c>
    </row>
    <row r="198" spans="1:13" x14ac:dyDescent="0.45">
      <c r="A198" t="s">
        <v>2</v>
      </c>
      <c r="B198" t="s">
        <v>75</v>
      </c>
      <c r="C198">
        <v>2045</v>
      </c>
      <c r="D198">
        <v>84</v>
      </c>
      <c r="E198">
        <v>0.11</v>
      </c>
      <c r="F198">
        <v>0.11</v>
      </c>
      <c r="G198">
        <v>0.06</v>
      </c>
      <c r="H198">
        <v>0.01</v>
      </c>
      <c r="I198">
        <v>0.22</v>
      </c>
      <c r="J198">
        <v>7.0000000000000007E-2</v>
      </c>
      <c r="K198">
        <v>0.17</v>
      </c>
      <c r="L198" t="s">
        <v>3</v>
      </c>
      <c r="M198" t="s">
        <v>23</v>
      </c>
    </row>
    <row r="199" spans="1:13" x14ac:dyDescent="0.45">
      <c r="A199" t="s">
        <v>2</v>
      </c>
      <c r="B199" t="s">
        <v>75</v>
      </c>
      <c r="C199">
        <v>2050</v>
      </c>
      <c r="D199">
        <v>95</v>
      </c>
      <c r="E199">
        <v>0.13</v>
      </c>
      <c r="F199">
        <v>0.13</v>
      </c>
      <c r="G199">
        <v>0.06</v>
      </c>
      <c r="H199">
        <v>0.01</v>
      </c>
      <c r="I199">
        <v>0.24</v>
      </c>
      <c r="J199">
        <v>0.08</v>
      </c>
      <c r="K199">
        <v>0.18</v>
      </c>
      <c r="L199" t="s">
        <v>3</v>
      </c>
      <c r="M199" t="s">
        <v>23</v>
      </c>
    </row>
    <row r="200" spans="1:13" x14ac:dyDescent="0.45">
      <c r="A200" t="s">
        <v>5</v>
      </c>
      <c r="B200" t="s">
        <v>75</v>
      </c>
      <c r="C200">
        <v>2020</v>
      </c>
      <c r="D200">
        <v>229</v>
      </c>
      <c r="E200">
        <v>0.02</v>
      </c>
      <c r="F200">
        <v>0.02</v>
      </c>
      <c r="G200">
        <v>0.01</v>
      </c>
      <c r="H200">
        <v>0.01</v>
      </c>
      <c r="I200">
        <v>0.06</v>
      </c>
      <c r="J200">
        <v>0.02</v>
      </c>
      <c r="K200">
        <v>0.02</v>
      </c>
      <c r="L200" t="s">
        <v>6</v>
      </c>
      <c r="M200" t="s">
        <v>23</v>
      </c>
    </row>
    <row r="201" spans="1:13" x14ac:dyDescent="0.45">
      <c r="A201" t="s">
        <v>5</v>
      </c>
      <c r="B201" t="s">
        <v>75</v>
      </c>
      <c r="C201">
        <v>2025</v>
      </c>
      <c r="D201">
        <v>206</v>
      </c>
      <c r="E201">
        <v>0.04</v>
      </c>
      <c r="F201">
        <v>0.03</v>
      </c>
      <c r="G201">
        <v>0.06</v>
      </c>
      <c r="H201">
        <v>0.01</v>
      </c>
      <c r="I201">
        <v>0.44</v>
      </c>
      <c r="J201">
        <v>0.02</v>
      </c>
      <c r="K201">
        <v>0.04</v>
      </c>
      <c r="L201" t="s">
        <v>6</v>
      </c>
      <c r="M201" t="s">
        <v>23</v>
      </c>
    </row>
    <row r="202" spans="1:13" x14ac:dyDescent="0.45">
      <c r="A202" t="s">
        <v>5</v>
      </c>
      <c r="B202" t="s">
        <v>75</v>
      </c>
      <c r="C202">
        <v>2030</v>
      </c>
      <c r="D202">
        <v>229</v>
      </c>
      <c r="E202">
        <v>0.06</v>
      </c>
      <c r="F202">
        <v>0.03</v>
      </c>
      <c r="G202">
        <v>0.1</v>
      </c>
      <c r="H202">
        <v>0.01</v>
      </c>
      <c r="I202">
        <v>0.76</v>
      </c>
      <c r="J202">
        <v>0.02</v>
      </c>
      <c r="K202">
        <v>0.05</v>
      </c>
      <c r="L202" t="s">
        <v>6</v>
      </c>
      <c r="M202" t="s">
        <v>23</v>
      </c>
    </row>
    <row r="203" spans="1:13" x14ac:dyDescent="0.45">
      <c r="A203" t="s">
        <v>5</v>
      </c>
      <c r="B203" t="s">
        <v>75</v>
      </c>
      <c r="C203">
        <v>2035</v>
      </c>
      <c r="D203">
        <v>206</v>
      </c>
      <c r="E203">
        <v>0.06</v>
      </c>
      <c r="F203">
        <v>0.05</v>
      </c>
      <c r="G203">
        <v>0.03</v>
      </c>
      <c r="H203">
        <v>0.01</v>
      </c>
      <c r="I203">
        <v>0.14000000000000001</v>
      </c>
      <c r="J203">
        <v>0.04</v>
      </c>
      <c r="K203">
        <v>7.0000000000000007E-2</v>
      </c>
      <c r="L203" t="s">
        <v>6</v>
      </c>
      <c r="M203" t="s">
        <v>23</v>
      </c>
    </row>
    <row r="204" spans="1:13" x14ac:dyDescent="0.45">
      <c r="A204" t="s">
        <v>5</v>
      </c>
      <c r="B204" t="s">
        <v>75</v>
      </c>
      <c r="C204">
        <v>2040</v>
      </c>
      <c r="D204">
        <v>229</v>
      </c>
      <c r="E204">
        <v>0.08</v>
      </c>
      <c r="F204">
        <v>0.08</v>
      </c>
      <c r="G204">
        <v>0.05</v>
      </c>
      <c r="H204">
        <v>0.01</v>
      </c>
      <c r="I204">
        <v>0.19</v>
      </c>
      <c r="J204">
        <v>0.03</v>
      </c>
      <c r="K204">
        <v>0.1</v>
      </c>
      <c r="L204" t="s">
        <v>6</v>
      </c>
      <c r="M204" t="s">
        <v>23</v>
      </c>
    </row>
    <row r="205" spans="1:13" x14ac:dyDescent="0.45">
      <c r="A205" t="s">
        <v>5</v>
      </c>
      <c r="B205" t="s">
        <v>75</v>
      </c>
      <c r="C205">
        <v>2045</v>
      </c>
      <c r="D205">
        <v>206</v>
      </c>
      <c r="E205">
        <v>0.1</v>
      </c>
      <c r="F205">
        <v>0.11</v>
      </c>
      <c r="G205">
        <v>0.06</v>
      </c>
      <c r="H205">
        <v>0.01</v>
      </c>
      <c r="I205">
        <v>0.22</v>
      </c>
      <c r="J205">
        <v>0.06</v>
      </c>
      <c r="K205">
        <v>0.14000000000000001</v>
      </c>
      <c r="L205" t="s">
        <v>6</v>
      </c>
      <c r="M205" t="s">
        <v>23</v>
      </c>
    </row>
    <row r="206" spans="1:13" x14ac:dyDescent="0.45">
      <c r="A206" t="s">
        <v>5</v>
      </c>
      <c r="B206" t="s">
        <v>75</v>
      </c>
      <c r="C206">
        <v>2050</v>
      </c>
      <c r="D206">
        <v>229</v>
      </c>
      <c r="E206">
        <v>0.11</v>
      </c>
      <c r="F206">
        <v>0.12</v>
      </c>
      <c r="G206">
        <v>0.06</v>
      </c>
      <c r="H206">
        <v>0.02</v>
      </c>
      <c r="I206">
        <v>0.24</v>
      </c>
      <c r="J206">
        <v>0.04</v>
      </c>
      <c r="K206">
        <v>0.16</v>
      </c>
      <c r="L206" t="s">
        <v>6</v>
      </c>
      <c r="M206" t="s">
        <v>23</v>
      </c>
    </row>
    <row r="207" spans="1:13" x14ac:dyDescent="0.45">
      <c r="A207" t="s">
        <v>7</v>
      </c>
      <c r="B207" t="s">
        <v>75</v>
      </c>
      <c r="C207">
        <v>2020</v>
      </c>
      <c r="D207">
        <v>97</v>
      </c>
      <c r="E207">
        <v>0.02</v>
      </c>
      <c r="F207">
        <v>0.02</v>
      </c>
      <c r="G207">
        <v>0.01</v>
      </c>
      <c r="H207">
        <v>0.01</v>
      </c>
      <c r="I207">
        <v>0.03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45">
      <c r="A208" t="s">
        <v>7</v>
      </c>
      <c r="B208" t="s">
        <v>75</v>
      </c>
      <c r="C208">
        <v>2025</v>
      </c>
      <c r="D208">
        <v>91</v>
      </c>
      <c r="E208">
        <v>0.04</v>
      </c>
      <c r="F208">
        <v>0.02</v>
      </c>
      <c r="G208">
        <v>7.0000000000000007E-2</v>
      </c>
      <c r="H208">
        <v>0.01</v>
      </c>
      <c r="I208">
        <v>0.51</v>
      </c>
      <c r="J208">
        <v>0.02</v>
      </c>
      <c r="K208">
        <v>0.03</v>
      </c>
      <c r="L208" t="s">
        <v>8</v>
      </c>
      <c r="M208" t="s">
        <v>23</v>
      </c>
    </row>
    <row r="209" spans="1:13" x14ac:dyDescent="0.45">
      <c r="A209" t="s">
        <v>7</v>
      </c>
      <c r="B209" t="s">
        <v>75</v>
      </c>
      <c r="C209">
        <v>2030</v>
      </c>
      <c r="D209">
        <v>97</v>
      </c>
      <c r="E209">
        <v>0.05</v>
      </c>
      <c r="F209">
        <v>0.02</v>
      </c>
      <c r="G209">
        <v>0.11</v>
      </c>
      <c r="H209">
        <v>0.01</v>
      </c>
      <c r="I209">
        <v>0.83</v>
      </c>
      <c r="J209">
        <v>0.02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75</v>
      </c>
      <c r="C210">
        <v>2035</v>
      </c>
      <c r="D210">
        <v>91</v>
      </c>
      <c r="E210">
        <v>0.04</v>
      </c>
      <c r="F210">
        <v>0.03</v>
      </c>
      <c r="G210">
        <v>0.02</v>
      </c>
      <c r="H210">
        <v>0.01</v>
      </c>
      <c r="I210">
        <v>7.0000000000000007E-2</v>
      </c>
      <c r="J210">
        <v>0.02</v>
      </c>
      <c r="K210">
        <v>0.05</v>
      </c>
      <c r="L210" t="s">
        <v>8</v>
      </c>
      <c r="M210" t="s">
        <v>23</v>
      </c>
    </row>
    <row r="211" spans="1:13" x14ac:dyDescent="0.45">
      <c r="A211" t="s">
        <v>7</v>
      </c>
      <c r="B211" t="s">
        <v>75</v>
      </c>
      <c r="C211">
        <v>2040</v>
      </c>
      <c r="D211">
        <v>97</v>
      </c>
      <c r="E211">
        <v>0.05</v>
      </c>
      <c r="F211">
        <v>0.04</v>
      </c>
      <c r="G211">
        <v>0.03</v>
      </c>
      <c r="H211">
        <v>0.01</v>
      </c>
      <c r="I211">
        <v>0.12</v>
      </c>
      <c r="J211">
        <v>0.02</v>
      </c>
      <c r="K211">
        <v>0.08</v>
      </c>
      <c r="L211" t="s">
        <v>8</v>
      </c>
      <c r="M211" t="s">
        <v>23</v>
      </c>
    </row>
    <row r="212" spans="1:13" x14ac:dyDescent="0.45">
      <c r="A212" t="s">
        <v>7</v>
      </c>
      <c r="B212" t="s">
        <v>75</v>
      </c>
      <c r="C212">
        <v>2045</v>
      </c>
      <c r="D212">
        <v>91</v>
      </c>
      <c r="E212">
        <v>0.08</v>
      </c>
      <c r="F212">
        <v>0.06</v>
      </c>
      <c r="G212">
        <v>0.05</v>
      </c>
      <c r="H212">
        <v>0.01</v>
      </c>
      <c r="I212">
        <v>0.18</v>
      </c>
      <c r="J212">
        <v>0.03</v>
      </c>
      <c r="K212">
        <v>0.13</v>
      </c>
      <c r="L212" t="s">
        <v>8</v>
      </c>
      <c r="M212" t="s">
        <v>23</v>
      </c>
    </row>
    <row r="213" spans="1:13" x14ac:dyDescent="0.45">
      <c r="A213" t="s">
        <v>7</v>
      </c>
      <c r="B213" t="s">
        <v>75</v>
      </c>
      <c r="C213">
        <v>2050</v>
      </c>
      <c r="D213">
        <v>97</v>
      </c>
      <c r="E213">
        <v>0.09</v>
      </c>
      <c r="F213">
        <v>0.06</v>
      </c>
      <c r="G213">
        <v>7.0000000000000007E-2</v>
      </c>
      <c r="H213">
        <v>0.01</v>
      </c>
      <c r="I213">
        <v>0.22</v>
      </c>
      <c r="J213">
        <v>0.02</v>
      </c>
      <c r="K213">
        <v>0.18</v>
      </c>
      <c r="L213" t="s">
        <v>8</v>
      </c>
      <c r="M213" t="s">
        <v>23</v>
      </c>
    </row>
    <row r="214" spans="1:13" x14ac:dyDescent="0.45">
      <c r="A214" t="s">
        <v>9</v>
      </c>
      <c r="B214" t="s">
        <v>75</v>
      </c>
      <c r="C214">
        <v>2020</v>
      </c>
      <c r="D214">
        <v>59</v>
      </c>
      <c r="E214">
        <v>0.02</v>
      </c>
      <c r="F214">
        <v>0.02</v>
      </c>
      <c r="G214">
        <v>0.01</v>
      </c>
      <c r="H214">
        <v>0.01</v>
      </c>
      <c r="I214">
        <v>0.06</v>
      </c>
      <c r="J214">
        <v>0.01</v>
      </c>
      <c r="K214">
        <v>0.02</v>
      </c>
      <c r="L214" t="s">
        <v>10</v>
      </c>
      <c r="M214" t="s">
        <v>23</v>
      </c>
    </row>
    <row r="215" spans="1:13" x14ac:dyDescent="0.45">
      <c r="A215" t="s">
        <v>9</v>
      </c>
      <c r="B215" t="s">
        <v>75</v>
      </c>
      <c r="C215">
        <v>2025</v>
      </c>
      <c r="D215">
        <v>54</v>
      </c>
      <c r="E215">
        <v>0.02</v>
      </c>
      <c r="F215">
        <v>0.02</v>
      </c>
      <c r="G215">
        <v>0.01</v>
      </c>
      <c r="H215">
        <v>0.01</v>
      </c>
      <c r="I215">
        <v>0.06</v>
      </c>
      <c r="J215">
        <v>0.02</v>
      </c>
      <c r="K215">
        <v>0.03</v>
      </c>
      <c r="L215" t="s">
        <v>10</v>
      </c>
      <c r="M215" t="s">
        <v>23</v>
      </c>
    </row>
    <row r="216" spans="1:13" x14ac:dyDescent="0.45">
      <c r="A216" t="s">
        <v>9</v>
      </c>
      <c r="B216" t="s">
        <v>75</v>
      </c>
      <c r="C216">
        <v>2030</v>
      </c>
      <c r="D216">
        <v>59</v>
      </c>
      <c r="E216">
        <v>0.03</v>
      </c>
      <c r="F216">
        <v>0.03</v>
      </c>
      <c r="G216">
        <v>0.01</v>
      </c>
      <c r="H216">
        <v>0.01</v>
      </c>
      <c r="I216">
        <v>7.0000000000000007E-2</v>
      </c>
      <c r="J216">
        <v>0.02</v>
      </c>
      <c r="K216">
        <v>0.03</v>
      </c>
      <c r="L216" t="s">
        <v>10</v>
      </c>
      <c r="M216" t="s">
        <v>23</v>
      </c>
    </row>
    <row r="217" spans="1:13" x14ac:dyDescent="0.45">
      <c r="A217" t="s">
        <v>9</v>
      </c>
      <c r="B217" t="s">
        <v>75</v>
      </c>
      <c r="C217">
        <v>2035</v>
      </c>
      <c r="D217">
        <v>54</v>
      </c>
      <c r="E217">
        <v>0.04</v>
      </c>
      <c r="F217">
        <v>0.04</v>
      </c>
      <c r="G217">
        <v>0.02</v>
      </c>
      <c r="H217">
        <v>0.01</v>
      </c>
      <c r="I217">
        <v>0.08</v>
      </c>
      <c r="J217">
        <v>0.03</v>
      </c>
      <c r="K217">
        <v>0.05</v>
      </c>
      <c r="L217" t="s">
        <v>10</v>
      </c>
      <c r="M217" t="s">
        <v>23</v>
      </c>
    </row>
    <row r="218" spans="1:13" x14ac:dyDescent="0.45">
      <c r="A218" t="s">
        <v>9</v>
      </c>
      <c r="B218" t="s">
        <v>75</v>
      </c>
      <c r="C218">
        <v>2040</v>
      </c>
      <c r="D218">
        <v>59</v>
      </c>
      <c r="E218">
        <v>0.05</v>
      </c>
      <c r="F218">
        <v>0.05</v>
      </c>
      <c r="G218">
        <v>0.03</v>
      </c>
      <c r="H218">
        <v>0.01</v>
      </c>
      <c r="I218">
        <v>0.12</v>
      </c>
      <c r="J218">
        <v>0.02</v>
      </c>
      <c r="K218">
        <v>7.0000000000000007E-2</v>
      </c>
      <c r="L218" t="s">
        <v>10</v>
      </c>
      <c r="M218" t="s">
        <v>23</v>
      </c>
    </row>
    <row r="219" spans="1:13" x14ac:dyDescent="0.45">
      <c r="A219" t="s">
        <v>9</v>
      </c>
      <c r="B219" t="s">
        <v>75</v>
      </c>
      <c r="C219">
        <v>2045</v>
      </c>
      <c r="D219">
        <v>54</v>
      </c>
      <c r="E219">
        <v>7.0000000000000007E-2</v>
      </c>
      <c r="F219">
        <v>7.0000000000000007E-2</v>
      </c>
      <c r="G219">
        <v>0.04</v>
      </c>
      <c r="H219">
        <v>0.01</v>
      </c>
      <c r="I219">
        <v>0.16</v>
      </c>
      <c r="J219">
        <v>0.04</v>
      </c>
      <c r="K219">
        <v>0.1</v>
      </c>
      <c r="L219" t="s">
        <v>10</v>
      </c>
      <c r="M219" t="s">
        <v>23</v>
      </c>
    </row>
    <row r="220" spans="1:13" x14ac:dyDescent="0.45">
      <c r="A220" t="s">
        <v>9</v>
      </c>
      <c r="B220" t="s">
        <v>75</v>
      </c>
      <c r="C220">
        <v>2050</v>
      </c>
      <c r="D220">
        <v>59</v>
      </c>
      <c r="E220">
        <v>0.08</v>
      </c>
      <c r="F220">
        <v>0.08</v>
      </c>
      <c r="G220">
        <v>0.05</v>
      </c>
      <c r="H220">
        <v>0.01</v>
      </c>
      <c r="I220">
        <v>0.18</v>
      </c>
      <c r="J220">
        <v>0.03</v>
      </c>
      <c r="K220">
        <v>0.12</v>
      </c>
      <c r="L220" t="s">
        <v>10</v>
      </c>
      <c r="M220" t="s">
        <v>23</v>
      </c>
    </row>
    <row r="221" spans="1:13" x14ac:dyDescent="0.45">
      <c r="A221" t="s">
        <v>0</v>
      </c>
      <c r="B221" t="s">
        <v>75</v>
      </c>
      <c r="C221">
        <v>2020</v>
      </c>
      <c r="D221">
        <v>44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75</v>
      </c>
      <c r="C222">
        <v>2025</v>
      </c>
      <c r="D222">
        <v>44</v>
      </c>
      <c r="E222">
        <v>2.4900000000000002</v>
      </c>
      <c r="F222">
        <v>2.2799999999999998</v>
      </c>
      <c r="G222">
        <v>0.93</v>
      </c>
      <c r="H222">
        <v>0</v>
      </c>
      <c r="I222">
        <v>5.34</v>
      </c>
      <c r="J222">
        <v>2</v>
      </c>
      <c r="K222">
        <v>2.91</v>
      </c>
      <c r="L222" t="s">
        <v>1</v>
      </c>
      <c r="M222" t="s">
        <v>70</v>
      </c>
    </row>
    <row r="223" spans="1:13" x14ac:dyDescent="0.45">
      <c r="A223" t="s">
        <v>0</v>
      </c>
      <c r="B223" t="s">
        <v>75</v>
      </c>
      <c r="C223">
        <v>2030</v>
      </c>
      <c r="D223">
        <v>44</v>
      </c>
      <c r="E223">
        <v>3.22</v>
      </c>
      <c r="F223">
        <v>3.09</v>
      </c>
      <c r="G223">
        <v>1.1399999999999999</v>
      </c>
      <c r="H223">
        <v>0</v>
      </c>
      <c r="I223">
        <v>6.3</v>
      </c>
      <c r="J223">
        <v>2.69</v>
      </c>
      <c r="K223">
        <v>3.84</v>
      </c>
      <c r="L223" t="s">
        <v>1</v>
      </c>
      <c r="M223" t="s">
        <v>70</v>
      </c>
    </row>
    <row r="224" spans="1:13" x14ac:dyDescent="0.45">
      <c r="A224" t="s">
        <v>0</v>
      </c>
      <c r="B224" t="s">
        <v>75</v>
      </c>
      <c r="C224">
        <v>2035</v>
      </c>
      <c r="D224">
        <v>44</v>
      </c>
      <c r="E224">
        <v>3.85</v>
      </c>
      <c r="F224">
        <v>3.62</v>
      </c>
      <c r="G224">
        <v>1.55</v>
      </c>
      <c r="H224">
        <v>0</v>
      </c>
      <c r="I224">
        <v>8.33</v>
      </c>
      <c r="J224">
        <v>2.76</v>
      </c>
      <c r="K224">
        <v>4.75</v>
      </c>
      <c r="L224" t="s">
        <v>1</v>
      </c>
      <c r="M224" t="s">
        <v>70</v>
      </c>
    </row>
    <row r="225" spans="1:13" x14ac:dyDescent="0.45">
      <c r="A225" t="s">
        <v>0</v>
      </c>
      <c r="B225" t="s">
        <v>75</v>
      </c>
      <c r="C225">
        <v>2040</v>
      </c>
      <c r="D225">
        <v>44</v>
      </c>
      <c r="E225">
        <v>4.68</v>
      </c>
      <c r="F225">
        <v>4.42</v>
      </c>
      <c r="G225">
        <v>1.88</v>
      </c>
      <c r="H225">
        <v>0</v>
      </c>
      <c r="I225">
        <v>9.23</v>
      </c>
      <c r="J225">
        <v>3.25</v>
      </c>
      <c r="K225">
        <v>6.38</v>
      </c>
      <c r="L225" t="s">
        <v>1</v>
      </c>
      <c r="M225" t="s">
        <v>70</v>
      </c>
    </row>
    <row r="226" spans="1:13" x14ac:dyDescent="0.45">
      <c r="A226" t="s">
        <v>0</v>
      </c>
      <c r="B226" t="s">
        <v>75</v>
      </c>
      <c r="C226">
        <v>2045</v>
      </c>
      <c r="D226">
        <v>44</v>
      </c>
      <c r="E226">
        <v>5.14</v>
      </c>
      <c r="F226">
        <v>4.68</v>
      </c>
      <c r="G226">
        <v>2.0499999999999998</v>
      </c>
      <c r="H226">
        <v>0</v>
      </c>
      <c r="I226">
        <v>9.2799999999999994</v>
      </c>
      <c r="J226">
        <v>3.67</v>
      </c>
      <c r="K226">
        <v>6.07</v>
      </c>
      <c r="L226" t="s">
        <v>1</v>
      </c>
      <c r="M226" t="s">
        <v>70</v>
      </c>
    </row>
    <row r="227" spans="1:13" x14ac:dyDescent="0.45">
      <c r="A227" t="s">
        <v>0</v>
      </c>
      <c r="B227" t="s">
        <v>75</v>
      </c>
      <c r="C227">
        <v>2050</v>
      </c>
      <c r="D227">
        <v>44</v>
      </c>
      <c r="E227">
        <v>5.16</v>
      </c>
      <c r="F227">
        <v>4.4800000000000004</v>
      </c>
      <c r="G227">
        <v>2.34</v>
      </c>
      <c r="H227">
        <v>0</v>
      </c>
      <c r="I227">
        <v>9.9499999999999993</v>
      </c>
      <c r="J227">
        <v>3.95</v>
      </c>
      <c r="K227">
        <v>5.19</v>
      </c>
      <c r="L227" t="s">
        <v>1</v>
      </c>
      <c r="M227" t="s">
        <v>70</v>
      </c>
    </row>
    <row r="228" spans="1:13" x14ac:dyDescent="0.45">
      <c r="A228" t="s">
        <v>2</v>
      </c>
      <c r="B228" t="s">
        <v>75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75</v>
      </c>
      <c r="C229">
        <v>2025</v>
      </c>
      <c r="D229">
        <v>44</v>
      </c>
      <c r="E229">
        <v>1.32</v>
      </c>
      <c r="F229">
        <v>1.32</v>
      </c>
      <c r="G229">
        <v>0.47</v>
      </c>
      <c r="H229">
        <v>0</v>
      </c>
      <c r="I229">
        <v>2.95</v>
      </c>
      <c r="J229">
        <v>1.1100000000000001</v>
      </c>
      <c r="K229">
        <v>1.51</v>
      </c>
      <c r="L229" t="s">
        <v>3</v>
      </c>
      <c r="M229" t="s">
        <v>70</v>
      </c>
    </row>
    <row r="230" spans="1:13" x14ac:dyDescent="0.45">
      <c r="A230" t="s">
        <v>2</v>
      </c>
      <c r="B230" t="s">
        <v>75</v>
      </c>
      <c r="C230">
        <v>2030</v>
      </c>
      <c r="D230">
        <v>44</v>
      </c>
      <c r="E230">
        <v>1.53</v>
      </c>
      <c r="F230">
        <v>1.23</v>
      </c>
      <c r="G230">
        <v>0.71</v>
      </c>
      <c r="H230">
        <v>0</v>
      </c>
      <c r="I230">
        <v>3.93</v>
      </c>
      <c r="J230">
        <v>1.18</v>
      </c>
      <c r="K230">
        <v>1.75</v>
      </c>
      <c r="L230" t="s">
        <v>3</v>
      </c>
      <c r="M230" t="s">
        <v>70</v>
      </c>
    </row>
    <row r="231" spans="1:13" x14ac:dyDescent="0.45">
      <c r="A231" t="s">
        <v>2</v>
      </c>
      <c r="B231" t="s">
        <v>75</v>
      </c>
      <c r="C231">
        <v>2035</v>
      </c>
      <c r="D231">
        <v>44</v>
      </c>
      <c r="E231">
        <v>2.91</v>
      </c>
      <c r="F231">
        <v>2.33</v>
      </c>
      <c r="G231">
        <v>2.71</v>
      </c>
      <c r="H231">
        <v>1.05</v>
      </c>
      <c r="I231">
        <v>15.1</v>
      </c>
      <c r="J231">
        <v>1.9</v>
      </c>
      <c r="K231">
        <v>2.62</v>
      </c>
      <c r="L231" t="s">
        <v>3</v>
      </c>
      <c r="M231" t="s">
        <v>70</v>
      </c>
    </row>
    <row r="232" spans="1:13" x14ac:dyDescent="0.45">
      <c r="A232" t="s">
        <v>2</v>
      </c>
      <c r="B232" t="s">
        <v>75</v>
      </c>
      <c r="C232">
        <v>2040</v>
      </c>
      <c r="D232">
        <v>44</v>
      </c>
      <c r="E232">
        <v>3.61</v>
      </c>
      <c r="F232">
        <v>2.75</v>
      </c>
      <c r="G232">
        <v>3.58</v>
      </c>
      <c r="H232">
        <v>1.04</v>
      </c>
      <c r="I232">
        <v>19.920000000000002</v>
      </c>
      <c r="J232">
        <v>2.0099999999999998</v>
      </c>
      <c r="K232">
        <v>3.31</v>
      </c>
      <c r="L232" t="s">
        <v>3</v>
      </c>
      <c r="M232" t="s">
        <v>70</v>
      </c>
    </row>
    <row r="233" spans="1:13" x14ac:dyDescent="0.45">
      <c r="A233" t="s">
        <v>2</v>
      </c>
      <c r="B233" t="s">
        <v>75</v>
      </c>
      <c r="C233">
        <v>2045</v>
      </c>
      <c r="D233">
        <v>44</v>
      </c>
      <c r="E233">
        <v>3.42</v>
      </c>
      <c r="F233">
        <v>3.2</v>
      </c>
      <c r="G233">
        <v>1.44</v>
      </c>
      <c r="H233">
        <v>1.1000000000000001</v>
      </c>
      <c r="I233">
        <v>8.15</v>
      </c>
      <c r="J233">
        <v>2.2999999999999998</v>
      </c>
      <c r="K233">
        <v>4.1500000000000004</v>
      </c>
      <c r="L233" t="s">
        <v>3</v>
      </c>
      <c r="M233" t="s">
        <v>70</v>
      </c>
    </row>
    <row r="234" spans="1:13" x14ac:dyDescent="0.45">
      <c r="A234" t="s">
        <v>2</v>
      </c>
      <c r="B234" t="s">
        <v>75</v>
      </c>
      <c r="C234">
        <v>2050</v>
      </c>
      <c r="D234">
        <v>44</v>
      </c>
      <c r="E234">
        <v>3.45</v>
      </c>
      <c r="F234">
        <v>3.42</v>
      </c>
      <c r="G234">
        <v>1.19</v>
      </c>
      <c r="H234">
        <v>1.2</v>
      </c>
      <c r="I234">
        <v>7</v>
      </c>
      <c r="J234">
        <v>2.57</v>
      </c>
      <c r="K234">
        <v>4.04</v>
      </c>
      <c r="L234" t="s">
        <v>3</v>
      </c>
      <c r="M234" t="s">
        <v>70</v>
      </c>
    </row>
    <row r="235" spans="1:13" x14ac:dyDescent="0.45">
      <c r="A235" t="s">
        <v>5</v>
      </c>
      <c r="B235" t="s">
        <v>75</v>
      </c>
      <c r="C235">
        <v>2020</v>
      </c>
      <c r="D235">
        <v>107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75</v>
      </c>
      <c r="C236">
        <v>2025</v>
      </c>
      <c r="D236">
        <v>107</v>
      </c>
      <c r="E236">
        <v>1.61</v>
      </c>
      <c r="F236">
        <v>1.52</v>
      </c>
      <c r="G236">
        <v>0.61</v>
      </c>
      <c r="H236">
        <v>0</v>
      </c>
      <c r="I236">
        <v>4.47</v>
      </c>
      <c r="J236">
        <v>1.19</v>
      </c>
      <c r="K236">
        <v>1.88</v>
      </c>
      <c r="L236" t="s">
        <v>6</v>
      </c>
      <c r="M236" t="s">
        <v>70</v>
      </c>
    </row>
    <row r="237" spans="1:13" x14ac:dyDescent="0.45">
      <c r="A237" t="s">
        <v>5</v>
      </c>
      <c r="B237" t="s">
        <v>75</v>
      </c>
      <c r="C237">
        <v>2030</v>
      </c>
      <c r="D237">
        <v>107</v>
      </c>
      <c r="E237">
        <v>1.88</v>
      </c>
      <c r="F237">
        <v>1.71</v>
      </c>
      <c r="G237">
        <v>0.71</v>
      </c>
      <c r="H237">
        <v>0</v>
      </c>
      <c r="I237">
        <v>4.1500000000000004</v>
      </c>
      <c r="J237">
        <v>1.41</v>
      </c>
      <c r="K237">
        <v>2.38</v>
      </c>
      <c r="L237" t="s">
        <v>6</v>
      </c>
      <c r="M237" t="s">
        <v>70</v>
      </c>
    </row>
    <row r="238" spans="1:13" x14ac:dyDescent="0.45">
      <c r="A238" t="s">
        <v>5</v>
      </c>
      <c r="B238" t="s">
        <v>75</v>
      </c>
      <c r="C238">
        <v>2035</v>
      </c>
      <c r="D238">
        <v>107</v>
      </c>
      <c r="E238">
        <v>2.31</v>
      </c>
      <c r="F238">
        <v>2.17</v>
      </c>
      <c r="G238">
        <v>0.64</v>
      </c>
      <c r="H238">
        <v>0</v>
      </c>
      <c r="I238">
        <v>4.22</v>
      </c>
      <c r="J238">
        <v>1.85</v>
      </c>
      <c r="K238">
        <v>2.67</v>
      </c>
      <c r="L238" t="s">
        <v>6</v>
      </c>
      <c r="M238" t="s">
        <v>70</v>
      </c>
    </row>
    <row r="239" spans="1:13" x14ac:dyDescent="0.45">
      <c r="A239" t="s">
        <v>5</v>
      </c>
      <c r="B239" t="s">
        <v>75</v>
      </c>
      <c r="C239">
        <v>2040</v>
      </c>
      <c r="D239">
        <v>107</v>
      </c>
      <c r="E239">
        <v>2.66</v>
      </c>
      <c r="F239">
        <v>2.59</v>
      </c>
      <c r="G239">
        <v>0.89</v>
      </c>
      <c r="H239">
        <v>0</v>
      </c>
      <c r="I239">
        <v>5.0199999999999996</v>
      </c>
      <c r="J239">
        <v>2.0299999999999998</v>
      </c>
      <c r="K239">
        <v>3.06</v>
      </c>
      <c r="L239" t="s">
        <v>6</v>
      </c>
      <c r="M239" t="s">
        <v>70</v>
      </c>
    </row>
    <row r="240" spans="1:13" x14ac:dyDescent="0.45">
      <c r="A240" t="s">
        <v>5</v>
      </c>
      <c r="B240" t="s">
        <v>75</v>
      </c>
      <c r="C240">
        <v>2045</v>
      </c>
      <c r="D240">
        <v>107</v>
      </c>
      <c r="E240">
        <v>3</v>
      </c>
      <c r="F240">
        <v>2.93</v>
      </c>
      <c r="G240">
        <v>1.04</v>
      </c>
      <c r="H240">
        <v>0</v>
      </c>
      <c r="I240">
        <v>5.63</v>
      </c>
      <c r="J240">
        <v>2.23</v>
      </c>
      <c r="K240">
        <v>3.45</v>
      </c>
      <c r="L240" t="s">
        <v>6</v>
      </c>
      <c r="M240" t="s">
        <v>70</v>
      </c>
    </row>
    <row r="241" spans="1:13" x14ac:dyDescent="0.45">
      <c r="A241" t="s">
        <v>5</v>
      </c>
      <c r="B241" t="s">
        <v>75</v>
      </c>
      <c r="C241">
        <v>2050</v>
      </c>
      <c r="D241">
        <v>107</v>
      </c>
      <c r="E241">
        <v>3.21</v>
      </c>
      <c r="F241">
        <v>3.21</v>
      </c>
      <c r="G241">
        <v>1.21</v>
      </c>
      <c r="H241">
        <v>0</v>
      </c>
      <c r="I241">
        <v>6.67</v>
      </c>
      <c r="J241">
        <v>2.33</v>
      </c>
      <c r="K241">
        <v>3.69</v>
      </c>
      <c r="L241" t="s">
        <v>6</v>
      </c>
      <c r="M241" t="s">
        <v>70</v>
      </c>
    </row>
    <row r="242" spans="1:13" x14ac:dyDescent="0.45">
      <c r="A242" t="s">
        <v>7</v>
      </c>
      <c r="B242" t="s">
        <v>75</v>
      </c>
      <c r="C242">
        <v>2020</v>
      </c>
      <c r="D242">
        <v>29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75</v>
      </c>
      <c r="C243">
        <v>2025</v>
      </c>
      <c r="D243">
        <v>29</v>
      </c>
      <c r="E243">
        <v>1.33</v>
      </c>
      <c r="F243">
        <v>1.22</v>
      </c>
      <c r="G243">
        <v>0.26</v>
      </c>
      <c r="H243">
        <v>1.08</v>
      </c>
      <c r="I243">
        <v>1.99</v>
      </c>
      <c r="J243">
        <v>1.1599999999999999</v>
      </c>
      <c r="K243">
        <v>1.4</v>
      </c>
      <c r="L243" t="s">
        <v>8</v>
      </c>
      <c r="M243" t="s">
        <v>70</v>
      </c>
    </row>
    <row r="244" spans="1:13" x14ac:dyDescent="0.45">
      <c r="A244" t="s">
        <v>7</v>
      </c>
      <c r="B244" t="s">
        <v>75</v>
      </c>
      <c r="C244">
        <v>2030</v>
      </c>
      <c r="D244">
        <v>29</v>
      </c>
      <c r="E244">
        <v>1.54</v>
      </c>
      <c r="F244">
        <v>1.56</v>
      </c>
      <c r="G244">
        <v>0.24</v>
      </c>
      <c r="H244">
        <v>1.19</v>
      </c>
      <c r="I244">
        <v>2</v>
      </c>
      <c r="J244">
        <v>1.34</v>
      </c>
      <c r="K244">
        <v>1.68</v>
      </c>
      <c r="L244" t="s">
        <v>8</v>
      </c>
      <c r="M244" t="s">
        <v>70</v>
      </c>
    </row>
    <row r="245" spans="1:13" x14ac:dyDescent="0.45">
      <c r="A245" t="s">
        <v>7</v>
      </c>
      <c r="B245" t="s">
        <v>75</v>
      </c>
      <c r="C245">
        <v>2035</v>
      </c>
      <c r="D245">
        <v>29</v>
      </c>
      <c r="E245">
        <v>1.8</v>
      </c>
      <c r="F245">
        <v>1.74</v>
      </c>
      <c r="G245">
        <v>0.25</v>
      </c>
      <c r="H245">
        <v>1.44</v>
      </c>
      <c r="I245">
        <v>2.39</v>
      </c>
      <c r="J245">
        <v>1.62</v>
      </c>
      <c r="K245">
        <v>1.9</v>
      </c>
      <c r="L245" t="s">
        <v>8</v>
      </c>
      <c r="M245" t="s">
        <v>70</v>
      </c>
    </row>
    <row r="246" spans="1:13" x14ac:dyDescent="0.45">
      <c r="A246" t="s">
        <v>7</v>
      </c>
      <c r="B246" t="s">
        <v>75</v>
      </c>
      <c r="C246">
        <v>2040</v>
      </c>
      <c r="D246">
        <v>29</v>
      </c>
      <c r="E246">
        <v>2.08</v>
      </c>
      <c r="F246">
        <v>2.0699999999999998</v>
      </c>
      <c r="G246">
        <v>0.43</v>
      </c>
      <c r="H246">
        <v>1.5</v>
      </c>
      <c r="I246">
        <v>3.52</v>
      </c>
      <c r="J246">
        <v>1.72</v>
      </c>
      <c r="K246">
        <v>2.2799999999999998</v>
      </c>
      <c r="L246" t="s">
        <v>8</v>
      </c>
      <c r="M246" t="s">
        <v>70</v>
      </c>
    </row>
    <row r="247" spans="1:13" x14ac:dyDescent="0.45">
      <c r="A247" t="s">
        <v>7</v>
      </c>
      <c r="B247" t="s">
        <v>75</v>
      </c>
      <c r="C247">
        <v>2045</v>
      </c>
      <c r="D247">
        <v>29</v>
      </c>
      <c r="E247">
        <v>2.33</v>
      </c>
      <c r="F247">
        <v>2.27</v>
      </c>
      <c r="G247">
        <v>0.5</v>
      </c>
      <c r="H247">
        <v>1.72</v>
      </c>
      <c r="I247">
        <v>4.0599999999999996</v>
      </c>
      <c r="J247">
        <v>1.91</v>
      </c>
      <c r="K247">
        <v>2.56</v>
      </c>
      <c r="L247" t="s">
        <v>8</v>
      </c>
      <c r="M247" t="s">
        <v>70</v>
      </c>
    </row>
    <row r="248" spans="1:13" x14ac:dyDescent="0.45">
      <c r="A248" t="s">
        <v>7</v>
      </c>
      <c r="B248" t="s">
        <v>75</v>
      </c>
      <c r="C248">
        <v>2050</v>
      </c>
      <c r="D248">
        <v>29</v>
      </c>
      <c r="E248">
        <v>2.4</v>
      </c>
      <c r="F248">
        <v>2.41</v>
      </c>
      <c r="G248">
        <v>0.48</v>
      </c>
      <c r="H248">
        <v>1.67</v>
      </c>
      <c r="I248">
        <v>3.43</v>
      </c>
      <c r="J248">
        <v>1.97</v>
      </c>
      <c r="K248">
        <v>2.69</v>
      </c>
      <c r="L248" t="s">
        <v>8</v>
      </c>
      <c r="M248" t="s">
        <v>70</v>
      </c>
    </row>
    <row r="249" spans="1:13" x14ac:dyDescent="0.45">
      <c r="A249" t="s">
        <v>9</v>
      </c>
      <c r="B249" t="s">
        <v>75</v>
      </c>
      <c r="C249">
        <v>2020</v>
      </c>
      <c r="D249">
        <v>43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75</v>
      </c>
      <c r="C250">
        <v>2025</v>
      </c>
      <c r="D250">
        <v>43</v>
      </c>
      <c r="E250">
        <v>1.08</v>
      </c>
      <c r="F250">
        <v>1.03</v>
      </c>
      <c r="G250">
        <v>0.17</v>
      </c>
      <c r="H250">
        <v>0.94</v>
      </c>
      <c r="I250">
        <v>1.99</v>
      </c>
      <c r="J250">
        <v>1.02</v>
      </c>
      <c r="K250">
        <v>1.08</v>
      </c>
      <c r="L250" t="s">
        <v>10</v>
      </c>
      <c r="M250" t="s">
        <v>70</v>
      </c>
    </row>
    <row r="251" spans="1:13" x14ac:dyDescent="0.45">
      <c r="A251" t="s">
        <v>9</v>
      </c>
      <c r="B251" t="s">
        <v>75</v>
      </c>
      <c r="C251">
        <v>2030</v>
      </c>
      <c r="D251">
        <v>43</v>
      </c>
      <c r="E251">
        <v>1.1399999999999999</v>
      </c>
      <c r="F251">
        <v>1.1299999999999999</v>
      </c>
      <c r="G251">
        <v>0.17</v>
      </c>
      <c r="H251">
        <v>0.99</v>
      </c>
      <c r="I251">
        <v>2</v>
      </c>
      <c r="J251">
        <v>1.04</v>
      </c>
      <c r="K251">
        <v>1.1599999999999999</v>
      </c>
      <c r="L251" t="s">
        <v>10</v>
      </c>
      <c r="M251" t="s">
        <v>70</v>
      </c>
    </row>
    <row r="252" spans="1:13" x14ac:dyDescent="0.45">
      <c r="A252" t="s">
        <v>9</v>
      </c>
      <c r="B252" t="s">
        <v>75</v>
      </c>
      <c r="C252">
        <v>2035</v>
      </c>
      <c r="D252">
        <v>43</v>
      </c>
      <c r="E252">
        <v>1.17</v>
      </c>
      <c r="F252">
        <v>1.1599999999999999</v>
      </c>
      <c r="G252">
        <v>0.17</v>
      </c>
      <c r="H252">
        <v>0.98</v>
      </c>
      <c r="I252">
        <v>1.95</v>
      </c>
      <c r="J252">
        <v>1.08</v>
      </c>
      <c r="K252">
        <v>1.18</v>
      </c>
      <c r="L252" t="s">
        <v>10</v>
      </c>
      <c r="M252" t="s">
        <v>70</v>
      </c>
    </row>
    <row r="253" spans="1:13" x14ac:dyDescent="0.45">
      <c r="A253" t="s">
        <v>9</v>
      </c>
      <c r="B253" t="s">
        <v>75</v>
      </c>
      <c r="C253">
        <v>2040</v>
      </c>
      <c r="D253">
        <v>43</v>
      </c>
      <c r="E253">
        <v>1.21</v>
      </c>
      <c r="F253">
        <v>1.19</v>
      </c>
      <c r="G253">
        <v>0.18</v>
      </c>
      <c r="H253">
        <v>0.98</v>
      </c>
      <c r="I253">
        <v>1.97</v>
      </c>
      <c r="J253">
        <v>1.1000000000000001</v>
      </c>
      <c r="K253">
        <v>1.21</v>
      </c>
      <c r="L253" t="s">
        <v>10</v>
      </c>
      <c r="M253" t="s">
        <v>70</v>
      </c>
    </row>
    <row r="254" spans="1:13" x14ac:dyDescent="0.45">
      <c r="A254" t="s">
        <v>9</v>
      </c>
      <c r="B254" t="s">
        <v>75</v>
      </c>
      <c r="C254">
        <v>2045</v>
      </c>
      <c r="D254">
        <v>43</v>
      </c>
      <c r="E254">
        <v>1.27</v>
      </c>
      <c r="F254">
        <v>1.27</v>
      </c>
      <c r="G254">
        <v>0.2</v>
      </c>
      <c r="H254">
        <v>0.98</v>
      </c>
      <c r="I254">
        <v>2.0499999999999998</v>
      </c>
      <c r="J254">
        <v>1.1200000000000001</v>
      </c>
      <c r="K254">
        <v>1.32</v>
      </c>
      <c r="L254" t="s">
        <v>10</v>
      </c>
      <c r="M254" t="s">
        <v>70</v>
      </c>
    </row>
    <row r="255" spans="1:13" x14ac:dyDescent="0.45">
      <c r="A255" t="s">
        <v>9</v>
      </c>
      <c r="B255" t="s">
        <v>75</v>
      </c>
      <c r="C255">
        <v>2050</v>
      </c>
      <c r="D255">
        <v>43</v>
      </c>
      <c r="E255">
        <v>1.32</v>
      </c>
      <c r="F255">
        <v>1.31</v>
      </c>
      <c r="G255">
        <v>0.21</v>
      </c>
      <c r="H255">
        <v>0.98</v>
      </c>
      <c r="I255">
        <v>2.12</v>
      </c>
      <c r="J255">
        <v>1.2</v>
      </c>
      <c r="K255">
        <v>1.38</v>
      </c>
      <c r="L255" t="s">
        <v>10</v>
      </c>
      <c r="M255" t="s">
        <v>70</v>
      </c>
    </row>
    <row r="256" spans="1:13" x14ac:dyDescent="0.45">
      <c r="A256" t="s">
        <v>0</v>
      </c>
      <c r="B256" t="s">
        <v>75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75</v>
      </c>
      <c r="C257">
        <v>2025</v>
      </c>
      <c r="D257">
        <v>50</v>
      </c>
      <c r="E257">
        <v>1.64</v>
      </c>
      <c r="F257">
        <v>1.39</v>
      </c>
      <c r="G257">
        <v>0.84</v>
      </c>
      <c r="H257">
        <v>0</v>
      </c>
      <c r="I257">
        <v>4.01</v>
      </c>
      <c r="J257">
        <v>1.05</v>
      </c>
      <c r="K257">
        <v>2.0699999999999998</v>
      </c>
      <c r="L257" t="s">
        <v>1</v>
      </c>
      <c r="M257" t="s">
        <v>71</v>
      </c>
    </row>
    <row r="258" spans="1:13" x14ac:dyDescent="0.45">
      <c r="A258" t="s">
        <v>0</v>
      </c>
      <c r="B258" t="s">
        <v>75</v>
      </c>
      <c r="C258">
        <v>2030</v>
      </c>
      <c r="D258">
        <v>50</v>
      </c>
      <c r="E258">
        <v>2.2400000000000002</v>
      </c>
      <c r="F258">
        <v>2.12</v>
      </c>
      <c r="G258">
        <v>1.2</v>
      </c>
      <c r="H258">
        <v>0</v>
      </c>
      <c r="I258">
        <v>6.24</v>
      </c>
      <c r="J258">
        <v>1.48</v>
      </c>
      <c r="K258">
        <v>3.09</v>
      </c>
      <c r="L258" t="s">
        <v>1</v>
      </c>
      <c r="M258" t="s">
        <v>71</v>
      </c>
    </row>
    <row r="259" spans="1:13" x14ac:dyDescent="0.45">
      <c r="A259" t="s">
        <v>0</v>
      </c>
      <c r="B259" t="s">
        <v>75</v>
      </c>
      <c r="C259">
        <v>2035</v>
      </c>
      <c r="D259">
        <v>50</v>
      </c>
      <c r="E259">
        <v>2.62</v>
      </c>
      <c r="F259">
        <v>2.21</v>
      </c>
      <c r="G259">
        <v>1.6</v>
      </c>
      <c r="H259">
        <v>-0.96</v>
      </c>
      <c r="I259">
        <v>6.14</v>
      </c>
      <c r="J259">
        <v>1.55</v>
      </c>
      <c r="K259">
        <v>3.64</v>
      </c>
      <c r="L259" t="s">
        <v>1</v>
      </c>
      <c r="M259" t="s">
        <v>71</v>
      </c>
    </row>
    <row r="260" spans="1:13" x14ac:dyDescent="0.45">
      <c r="A260" t="s">
        <v>0</v>
      </c>
      <c r="B260" t="s">
        <v>75</v>
      </c>
      <c r="C260">
        <v>2040</v>
      </c>
      <c r="D260">
        <v>50</v>
      </c>
      <c r="E260">
        <v>3.24</v>
      </c>
      <c r="F260">
        <v>2.61</v>
      </c>
      <c r="G260">
        <v>2.06</v>
      </c>
      <c r="H260">
        <v>-0.09</v>
      </c>
      <c r="I260">
        <v>7.09</v>
      </c>
      <c r="J260">
        <v>1.81</v>
      </c>
      <c r="K260">
        <v>4.49</v>
      </c>
      <c r="L260" t="s">
        <v>1</v>
      </c>
      <c r="M260" t="s">
        <v>71</v>
      </c>
    </row>
    <row r="261" spans="1:13" x14ac:dyDescent="0.45">
      <c r="A261" t="s">
        <v>0</v>
      </c>
      <c r="B261" t="s">
        <v>75</v>
      </c>
      <c r="C261">
        <v>2045</v>
      </c>
      <c r="D261">
        <v>50</v>
      </c>
      <c r="E261">
        <v>3.47</v>
      </c>
      <c r="F261">
        <v>2.95</v>
      </c>
      <c r="G261">
        <v>2.66</v>
      </c>
      <c r="H261">
        <v>-0.32</v>
      </c>
      <c r="I261">
        <v>8.61</v>
      </c>
      <c r="J261">
        <v>1.81</v>
      </c>
      <c r="K261">
        <v>4.59</v>
      </c>
      <c r="L261" t="s">
        <v>1</v>
      </c>
      <c r="M261" t="s">
        <v>71</v>
      </c>
    </row>
    <row r="262" spans="1:13" x14ac:dyDescent="0.45">
      <c r="A262" t="s">
        <v>0</v>
      </c>
      <c r="B262" t="s">
        <v>75</v>
      </c>
      <c r="C262">
        <v>2050</v>
      </c>
      <c r="D262">
        <v>50</v>
      </c>
      <c r="E262">
        <v>3.57</v>
      </c>
      <c r="F262">
        <v>2.72</v>
      </c>
      <c r="G262">
        <v>3.08</v>
      </c>
      <c r="H262">
        <v>-0.44</v>
      </c>
      <c r="I262">
        <v>9.4700000000000006</v>
      </c>
      <c r="J262">
        <v>2.0299999999999998</v>
      </c>
      <c r="K262">
        <v>4.43</v>
      </c>
      <c r="L262" t="s">
        <v>1</v>
      </c>
      <c r="M262" t="s">
        <v>71</v>
      </c>
    </row>
    <row r="263" spans="1:13" x14ac:dyDescent="0.45">
      <c r="A263" t="s">
        <v>2</v>
      </c>
      <c r="B263" t="s">
        <v>75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75</v>
      </c>
      <c r="C264">
        <v>2025</v>
      </c>
      <c r="D264">
        <v>52</v>
      </c>
      <c r="E264">
        <v>1.1000000000000001</v>
      </c>
      <c r="F264">
        <v>1.1499999999999999</v>
      </c>
      <c r="G264">
        <v>0.38</v>
      </c>
      <c r="H264">
        <v>0.56000000000000005</v>
      </c>
      <c r="I264">
        <v>3.02</v>
      </c>
      <c r="J264">
        <v>0.94</v>
      </c>
      <c r="K264">
        <v>1.27</v>
      </c>
      <c r="L264" t="s">
        <v>3</v>
      </c>
      <c r="M264" t="s">
        <v>71</v>
      </c>
    </row>
    <row r="265" spans="1:13" x14ac:dyDescent="0.45">
      <c r="A265" t="s">
        <v>2</v>
      </c>
      <c r="B265" t="s">
        <v>75</v>
      </c>
      <c r="C265">
        <v>2030</v>
      </c>
      <c r="D265">
        <v>63</v>
      </c>
      <c r="E265">
        <v>1.72</v>
      </c>
      <c r="F265">
        <v>1.24</v>
      </c>
      <c r="G265">
        <v>1.42</v>
      </c>
      <c r="H265">
        <v>0.81</v>
      </c>
      <c r="I265">
        <v>7.6</v>
      </c>
      <c r="J265">
        <v>1.0900000000000001</v>
      </c>
      <c r="K265">
        <v>1.52</v>
      </c>
      <c r="L265" t="s">
        <v>3</v>
      </c>
      <c r="M265" t="s">
        <v>71</v>
      </c>
    </row>
    <row r="266" spans="1:13" x14ac:dyDescent="0.45">
      <c r="A266" t="s">
        <v>2</v>
      </c>
      <c r="B266" t="s">
        <v>75</v>
      </c>
      <c r="C266">
        <v>2035</v>
      </c>
      <c r="D266">
        <v>52</v>
      </c>
      <c r="E266">
        <v>2.0699999999999998</v>
      </c>
      <c r="F266">
        <v>1.46</v>
      </c>
      <c r="G266">
        <v>1.61</v>
      </c>
      <c r="H266">
        <v>0.77</v>
      </c>
      <c r="I266">
        <v>9.02</v>
      </c>
      <c r="J266">
        <v>1.27</v>
      </c>
      <c r="K266">
        <v>2</v>
      </c>
      <c r="L266" t="s">
        <v>3</v>
      </c>
      <c r="M266" t="s">
        <v>71</v>
      </c>
    </row>
    <row r="267" spans="1:13" x14ac:dyDescent="0.45">
      <c r="A267" t="s">
        <v>2</v>
      </c>
      <c r="B267" t="s">
        <v>75</v>
      </c>
      <c r="C267">
        <v>2040</v>
      </c>
      <c r="D267">
        <v>63</v>
      </c>
      <c r="E267">
        <v>2.9</v>
      </c>
      <c r="F267">
        <v>1.77</v>
      </c>
      <c r="G267">
        <v>2.8</v>
      </c>
      <c r="H267">
        <v>-0.12</v>
      </c>
      <c r="I267">
        <v>12.26</v>
      </c>
      <c r="J267">
        <v>1.52</v>
      </c>
      <c r="K267">
        <v>2.69</v>
      </c>
      <c r="L267" t="s">
        <v>3</v>
      </c>
      <c r="M267" t="s">
        <v>71</v>
      </c>
    </row>
    <row r="268" spans="1:13" x14ac:dyDescent="0.45">
      <c r="A268" t="s">
        <v>2</v>
      </c>
      <c r="B268" t="s">
        <v>75</v>
      </c>
      <c r="C268">
        <v>2045</v>
      </c>
      <c r="D268">
        <v>52</v>
      </c>
      <c r="E268">
        <v>2.23</v>
      </c>
      <c r="F268">
        <v>1.96</v>
      </c>
      <c r="G268">
        <v>1.38</v>
      </c>
      <c r="H268">
        <v>0.13</v>
      </c>
      <c r="I268">
        <v>8.1</v>
      </c>
      <c r="J268">
        <v>1.55</v>
      </c>
      <c r="K268">
        <v>2.39</v>
      </c>
      <c r="L268" t="s">
        <v>3</v>
      </c>
      <c r="M268" t="s">
        <v>71</v>
      </c>
    </row>
    <row r="269" spans="1:13" x14ac:dyDescent="0.45">
      <c r="A269" t="s">
        <v>2</v>
      </c>
      <c r="B269" t="s">
        <v>75</v>
      </c>
      <c r="C269">
        <v>2050</v>
      </c>
      <c r="D269">
        <v>63</v>
      </c>
      <c r="E269">
        <v>2.74</v>
      </c>
      <c r="F269">
        <v>1.88</v>
      </c>
      <c r="G269">
        <v>3.53</v>
      </c>
      <c r="H269">
        <v>-0.93</v>
      </c>
      <c r="I269">
        <v>17.54</v>
      </c>
      <c r="J269">
        <v>1.24</v>
      </c>
      <c r="K269">
        <v>2.34</v>
      </c>
      <c r="L269" t="s">
        <v>3</v>
      </c>
      <c r="M269" t="s">
        <v>71</v>
      </c>
    </row>
    <row r="270" spans="1:13" x14ac:dyDescent="0.45">
      <c r="A270" t="s">
        <v>5</v>
      </c>
      <c r="B270" t="s">
        <v>75</v>
      </c>
      <c r="C270">
        <v>2020</v>
      </c>
      <c r="D270">
        <v>160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75</v>
      </c>
      <c r="C271">
        <v>2025</v>
      </c>
      <c r="D271">
        <v>157</v>
      </c>
      <c r="E271">
        <v>1.1599999999999999</v>
      </c>
      <c r="F271">
        <v>1.19</v>
      </c>
      <c r="G271">
        <v>0.48</v>
      </c>
      <c r="H271">
        <v>0.56000000000000005</v>
      </c>
      <c r="I271">
        <v>3.55</v>
      </c>
      <c r="J271">
        <v>0.85</v>
      </c>
      <c r="K271">
        <v>1.27</v>
      </c>
      <c r="L271" t="s">
        <v>6</v>
      </c>
      <c r="M271" t="s">
        <v>71</v>
      </c>
    </row>
    <row r="272" spans="1:13" x14ac:dyDescent="0.45">
      <c r="A272" t="s">
        <v>5</v>
      </c>
      <c r="B272" t="s">
        <v>75</v>
      </c>
      <c r="C272">
        <v>2030</v>
      </c>
      <c r="D272">
        <v>160</v>
      </c>
      <c r="E272">
        <v>1.46</v>
      </c>
      <c r="F272">
        <v>1.35</v>
      </c>
      <c r="G272">
        <v>0.53</v>
      </c>
      <c r="H272">
        <v>0.91</v>
      </c>
      <c r="I272">
        <v>4.55</v>
      </c>
      <c r="J272">
        <v>1.1299999999999999</v>
      </c>
      <c r="K272">
        <v>1.63</v>
      </c>
      <c r="L272" t="s">
        <v>6</v>
      </c>
      <c r="M272" t="s">
        <v>71</v>
      </c>
    </row>
    <row r="273" spans="1:13" x14ac:dyDescent="0.45">
      <c r="A273" t="s">
        <v>5</v>
      </c>
      <c r="B273" t="s">
        <v>75</v>
      </c>
      <c r="C273">
        <v>2035</v>
      </c>
      <c r="D273">
        <v>157</v>
      </c>
      <c r="E273">
        <v>1.72</v>
      </c>
      <c r="F273">
        <v>1.51</v>
      </c>
      <c r="G273">
        <v>0.74</v>
      </c>
      <c r="H273">
        <v>0</v>
      </c>
      <c r="I273">
        <v>5.08</v>
      </c>
      <c r="J273">
        <v>1.22</v>
      </c>
      <c r="K273">
        <v>2.02</v>
      </c>
      <c r="L273" t="s">
        <v>6</v>
      </c>
      <c r="M273" t="s">
        <v>71</v>
      </c>
    </row>
    <row r="274" spans="1:13" x14ac:dyDescent="0.45">
      <c r="A274" t="s">
        <v>5</v>
      </c>
      <c r="B274" t="s">
        <v>75</v>
      </c>
      <c r="C274">
        <v>2040</v>
      </c>
      <c r="D274">
        <v>160</v>
      </c>
      <c r="E274">
        <v>1.91</v>
      </c>
      <c r="F274">
        <v>1.58</v>
      </c>
      <c r="G274">
        <v>0.83</v>
      </c>
      <c r="H274">
        <v>0</v>
      </c>
      <c r="I274">
        <v>5.23</v>
      </c>
      <c r="J274">
        <v>1.36</v>
      </c>
      <c r="K274">
        <v>2.34</v>
      </c>
      <c r="L274" t="s">
        <v>6</v>
      </c>
      <c r="M274" t="s">
        <v>71</v>
      </c>
    </row>
    <row r="275" spans="1:13" x14ac:dyDescent="0.45">
      <c r="A275" t="s">
        <v>5</v>
      </c>
      <c r="B275" t="s">
        <v>75</v>
      </c>
      <c r="C275">
        <v>2045</v>
      </c>
      <c r="D275">
        <v>157</v>
      </c>
      <c r="E275">
        <v>2.1800000000000002</v>
      </c>
      <c r="F275">
        <v>1.8</v>
      </c>
      <c r="G275">
        <v>1.03</v>
      </c>
      <c r="H275">
        <v>-0.05</v>
      </c>
      <c r="I275">
        <v>6.64</v>
      </c>
      <c r="J275">
        <v>1.53</v>
      </c>
      <c r="K275">
        <v>2.7</v>
      </c>
      <c r="L275" t="s">
        <v>6</v>
      </c>
      <c r="M275" t="s">
        <v>71</v>
      </c>
    </row>
    <row r="276" spans="1:13" x14ac:dyDescent="0.45">
      <c r="A276" t="s">
        <v>5</v>
      </c>
      <c r="B276" t="s">
        <v>75</v>
      </c>
      <c r="C276">
        <v>2050</v>
      </c>
      <c r="D276">
        <v>160</v>
      </c>
      <c r="E276">
        <v>2.2599999999999998</v>
      </c>
      <c r="F276">
        <v>1.93</v>
      </c>
      <c r="G276">
        <v>1.2</v>
      </c>
      <c r="H276">
        <v>-0.36</v>
      </c>
      <c r="I276">
        <v>6.42</v>
      </c>
      <c r="J276">
        <v>1.56</v>
      </c>
      <c r="K276">
        <v>2.81</v>
      </c>
      <c r="L276" t="s">
        <v>6</v>
      </c>
      <c r="M276" t="s">
        <v>71</v>
      </c>
    </row>
    <row r="277" spans="1:13" x14ac:dyDescent="0.45">
      <c r="A277" t="s">
        <v>7</v>
      </c>
      <c r="B277" t="s">
        <v>75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75</v>
      </c>
      <c r="C278">
        <v>2025</v>
      </c>
      <c r="D278">
        <v>51</v>
      </c>
      <c r="E278">
        <v>1.26</v>
      </c>
      <c r="F278">
        <v>1.24</v>
      </c>
      <c r="G278">
        <v>0.12</v>
      </c>
      <c r="H278">
        <v>1.01</v>
      </c>
      <c r="I278">
        <v>1.61</v>
      </c>
      <c r="J278">
        <v>1.22</v>
      </c>
      <c r="K278">
        <v>1.27</v>
      </c>
      <c r="L278" t="s">
        <v>8</v>
      </c>
      <c r="M278" t="s">
        <v>71</v>
      </c>
    </row>
    <row r="279" spans="1:13" x14ac:dyDescent="0.45">
      <c r="A279" t="s">
        <v>7</v>
      </c>
      <c r="B279" t="s">
        <v>75</v>
      </c>
      <c r="C279">
        <v>2030</v>
      </c>
      <c r="D279">
        <v>51</v>
      </c>
      <c r="E279">
        <v>1.43</v>
      </c>
      <c r="F279">
        <v>1.44</v>
      </c>
      <c r="G279">
        <v>0.18</v>
      </c>
      <c r="H279">
        <v>1</v>
      </c>
      <c r="I279">
        <v>1.68</v>
      </c>
      <c r="J279">
        <v>1.26</v>
      </c>
      <c r="K279">
        <v>1.63</v>
      </c>
      <c r="L279" t="s">
        <v>8</v>
      </c>
      <c r="M279" t="s">
        <v>71</v>
      </c>
    </row>
    <row r="280" spans="1:13" x14ac:dyDescent="0.45">
      <c r="A280" t="s">
        <v>7</v>
      </c>
      <c r="B280" t="s">
        <v>75</v>
      </c>
      <c r="C280">
        <v>2035</v>
      </c>
      <c r="D280">
        <v>51</v>
      </c>
      <c r="E280">
        <v>1.49</v>
      </c>
      <c r="F280">
        <v>1.47</v>
      </c>
      <c r="G280">
        <v>0.18</v>
      </c>
      <c r="H280">
        <v>1.01</v>
      </c>
      <c r="I280">
        <v>1.89</v>
      </c>
      <c r="J280">
        <v>1.39</v>
      </c>
      <c r="K280">
        <v>1.6</v>
      </c>
      <c r="L280" t="s">
        <v>8</v>
      </c>
      <c r="M280" t="s">
        <v>71</v>
      </c>
    </row>
    <row r="281" spans="1:13" x14ac:dyDescent="0.45">
      <c r="A281" t="s">
        <v>7</v>
      </c>
      <c r="B281" t="s">
        <v>75</v>
      </c>
      <c r="C281">
        <v>2040</v>
      </c>
      <c r="D281">
        <v>51</v>
      </c>
      <c r="E281">
        <v>1.65</v>
      </c>
      <c r="F281">
        <v>1.55</v>
      </c>
      <c r="G281">
        <v>0.3</v>
      </c>
      <c r="H281">
        <v>1</v>
      </c>
      <c r="I281">
        <v>2.63</v>
      </c>
      <c r="J281">
        <v>1.47</v>
      </c>
      <c r="K281">
        <v>1.85</v>
      </c>
      <c r="L281" t="s">
        <v>8</v>
      </c>
      <c r="M281" t="s">
        <v>71</v>
      </c>
    </row>
    <row r="282" spans="1:13" x14ac:dyDescent="0.45">
      <c r="A282" t="s">
        <v>7</v>
      </c>
      <c r="B282" t="s">
        <v>75</v>
      </c>
      <c r="C282">
        <v>2045</v>
      </c>
      <c r="D282">
        <v>51</v>
      </c>
      <c r="E282">
        <v>1.86</v>
      </c>
      <c r="F282">
        <v>1.79</v>
      </c>
      <c r="G282">
        <v>0.35</v>
      </c>
      <c r="H282">
        <v>1.02</v>
      </c>
      <c r="I282">
        <v>2.96</v>
      </c>
      <c r="J282">
        <v>1.64</v>
      </c>
      <c r="K282">
        <v>2.0499999999999998</v>
      </c>
      <c r="L282" t="s">
        <v>8</v>
      </c>
      <c r="M282" t="s">
        <v>71</v>
      </c>
    </row>
    <row r="283" spans="1:13" x14ac:dyDescent="0.45">
      <c r="A283" t="s">
        <v>7</v>
      </c>
      <c r="B283" t="s">
        <v>75</v>
      </c>
      <c r="C283">
        <v>2050</v>
      </c>
      <c r="D283">
        <v>51</v>
      </c>
      <c r="E283">
        <v>1.94</v>
      </c>
      <c r="F283">
        <v>1.83</v>
      </c>
      <c r="G283">
        <v>0.44</v>
      </c>
      <c r="H283">
        <v>0.95</v>
      </c>
      <c r="I283">
        <v>3.26</v>
      </c>
      <c r="J283">
        <v>1.62</v>
      </c>
      <c r="K283">
        <v>2.25</v>
      </c>
      <c r="L283" t="s">
        <v>8</v>
      </c>
      <c r="M283" t="s">
        <v>71</v>
      </c>
    </row>
    <row r="284" spans="1:13" x14ac:dyDescent="0.45">
      <c r="A284" t="s">
        <v>9</v>
      </c>
      <c r="B284" t="s">
        <v>75</v>
      </c>
      <c r="C284">
        <v>2020</v>
      </c>
      <c r="D284">
        <v>39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75</v>
      </c>
      <c r="C285">
        <v>2025</v>
      </c>
      <c r="D285">
        <v>39</v>
      </c>
      <c r="E285">
        <v>0.95</v>
      </c>
      <c r="F285">
        <v>1.04</v>
      </c>
      <c r="G285">
        <v>0.42</v>
      </c>
      <c r="H285">
        <v>0</v>
      </c>
      <c r="I285">
        <v>2.3199999999999998</v>
      </c>
      <c r="J285">
        <v>0.61</v>
      </c>
      <c r="K285">
        <v>1.1200000000000001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75</v>
      </c>
      <c r="C286">
        <v>2030</v>
      </c>
      <c r="D286">
        <v>39</v>
      </c>
      <c r="E286">
        <v>1.1599999999999999</v>
      </c>
      <c r="F286">
        <v>1.05</v>
      </c>
      <c r="G286">
        <v>0.48</v>
      </c>
      <c r="H286">
        <v>0</v>
      </c>
      <c r="I286">
        <v>3.16</v>
      </c>
      <c r="J286">
        <v>0.94</v>
      </c>
      <c r="K286">
        <v>1.21</v>
      </c>
      <c r="L286" t="s">
        <v>10</v>
      </c>
      <c r="M286" t="s">
        <v>71</v>
      </c>
    </row>
    <row r="287" spans="1:13" x14ac:dyDescent="0.45">
      <c r="A287" t="s">
        <v>9</v>
      </c>
      <c r="B287" t="s">
        <v>75</v>
      </c>
      <c r="C287">
        <v>2035</v>
      </c>
      <c r="D287">
        <v>39</v>
      </c>
      <c r="E287">
        <v>1.0900000000000001</v>
      </c>
      <c r="F287">
        <v>1.04</v>
      </c>
      <c r="G287">
        <v>0.41</v>
      </c>
      <c r="H287">
        <v>0</v>
      </c>
      <c r="I287">
        <v>2.54</v>
      </c>
      <c r="J287">
        <v>0.84</v>
      </c>
      <c r="K287">
        <v>1.23</v>
      </c>
      <c r="L287" t="s">
        <v>10</v>
      </c>
      <c r="M287" t="s">
        <v>71</v>
      </c>
    </row>
    <row r="288" spans="1:13" x14ac:dyDescent="0.45">
      <c r="A288" t="s">
        <v>9</v>
      </c>
      <c r="B288" t="s">
        <v>75</v>
      </c>
      <c r="C288">
        <v>2040</v>
      </c>
      <c r="D288">
        <v>39</v>
      </c>
      <c r="E288">
        <v>1.19</v>
      </c>
      <c r="F288">
        <v>1.04</v>
      </c>
      <c r="G288">
        <v>0.46</v>
      </c>
      <c r="H288">
        <v>0</v>
      </c>
      <c r="I288">
        <v>2.95</v>
      </c>
      <c r="J288">
        <v>0.93</v>
      </c>
      <c r="K288">
        <v>1.33</v>
      </c>
      <c r="L288" t="s">
        <v>10</v>
      </c>
      <c r="M288" t="s">
        <v>71</v>
      </c>
    </row>
    <row r="289" spans="1:13" x14ac:dyDescent="0.45">
      <c r="A289" t="s">
        <v>9</v>
      </c>
      <c r="B289" t="s">
        <v>75</v>
      </c>
      <c r="C289">
        <v>2045</v>
      </c>
      <c r="D289">
        <v>39</v>
      </c>
      <c r="E289">
        <v>1.33</v>
      </c>
      <c r="F289">
        <v>1.17</v>
      </c>
      <c r="G289">
        <v>0.54</v>
      </c>
      <c r="H289">
        <v>0</v>
      </c>
      <c r="I289">
        <v>3.43</v>
      </c>
      <c r="J289">
        <v>1.07</v>
      </c>
      <c r="K289">
        <v>1.38</v>
      </c>
      <c r="L289" t="s">
        <v>10</v>
      </c>
      <c r="M289" t="s">
        <v>71</v>
      </c>
    </row>
    <row r="290" spans="1:13" x14ac:dyDescent="0.45">
      <c r="A290" t="s">
        <v>9</v>
      </c>
      <c r="B290" t="s">
        <v>75</v>
      </c>
      <c r="C290">
        <v>2050</v>
      </c>
      <c r="D290">
        <v>39</v>
      </c>
      <c r="E290">
        <v>1.44</v>
      </c>
      <c r="F290">
        <v>1.25</v>
      </c>
      <c r="G290">
        <v>0.68</v>
      </c>
      <c r="H290">
        <v>0</v>
      </c>
      <c r="I290">
        <v>4.18</v>
      </c>
      <c r="J290">
        <v>1.1399999999999999</v>
      </c>
      <c r="K290">
        <v>1.51</v>
      </c>
      <c r="L290" t="s">
        <v>10</v>
      </c>
      <c r="M290" t="s">
        <v>71</v>
      </c>
    </row>
    <row r="291" spans="1:13" x14ac:dyDescent="0.45">
      <c r="A291" t="s">
        <v>0</v>
      </c>
      <c r="B291" t="s">
        <v>75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75</v>
      </c>
      <c r="C292">
        <v>2025</v>
      </c>
      <c r="D292">
        <v>20</v>
      </c>
      <c r="E292">
        <v>7.88</v>
      </c>
      <c r="F292">
        <v>5.62</v>
      </c>
      <c r="G292">
        <v>8.85</v>
      </c>
      <c r="H292">
        <v>0</v>
      </c>
      <c r="I292">
        <v>40.4</v>
      </c>
      <c r="J292">
        <v>2.19</v>
      </c>
      <c r="K292">
        <v>11.38</v>
      </c>
      <c r="L292" t="s">
        <v>1</v>
      </c>
      <c r="M292" t="s">
        <v>72</v>
      </c>
    </row>
    <row r="293" spans="1:13" x14ac:dyDescent="0.45">
      <c r="A293" t="s">
        <v>0</v>
      </c>
      <c r="B293" t="s">
        <v>75</v>
      </c>
      <c r="C293">
        <v>2030</v>
      </c>
      <c r="D293">
        <v>20</v>
      </c>
      <c r="E293">
        <v>10.26</v>
      </c>
      <c r="F293">
        <v>8.74</v>
      </c>
      <c r="G293">
        <v>6.31</v>
      </c>
      <c r="H293">
        <v>0</v>
      </c>
      <c r="I293">
        <v>27.81</v>
      </c>
      <c r="J293">
        <v>6.42</v>
      </c>
      <c r="K293">
        <v>13.75</v>
      </c>
      <c r="L293" t="s">
        <v>1</v>
      </c>
      <c r="M293" t="s">
        <v>72</v>
      </c>
    </row>
    <row r="294" spans="1:13" x14ac:dyDescent="0.45">
      <c r="A294" t="s">
        <v>0</v>
      </c>
      <c r="B294" t="s">
        <v>75</v>
      </c>
      <c r="C294">
        <v>2035</v>
      </c>
      <c r="D294">
        <v>20</v>
      </c>
      <c r="E294">
        <v>13.46</v>
      </c>
      <c r="F294">
        <v>11.81</v>
      </c>
      <c r="G294">
        <v>6.38</v>
      </c>
      <c r="H294">
        <v>0</v>
      </c>
      <c r="I294">
        <v>29.54</v>
      </c>
      <c r="J294">
        <v>11.45</v>
      </c>
      <c r="K294">
        <v>16.350000000000001</v>
      </c>
      <c r="L294" t="s">
        <v>1</v>
      </c>
      <c r="M294" t="s">
        <v>72</v>
      </c>
    </row>
    <row r="295" spans="1:13" x14ac:dyDescent="0.45">
      <c r="A295" t="s">
        <v>0</v>
      </c>
      <c r="B295" t="s">
        <v>75</v>
      </c>
      <c r="C295">
        <v>2040</v>
      </c>
      <c r="D295">
        <v>20</v>
      </c>
      <c r="E295">
        <v>14.22</v>
      </c>
      <c r="F295">
        <v>14.26</v>
      </c>
      <c r="G295">
        <v>5.85</v>
      </c>
      <c r="H295">
        <v>0</v>
      </c>
      <c r="I295">
        <v>27.95</v>
      </c>
      <c r="J295">
        <v>10.41</v>
      </c>
      <c r="K295">
        <v>16.48</v>
      </c>
      <c r="L295" t="s">
        <v>1</v>
      </c>
      <c r="M295" t="s">
        <v>72</v>
      </c>
    </row>
    <row r="296" spans="1:13" x14ac:dyDescent="0.45">
      <c r="A296" t="s">
        <v>0</v>
      </c>
      <c r="B296" t="s">
        <v>75</v>
      </c>
      <c r="C296">
        <v>2045</v>
      </c>
      <c r="D296">
        <v>20</v>
      </c>
      <c r="E296">
        <v>17.29</v>
      </c>
      <c r="F296">
        <v>18.12</v>
      </c>
      <c r="G296">
        <v>6.97</v>
      </c>
      <c r="H296">
        <v>0</v>
      </c>
      <c r="I296">
        <v>34.020000000000003</v>
      </c>
      <c r="J296">
        <v>13.35</v>
      </c>
      <c r="K296">
        <v>20.48</v>
      </c>
      <c r="L296" t="s">
        <v>1</v>
      </c>
      <c r="M296" t="s">
        <v>72</v>
      </c>
    </row>
    <row r="297" spans="1:13" x14ac:dyDescent="0.45">
      <c r="A297" t="s">
        <v>0</v>
      </c>
      <c r="B297" t="s">
        <v>75</v>
      </c>
      <c r="C297">
        <v>2050</v>
      </c>
      <c r="D297">
        <v>20</v>
      </c>
      <c r="E297">
        <v>17.72</v>
      </c>
      <c r="F297">
        <v>16.600000000000001</v>
      </c>
      <c r="G297">
        <v>8.6999999999999993</v>
      </c>
      <c r="H297">
        <v>0</v>
      </c>
      <c r="I297">
        <v>36.659999999999997</v>
      </c>
      <c r="J297">
        <v>11.1</v>
      </c>
      <c r="K297">
        <v>23.79</v>
      </c>
      <c r="L297" t="s">
        <v>1</v>
      </c>
      <c r="M297" t="s">
        <v>72</v>
      </c>
    </row>
    <row r="298" spans="1:13" x14ac:dyDescent="0.45">
      <c r="A298" t="s">
        <v>2</v>
      </c>
      <c r="B298" t="s">
        <v>75</v>
      </c>
      <c r="C298">
        <v>2020</v>
      </c>
      <c r="D298">
        <v>17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75</v>
      </c>
      <c r="C299">
        <v>2025</v>
      </c>
      <c r="D299">
        <v>17</v>
      </c>
      <c r="E299">
        <v>2.7</v>
      </c>
      <c r="F299">
        <v>2.77</v>
      </c>
      <c r="G299">
        <v>2.58</v>
      </c>
      <c r="H299">
        <v>0</v>
      </c>
      <c r="I299">
        <v>9.4600000000000009</v>
      </c>
      <c r="J299">
        <v>1.36</v>
      </c>
      <c r="K299">
        <v>2.77</v>
      </c>
      <c r="L299" t="s">
        <v>3</v>
      </c>
      <c r="M299" t="s">
        <v>72</v>
      </c>
    </row>
    <row r="300" spans="1:13" x14ac:dyDescent="0.45">
      <c r="A300" t="s">
        <v>2</v>
      </c>
      <c r="B300" t="s">
        <v>75</v>
      </c>
      <c r="C300">
        <v>2030</v>
      </c>
      <c r="D300">
        <v>17</v>
      </c>
      <c r="E300">
        <v>2.88</v>
      </c>
      <c r="F300">
        <v>2.27</v>
      </c>
      <c r="G300">
        <v>3.01</v>
      </c>
      <c r="H300">
        <v>0</v>
      </c>
      <c r="I300">
        <v>11.12</v>
      </c>
      <c r="J300">
        <v>1.85</v>
      </c>
      <c r="K300">
        <v>2.46</v>
      </c>
      <c r="L300" t="s">
        <v>3</v>
      </c>
      <c r="M300" t="s">
        <v>72</v>
      </c>
    </row>
    <row r="301" spans="1:13" x14ac:dyDescent="0.45">
      <c r="A301" t="s">
        <v>2</v>
      </c>
      <c r="B301" t="s">
        <v>75</v>
      </c>
      <c r="C301">
        <v>2035</v>
      </c>
      <c r="D301">
        <v>17</v>
      </c>
      <c r="E301">
        <v>15.34</v>
      </c>
      <c r="F301">
        <v>13.83</v>
      </c>
      <c r="G301">
        <v>12.52</v>
      </c>
      <c r="H301">
        <v>3.28</v>
      </c>
      <c r="I301">
        <v>47.6</v>
      </c>
      <c r="J301">
        <v>10.62</v>
      </c>
      <c r="K301">
        <v>16.059999999999999</v>
      </c>
      <c r="L301" t="s">
        <v>3</v>
      </c>
      <c r="M301" t="s">
        <v>72</v>
      </c>
    </row>
    <row r="302" spans="1:13" x14ac:dyDescent="0.45">
      <c r="A302" t="s">
        <v>2</v>
      </c>
      <c r="B302" t="s">
        <v>75</v>
      </c>
      <c r="C302">
        <v>2040</v>
      </c>
      <c r="D302">
        <v>17</v>
      </c>
      <c r="E302">
        <v>20.260000000000002</v>
      </c>
      <c r="F302">
        <v>16.149999999999999</v>
      </c>
      <c r="G302">
        <v>21.28</v>
      </c>
      <c r="H302">
        <v>3.43</v>
      </c>
      <c r="I302">
        <v>78.709999999999994</v>
      </c>
      <c r="J302">
        <v>9.83</v>
      </c>
      <c r="K302">
        <v>20.57</v>
      </c>
      <c r="L302" t="s">
        <v>3</v>
      </c>
      <c r="M302" t="s">
        <v>72</v>
      </c>
    </row>
    <row r="303" spans="1:13" x14ac:dyDescent="0.45">
      <c r="A303" t="s">
        <v>2</v>
      </c>
      <c r="B303" t="s">
        <v>75</v>
      </c>
      <c r="C303">
        <v>2045</v>
      </c>
      <c r="D303">
        <v>17</v>
      </c>
      <c r="E303">
        <v>15.59</v>
      </c>
      <c r="F303">
        <v>19.71</v>
      </c>
      <c r="G303">
        <v>8.1199999999999992</v>
      </c>
      <c r="H303">
        <v>3.88</v>
      </c>
      <c r="I303">
        <v>28.72</v>
      </c>
      <c r="J303">
        <v>9.5299999999999994</v>
      </c>
      <c r="K303">
        <v>20.74</v>
      </c>
      <c r="L303" t="s">
        <v>3</v>
      </c>
      <c r="M303" t="s">
        <v>72</v>
      </c>
    </row>
    <row r="304" spans="1:13" x14ac:dyDescent="0.45">
      <c r="A304" t="s">
        <v>2</v>
      </c>
      <c r="B304" t="s">
        <v>75</v>
      </c>
      <c r="C304">
        <v>2050</v>
      </c>
      <c r="D304">
        <v>17</v>
      </c>
      <c r="E304">
        <v>9.8699999999999992</v>
      </c>
      <c r="F304">
        <v>10.3</v>
      </c>
      <c r="G304">
        <v>4.1500000000000004</v>
      </c>
      <c r="H304">
        <v>4.32</v>
      </c>
      <c r="I304">
        <v>16.63</v>
      </c>
      <c r="J304">
        <v>5.56</v>
      </c>
      <c r="K304">
        <v>13.61</v>
      </c>
      <c r="L304" t="s">
        <v>3</v>
      </c>
      <c r="M304" t="s">
        <v>72</v>
      </c>
    </row>
    <row r="305" spans="1:13" x14ac:dyDescent="0.45">
      <c r="A305" t="s">
        <v>5</v>
      </c>
      <c r="B305" t="s">
        <v>75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75</v>
      </c>
      <c r="C306">
        <v>2025</v>
      </c>
      <c r="D306">
        <v>69</v>
      </c>
      <c r="E306">
        <v>3.2</v>
      </c>
      <c r="F306">
        <v>2.77</v>
      </c>
      <c r="G306">
        <v>2.0499999999999998</v>
      </c>
      <c r="H306">
        <v>0</v>
      </c>
      <c r="I306">
        <v>9.26</v>
      </c>
      <c r="J306">
        <v>1.79</v>
      </c>
      <c r="K306">
        <v>4.0999999999999996</v>
      </c>
      <c r="L306" t="s">
        <v>6</v>
      </c>
      <c r="M306" t="s">
        <v>72</v>
      </c>
    </row>
    <row r="307" spans="1:13" x14ac:dyDescent="0.45">
      <c r="A307" t="s">
        <v>5</v>
      </c>
      <c r="B307" t="s">
        <v>75</v>
      </c>
      <c r="C307">
        <v>2030</v>
      </c>
      <c r="D307">
        <v>69</v>
      </c>
      <c r="E307">
        <v>3.97</v>
      </c>
      <c r="F307">
        <v>3.67</v>
      </c>
      <c r="G307">
        <v>2.39</v>
      </c>
      <c r="H307">
        <v>0</v>
      </c>
      <c r="I307">
        <v>10.88</v>
      </c>
      <c r="J307">
        <v>1.85</v>
      </c>
      <c r="K307">
        <v>5.68</v>
      </c>
      <c r="L307" t="s">
        <v>6</v>
      </c>
      <c r="M307" t="s">
        <v>72</v>
      </c>
    </row>
    <row r="308" spans="1:13" x14ac:dyDescent="0.45">
      <c r="A308" t="s">
        <v>5</v>
      </c>
      <c r="B308" t="s">
        <v>75</v>
      </c>
      <c r="C308">
        <v>2035</v>
      </c>
      <c r="D308">
        <v>69</v>
      </c>
      <c r="E308">
        <v>7.2</v>
      </c>
      <c r="F308">
        <v>7.2</v>
      </c>
      <c r="G308">
        <v>3.14</v>
      </c>
      <c r="H308">
        <v>0</v>
      </c>
      <c r="I308">
        <v>18.8</v>
      </c>
      <c r="J308">
        <v>5.51</v>
      </c>
      <c r="K308">
        <v>8.6300000000000008</v>
      </c>
      <c r="L308" t="s">
        <v>6</v>
      </c>
      <c r="M308" t="s">
        <v>72</v>
      </c>
    </row>
    <row r="309" spans="1:13" x14ac:dyDescent="0.45">
      <c r="A309" t="s">
        <v>5</v>
      </c>
      <c r="B309" t="s">
        <v>75</v>
      </c>
      <c r="C309">
        <v>2040</v>
      </c>
      <c r="D309">
        <v>69</v>
      </c>
      <c r="E309">
        <v>9.14</v>
      </c>
      <c r="F309">
        <v>9.17</v>
      </c>
      <c r="G309">
        <v>4.21</v>
      </c>
      <c r="H309">
        <v>0</v>
      </c>
      <c r="I309">
        <v>28.51</v>
      </c>
      <c r="J309">
        <v>7.47</v>
      </c>
      <c r="K309">
        <v>10.77</v>
      </c>
      <c r="L309" t="s">
        <v>6</v>
      </c>
      <c r="M309" t="s">
        <v>72</v>
      </c>
    </row>
    <row r="310" spans="1:13" x14ac:dyDescent="0.45">
      <c r="A310" t="s">
        <v>5</v>
      </c>
      <c r="B310" t="s">
        <v>75</v>
      </c>
      <c r="C310">
        <v>2045</v>
      </c>
      <c r="D310">
        <v>69</v>
      </c>
      <c r="E310">
        <v>10.33</v>
      </c>
      <c r="F310">
        <v>9.67</v>
      </c>
      <c r="G310">
        <v>4.76</v>
      </c>
      <c r="H310">
        <v>0</v>
      </c>
      <c r="I310">
        <v>25.74</v>
      </c>
      <c r="J310">
        <v>8.3800000000000008</v>
      </c>
      <c r="K310">
        <v>13.06</v>
      </c>
      <c r="L310" t="s">
        <v>6</v>
      </c>
      <c r="M310" t="s">
        <v>72</v>
      </c>
    </row>
    <row r="311" spans="1:13" x14ac:dyDescent="0.45">
      <c r="A311" t="s">
        <v>5</v>
      </c>
      <c r="B311" t="s">
        <v>75</v>
      </c>
      <c r="C311">
        <v>2050</v>
      </c>
      <c r="D311">
        <v>69</v>
      </c>
      <c r="E311">
        <v>10.59</v>
      </c>
      <c r="F311">
        <v>10.46</v>
      </c>
      <c r="G311">
        <v>4.91</v>
      </c>
      <c r="H311">
        <v>0</v>
      </c>
      <c r="I311">
        <v>23.33</v>
      </c>
      <c r="J311">
        <v>9.26</v>
      </c>
      <c r="K311">
        <v>12.27</v>
      </c>
      <c r="L311" t="s">
        <v>6</v>
      </c>
      <c r="M311" t="s">
        <v>72</v>
      </c>
    </row>
    <row r="312" spans="1:13" x14ac:dyDescent="0.45">
      <c r="A312" t="s">
        <v>7</v>
      </c>
      <c r="B312" t="s">
        <v>75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75</v>
      </c>
      <c r="C313">
        <v>2025</v>
      </c>
      <c r="D313">
        <v>27</v>
      </c>
      <c r="E313">
        <v>2.65</v>
      </c>
      <c r="F313">
        <v>2.27</v>
      </c>
      <c r="G313">
        <v>1.19</v>
      </c>
      <c r="H313">
        <v>1.22</v>
      </c>
      <c r="I313">
        <v>5.33</v>
      </c>
      <c r="J313">
        <v>1.79</v>
      </c>
      <c r="K313">
        <v>3.4</v>
      </c>
      <c r="L313" t="s">
        <v>8</v>
      </c>
      <c r="M313" t="s">
        <v>72</v>
      </c>
    </row>
    <row r="314" spans="1:13" x14ac:dyDescent="0.45">
      <c r="A314" t="s">
        <v>7</v>
      </c>
      <c r="B314" t="s">
        <v>75</v>
      </c>
      <c r="C314">
        <v>2030</v>
      </c>
      <c r="D314">
        <v>27</v>
      </c>
      <c r="E314">
        <v>3.42</v>
      </c>
      <c r="F314">
        <v>3.67</v>
      </c>
      <c r="G314">
        <v>0.77</v>
      </c>
      <c r="H314">
        <v>1.85</v>
      </c>
      <c r="I314">
        <v>4.3</v>
      </c>
      <c r="J314">
        <v>3.14</v>
      </c>
      <c r="K314">
        <v>3.98</v>
      </c>
      <c r="L314" t="s">
        <v>8</v>
      </c>
      <c r="M314" t="s">
        <v>72</v>
      </c>
    </row>
    <row r="315" spans="1:13" x14ac:dyDescent="0.45">
      <c r="A315" t="s">
        <v>7</v>
      </c>
      <c r="B315" t="s">
        <v>75</v>
      </c>
      <c r="C315">
        <v>2035</v>
      </c>
      <c r="D315">
        <v>27</v>
      </c>
      <c r="E315">
        <v>4.33</v>
      </c>
      <c r="F315">
        <v>4.1900000000000004</v>
      </c>
      <c r="G315">
        <v>1</v>
      </c>
      <c r="H315">
        <v>2.79</v>
      </c>
      <c r="I315">
        <v>6.13</v>
      </c>
      <c r="J315">
        <v>3.47</v>
      </c>
      <c r="K315">
        <v>4.93</v>
      </c>
      <c r="L315" t="s">
        <v>8</v>
      </c>
      <c r="M315" t="s">
        <v>72</v>
      </c>
    </row>
    <row r="316" spans="1:13" x14ac:dyDescent="0.45">
      <c r="A316" t="s">
        <v>7</v>
      </c>
      <c r="B316" t="s">
        <v>75</v>
      </c>
      <c r="C316">
        <v>2040</v>
      </c>
      <c r="D316">
        <v>27</v>
      </c>
      <c r="E316">
        <v>5.62</v>
      </c>
      <c r="F316">
        <v>5.64</v>
      </c>
      <c r="G316">
        <v>1.17</v>
      </c>
      <c r="H316">
        <v>3.94</v>
      </c>
      <c r="I316">
        <v>8.76</v>
      </c>
      <c r="J316">
        <v>4.78</v>
      </c>
      <c r="K316">
        <v>6.21</v>
      </c>
      <c r="L316" t="s">
        <v>8</v>
      </c>
      <c r="M316" t="s">
        <v>72</v>
      </c>
    </row>
    <row r="317" spans="1:13" x14ac:dyDescent="0.45">
      <c r="A317" t="s">
        <v>7</v>
      </c>
      <c r="B317" t="s">
        <v>75</v>
      </c>
      <c r="C317">
        <v>2045</v>
      </c>
      <c r="D317">
        <v>27</v>
      </c>
      <c r="E317">
        <v>6.27</v>
      </c>
      <c r="F317">
        <v>6.04</v>
      </c>
      <c r="G317">
        <v>1.38</v>
      </c>
      <c r="H317">
        <v>3.69</v>
      </c>
      <c r="I317">
        <v>10.53</v>
      </c>
      <c r="J317">
        <v>5.8</v>
      </c>
      <c r="K317">
        <v>6.94</v>
      </c>
      <c r="L317" t="s">
        <v>8</v>
      </c>
      <c r="M317" t="s">
        <v>72</v>
      </c>
    </row>
    <row r="318" spans="1:13" x14ac:dyDescent="0.45">
      <c r="A318" t="s">
        <v>7</v>
      </c>
      <c r="B318" t="s">
        <v>75</v>
      </c>
      <c r="C318">
        <v>2050</v>
      </c>
      <c r="D318">
        <v>27</v>
      </c>
      <c r="E318">
        <v>6.85</v>
      </c>
      <c r="F318">
        <v>7.41</v>
      </c>
      <c r="G318">
        <v>1.6</v>
      </c>
      <c r="H318">
        <v>3.24</v>
      </c>
      <c r="I318">
        <v>8.77</v>
      </c>
      <c r="J318">
        <v>5.99</v>
      </c>
      <c r="K318">
        <v>8.1999999999999993</v>
      </c>
      <c r="L318" t="s">
        <v>8</v>
      </c>
      <c r="M318" t="s">
        <v>72</v>
      </c>
    </row>
    <row r="319" spans="1:13" x14ac:dyDescent="0.45">
      <c r="A319" t="s">
        <v>9</v>
      </c>
      <c r="B319" t="s">
        <v>75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75</v>
      </c>
      <c r="C320">
        <v>2025</v>
      </c>
      <c r="D320">
        <v>14</v>
      </c>
      <c r="E320">
        <v>1.6</v>
      </c>
      <c r="F320">
        <v>1.03</v>
      </c>
      <c r="G320">
        <v>0.98</v>
      </c>
      <c r="H320">
        <v>1.02</v>
      </c>
      <c r="I320">
        <v>3.84</v>
      </c>
      <c r="J320">
        <v>1.03</v>
      </c>
      <c r="K320">
        <v>2.0699999999999998</v>
      </c>
      <c r="L320" t="s">
        <v>10</v>
      </c>
      <c r="M320" t="s">
        <v>72</v>
      </c>
    </row>
    <row r="321" spans="1:13" x14ac:dyDescent="0.45">
      <c r="A321" t="s">
        <v>9</v>
      </c>
      <c r="B321" t="s">
        <v>75</v>
      </c>
      <c r="C321">
        <v>2030</v>
      </c>
      <c r="D321">
        <v>14</v>
      </c>
      <c r="E321">
        <v>1.55</v>
      </c>
      <c r="F321">
        <v>1.0900000000000001</v>
      </c>
      <c r="G321">
        <v>0.91</v>
      </c>
      <c r="H321">
        <v>1.05</v>
      </c>
      <c r="I321">
        <v>4.2300000000000004</v>
      </c>
      <c r="J321">
        <v>1.06</v>
      </c>
      <c r="K321">
        <v>1.88</v>
      </c>
      <c r="L321" t="s">
        <v>10</v>
      </c>
      <c r="M321" t="s">
        <v>72</v>
      </c>
    </row>
    <row r="322" spans="1:13" x14ac:dyDescent="0.45">
      <c r="A322" t="s">
        <v>9</v>
      </c>
      <c r="B322" t="s">
        <v>75</v>
      </c>
      <c r="C322">
        <v>2035</v>
      </c>
      <c r="D322">
        <v>14</v>
      </c>
      <c r="E322">
        <v>2.2000000000000002</v>
      </c>
      <c r="F322">
        <v>1.18</v>
      </c>
      <c r="G322">
        <v>1.94</v>
      </c>
      <c r="H322">
        <v>1.05</v>
      </c>
      <c r="I322">
        <v>6.45</v>
      </c>
      <c r="J322">
        <v>1.0900000000000001</v>
      </c>
      <c r="K322">
        <v>2.4</v>
      </c>
      <c r="L322" t="s">
        <v>10</v>
      </c>
      <c r="M322" t="s">
        <v>72</v>
      </c>
    </row>
    <row r="323" spans="1:13" x14ac:dyDescent="0.45">
      <c r="A323" t="s">
        <v>9</v>
      </c>
      <c r="B323" t="s">
        <v>75</v>
      </c>
      <c r="C323">
        <v>2040</v>
      </c>
      <c r="D323">
        <v>14</v>
      </c>
      <c r="E323">
        <v>2.3199999999999998</v>
      </c>
      <c r="F323">
        <v>1.27</v>
      </c>
      <c r="G323">
        <v>2.11</v>
      </c>
      <c r="H323">
        <v>1.03</v>
      </c>
      <c r="I323">
        <v>6.76</v>
      </c>
      <c r="J323">
        <v>1.1100000000000001</v>
      </c>
      <c r="K323">
        <v>2.16</v>
      </c>
      <c r="L323" t="s">
        <v>10</v>
      </c>
      <c r="M323" t="s">
        <v>72</v>
      </c>
    </row>
    <row r="324" spans="1:13" x14ac:dyDescent="0.45">
      <c r="A324" t="s">
        <v>9</v>
      </c>
      <c r="B324" t="s">
        <v>75</v>
      </c>
      <c r="C324">
        <v>2045</v>
      </c>
      <c r="D324">
        <v>14</v>
      </c>
      <c r="E324">
        <v>2.2200000000000002</v>
      </c>
      <c r="F324">
        <v>1.35</v>
      </c>
      <c r="G324">
        <v>1.86</v>
      </c>
      <c r="H324">
        <v>1.01</v>
      </c>
      <c r="I324">
        <v>6.32</v>
      </c>
      <c r="J324">
        <v>1.1299999999999999</v>
      </c>
      <c r="K324">
        <v>2.2000000000000002</v>
      </c>
      <c r="L324" t="s">
        <v>10</v>
      </c>
      <c r="M324" t="s">
        <v>72</v>
      </c>
    </row>
    <row r="325" spans="1:13" x14ac:dyDescent="0.45">
      <c r="A325" t="s">
        <v>9</v>
      </c>
      <c r="B325" t="s">
        <v>75</v>
      </c>
      <c r="C325">
        <v>2050</v>
      </c>
      <c r="D325">
        <v>14</v>
      </c>
      <c r="E325">
        <v>2.4500000000000002</v>
      </c>
      <c r="F325">
        <v>1.41</v>
      </c>
      <c r="G325">
        <v>2.21</v>
      </c>
      <c r="H325">
        <v>0.99</v>
      </c>
      <c r="I325">
        <v>6.85</v>
      </c>
      <c r="J325">
        <v>1.1499999999999999</v>
      </c>
      <c r="K325">
        <v>2.27</v>
      </c>
      <c r="L325" t="s">
        <v>10</v>
      </c>
      <c r="M325" t="s">
        <v>72</v>
      </c>
    </row>
    <row r="326" spans="1:13" x14ac:dyDescent="0.45">
      <c r="A326" t="s">
        <v>0</v>
      </c>
      <c r="B326" t="s">
        <v>75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75</v>
      </c>
      <c r="C327">
        <v>2025</v>
      </c>
      <c r="D327">
        <v>7</v>
      </c>
      <c r="E327">
        <v>0.95</v>
      </c>
      <c r="F327">
        <v>0.94</v>
      </c>
      <c r="G327">
        <v>0.01</v>
      </c>
      <c r="H327">
        <v>0.93</v>
      </c>
      <c r="I327">
        <v>0.96</v>
      </c>
      <c r="J327">
        <v>0.94</v>
      </c>
      <c r="K327">
        <v>0.95</v>
      </c>
      <c r="L327" t="s">
        <v>1</v>
      </c>
      <c r="M327" t="s">
        <v>73</v>
      </c>
    </row>
    <row r="328" spans="1:13" x14ac:dyDescent="0.45">
      <c r="A328" t="s">
        <v>0</v>
      </c>
      <c r="B328" t="s">
        <v>75</v>
      </c>
      <c r="C328">
        <v>2030</v>
      </c>
      <c r="D328">
        <v>7</v>
      </c>
      <c r="E328">
        <v>0.93</v>
      </c>
      <c r="F328">
        <v>0.93</v>
      </c>
      <c r="G328">
        <v>0.01</v>
      </c>
      <c r="H328">
        <v>0.91</v>
      </c>
      <c r="I328">
        <v>0.94</v>
      </c>
      <c r="J328">
        <v>0.92</v>
      </c>
      <c r="K328">
        <v>0.93</v>
      </c>
      <c r="L328" t="s">
        <v>1</v>
      </c>
      <c r="M328" t="s">
        <v>73</v>
      </c>
    </row>
    <row r="329" spans="1:13" x14ac:dyDescent="0.45">
      <c r="A329" t="s">
        <v>0</v>
      </c>
      <c r="B329" t="s">
        <v>75</v>
      </c>
      <c r="C329">
        <v>2035</v>
      </c>
      <c r="D329">
        <v>7</v>
      </c>
      <c r="E329">
        <v>0.94</v>
      </c>
      <c r="F329">
        <v>0.95</v>
      </c>
      <c r="G329">
        <v>0.01</v>
      </c>
      <c r="H329">
        <v>0.93</v>
      </c>
      <c r="I329">
        <v>0.96</v>
      </c>
      <c r="J329">
        <v>0.94</v>
      </c>
      <c r="K329">
        <v>0.95</v>
      </c>
      <c r="L329" t="s">
        <v>1</v>
      </c>
      <c r="M329" t="s">
        <v>73</v>
      </c>
    </row>
    <row r="330" spans="1:13" x14ac:dyDescent="0.45">
      <c r="A330" t="s">
        <v>0</v>
      </c>
      <c r="B330" t="s">
        <v>75</v>
      </c>
      <c r="C330">
        <v>2040</v>
      </c>
      <c r="D330">
        <v>7</v>
      </c>
      <c r="E330">
        <v>0.96</v>
      </c>
      <c r="F330">
        <v>0.96</v>
      </c>
      <c r="G330">
        <v>0.02</v>
      </c>
      <c r="H330">
        <v>0.93</v>
      </c>
      <c r="I330">
        <v>0.98</v>
      </c>
      <c r="J330">
        <v>0.96</v>
      </c>
      <c r="K330">
        <v>0.97</v>
      </c>
      <c r="L330" t="s">
        <v>1</v>
      </c>
      <c r="M330" t="s">
        <v>73</v>
      </c>
    </row>
    <row r="331" spans="1:13" x14ac:dyDescent="0.45">
      <c r="A331" t="s">
        <v>0</v>
      </c>
      <c r="B331" t="s">
        <v>75</v>
      </c>
      <c r="C331">
        <v>2045</v>
      </c>
      <c r="D331">
        <v>7</v>
      </c>
      <c r="E331">
        <v>0.94</v>
      </c>
      <c r="F331">
        <v>0.94</v>
      </c>
      <c r="G331">
        <v>0.03</v>
      </c>
      <c r="H331">
        <v>0.9</v>
      </c>
      <c r="I331">
        <v>1</v>
      </c>
      <c r="J331">
        <v>0.93</v>
      </c>
      <c r="K331">
        <v>0.94</v>
      </c>
      <c r="L331" t="s">
        <v>1</v>
      </c>
      <c r="M331" t="s">
        <v>73</v>
      </c>
    </row>
    <row r="332" spans="1:13" x14ac:dyDescent="0.45">
      <c r="A332" t="s">
        <v>0</v>
      </c>
      <c r="B332" t="s">
        <v>75</v>
      </c>
      <c r="C332">
        <v>2050</v>
      </c>
      <c r="D332">
        <v>7</v>
      </c>
      <c r="E332">
        <v>0.93</v>
      </c>
      <c r="F332">
        <v>0.92</v>
      </c>
      <c r="G332">
        <v>0.06</v>
      </c>
      <c r="H332">
        <v>0.88</v>
      </c>
      <c r="I332">
        <v>1.05</v>
      </c>
      <c r="J332">
        <v>0.89</v>
      </c>
      <c r="K332">
        <v>0.95</v>
      </c>
      <c r="L332" t="s">
        <v>1</v>
      </c>
      <c r="M332" t="s">
        <v>73</v>
      </c>
    </row>
    <row r="333" spans="1:13" x14ac:dyDescent="0.45">
      <c r="A333" t="s">
        <v>2</v>
      </c>
      <c r="B333" t="s">
        <v>75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75</v>
      </c>
      <c r="C334">
        <v>2025</v>
      </c>
      <c r="D334">
        <v>7</v>
      </c>
      <c r="E334">
        <v>0.93</v>
      </c>
      <c r="F334">
        <v>0.93</v>
      </c>
      <c r="G334">
        <v>0.01</v>
      </c>
      <c r="H334">
        <v>0.92</v>
      </c>
      <c r="I334">
        <v>0.93</v>
      </c>
      <c r="J334">
        <v>0.92</v>
      </c>
      <c r="K334">
        <v>0.93</v>
      </c>
      <c r="L334" t="s">
        <v>3</v>
      </c>
      <c r="M334" t="s">
        <v>73</v>
      </c>
    </row>
    <row r="335" spans="1:13" x14ac:dyDescent="0.45">
      <c r="A335" t="s">
        <v>2</v>
      </c>
      <c r="B335" t="s">
        <v>75</v>
      </c>
      <c r="C335">
        <v>2030</v>
      </c>
      <c r="D335">
        <v>7</v>
      </c>
      <c r="E335">
        <v>0.93</v>
      </c>
      <c r="F335">
        <v>0.93</v>
      </c>
      <c r="G335">
        <v>0.02</v>
      </c>
      <c r="H335">
        <v>0.91</v>
      </c>
      <c r="I335">
        <v>0.95</v>
      </c>
      <c r="J335">
        <v>0.92</v>
      </c>
      <c r="K335">
        <v>0.94</v>
      </c>
      <c r="L335" t="s">
        <v>3</v>
      </c>
      <c r="M335" t="s">
        <v>73</v>
      </c>
    </row>
    <row r="336" spans="1:13" x14ac:dyDescent="0.45">
      <c r="A336" t="s">
        <v>2</v>
      </c>
      <c r="B336" t="s">
        <v>75</v>
      </c>
      <c r="C336">
        <v>2035</v>
      </c>
      <c r="D336">
        <v>7</v>
      </c>
      <c r="E336">
        <v>0.94</v>
      </c>
      <c r="F336">
        <v>0.93</v>
      </c>
      <c r="G336">
        <v>0.03</v>
      </c>
      <c r="H336">
        <v>0.91</v>
      </c>
      <c r="I336">
        <v>0.99</v>
      </c>
      <c r="J336">
        <v>0.91</v>
      </c>
      <c r="K336">
        <v>0.95</v>
      </c>
      <c r="L336" t="s">
        <v>3</v>
      </c>
      <c r="M336" t="s">
        <v>73</v>
      </c>
    </row>
    <row r="337" spans="1:13" x14ac:dyDescent="0.45">
      <c r="A337" t="s">
        <v>2</v>
      </c>
      <c r="B337" t="s">
        <v>75</v>
      </c>
      <c r="C337">
        <v>2040</v>
      </c>
      <c r="D337">
        <v>7</v>
      </c>
      <c r="E337">
        <v>0.96</v>
      </c>
      <c r="F337">
        <v>0.96</v>
      </c>
      <c r="G337">
        <v>0.02</v>
      </c>
      <c r="H337">
        <v>0.94</v>
      </c>
      <c r="I337">
        <v>1</v>
      </c>
      <c r="J337">
        <v>0.94</v>
      </c>
      <c r="K337">
        <v>0.98</v>
      </c>
      <c r="L337" t="s">
        <v>3</v>
      </c>
      <c r="M337" t="s">
        <v>73</v>
      </c>
    </row>
    <row r="338" spans="1:13" x14ac:dyDescent="0.45">
      <c r="A338" t="s">
        <v>2</v>
      </c>
      <c r="B338" t="s">
        <v>75</v>
      </c>
      <c r="C338">
        <v>2045</v>
      </c>
      <c r="D338">
        <v>7</v>
      </c>
      <c r="E338">
        <v>1.01</v>
      </c>
      <c r="F338">
        <v>1.01</v>
      </c>
      <c r="G338">
        <v>0.02</v>
      </c>
      <c r="H338">
        <v>0.99</v>
      </c>
      <c r="I338">
        <v>1.05</v>
      </c>
      <c r="J338">
        <v>0.99</v>
      </c>
      <c r="K338">
        <v>1.03</v>
      </c>
      <c r="L338" t="s">
        <v>3</v>
      </c>
      <c r="M338" t="s">
        <v>73</v>
      </c>
    </row>
    <row r="339" spans="1:13" x14ac:dyDescent="0.45">
      <c r="A339" t="s">
        <v>2</v>
      </c>
      <c r="B339" t="s">
        <v>75</v>
      </c>
      <c r="C339">
        <v>2050</v>
      </c>
      <c r="D339">
        <v>7</v>
      </c>
      <c r="E339">
        <v>1.07</v>
      </c>
      <c r="F339">
        <v>1.07</v>
      </c>
      <c r="G339">
        <v>0.02</v>
      </c>
      <c r="H339">
        <v>1.04</v>
      </c>
      <c r="I339">
        <v>1.1000000000000001</v>
      </c>
      <c r="J339">
        <v>1.05</v>
      </c>
      <c r="K339">
        <v>1.0900000000000001</v>
      </c>
      <c r="L339" t="s">
        <v>3</v>
      </c>
      <c r="M339" t="s">
        <v>73</v>
      </c>
    </row>
    <row r="340" spans="1:13" x14ac:dyDescent="0.45">
      <c r="A340" t="s">
        <v>5</v>
      </c>
      <c r="B340" t="s">
        <v>75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75</v>
      </c>
      <c r="C341">
        <v>2025</v>
      </c>
      <c r="D341">
        <v>15</v>
      </c>
      <c r="E341">
        <v>1.03</v>
      </c>
      <c r="F341">
        <v>0.94</v>
      </c>
      <c r="G341">
        <v>0.13</v>
      </c>
      <c r="H341">
        <v>0.92</v>
      </c>
      <c r="I341">
        <v>1.28</v>
      </c>
      <c r="J341">
        <v>0.92</v>
      </c>
      <c r="K341">
        <v>1.1599999999999999</v>
      </c>
      <c r="L341" t="s">
        <v>6</v>
      </c>
      <c r="M341" t="s">
        <v>73</v>
      </c>
    </row>
    <row r="342" spans="1:13" x14ac:dyDescent="0.45">
      <c r="A342" t="s">
        <v>5</v>
      </c>
      <c r="B342" t="s">
        <v>75</v>
      </c>
      <c r="C342">
        <v>2030</v>
      </c>
      <c r="D342">
        <v>15</v>
      </c>
      <c r="E342">
        <v>0.96</v>
      </c>
      <c r="F342">
        <v>0.93</v>
      </c>
      <c r="G342">
        <v>7.0000000000000007E-2</v>
      </c>
      <c r="H342">
        <v>0.9</v>
      </c>
      <c r="I342">
        <v>1.18</v>
      </c>
      <c r="J342">
        <v>0.91</v>
      </c>
      <c r="K342">
        <v>0.99</v>
      </c>
      <c r="L342" t="s">
        <v>6</v>
      </c>
      <c r="M342" t="s">
        <v>73</v>
      </c>
    </row>
    <row r="343" spans="1:13" x14ac:dyDescent="0.45">
      <c r="A343" t="s">
        <v>5</v>
      </c>
      <c r="B343" t="s">
        <v>75</v>
      </c>
      <c r="C343">
        <v>2035</v>
      </c>
      <c r="D343">
        <v>15</v>
      </c>
      <c r="E343">
        <v>1.1100000000000001</v>
      </c>
      <c r="F343">
        <v>0.94</v>
      </c>
      <c r="G343">
        <v>0.25</v>
      </c>
      <c r="H343">
        <v>0.9</v>
      </c>
      <c r="I343">
        <v>1.55</v>
      </c>
      <c r="J343">
        <v>0.92</v>
      </c>
      <c r="K343">
        <v>1.34</v>
      </c>
      <c r="L343" t="s">
        <v>6</v>
      </c>
      <c r="M343" t="s">
        <v>73</v>
      </c>
    </row>
    <row r="344" spans="1:13" x14ac:dyDescent="0.45">
      <c r="A344" t="s">
        <v>5</v>
      </c>
      <c r="B344" t="s">
        <v>75</v>
      </c>
      <c r="C344">
        <v>2040</v>
      </c>
      <c r="D344">
        <v>15</v>
      </c>
      <c r="E344">
        <v>1.22</v>
      </c>
      <c r="F344">
        <v>0.95</v>
      </c>
      <c r="G344">
        <v>0.43</v>
      </c>
      <c r="H344">
        <v>0.88</v>
      </c>
      <c r="I344">
        <v>2.17</v>
      </c>
      <c r="J344">
        <v>0.93</v>
      </c>
      <c r="K344">
        <v>1.48</v>
      </c>
      <c r="L344" t="s">
        <v>6</v>
      </c>
      <c r="M344" t="s">
        <v>73</v>
      </c>
    </row>
    <row r="345" spans="1:13" x14ac:dyDescent="0.45">
      <c r="A345" t="s">
        <v>5</v>
      </c>
      <c r="B345" t="s">
        <v>75</v>
      </c>
      <c r="C345">
        <v>2045</v>
      </c>
      <c r="D345">
        <v>15</v>
      </c>
      <c r="E345">
        <v>1.43</v>
      </c>
      <c r="F345">
        <v>0.99</v>
      </c>
      <c r="G345">
        <v>0.67</v>
      </c>
      <c r="H345">
        <v>0.9</v>
      </c>
      <c r="I345">
        <v>2.77</v>
      </c>
      <c r="J345">
        <v>0.95</v>
      </c>
      <c r="K345">
        <v>1.81</v>
      </c>
      <c r="L345" t="s">
        <v>6</v>
      </c>
      <c r="M345" t="s">
        <v>73</v>
      </c>
    </row>
    <row r="346" spans="1:13" x14ac:dyDescent="0.45">
      <c r="A346" t="s">
        <v>5</v>
      </c>
      <c r="B346" t="s">
        <v>75</v>
      </c>
      <c r="C346">
        <v>2050</v>
      </c>
      <c r="D346">
        <v>15</v>
      </c>
      <c r="E346">
        <v>1.7</v>
      </c>
      <c r="F346">
        <v>1.04</v>
      </c>
      <c r="G346">
        <v>0.97</v>
      </c>
      <c r="H346">
        <v>0.95</v>
      </c>
      <c r="I346">
        <v>3.56</v>
      </c>
      <c r="J346">
        <v>1</v>
      </c>
      <c r="K346">
        <v>2.2799999999999998</v>
      </c>
      <c r="L346" t="s">
        <v>6</v>
      </c>
      <c r="M346" t="s">
        <v>73</v>
      </c>
    </row>
    <row r="347" spans="1:13" x14ac:dyDescent="0.45">
      <c r="A347" t="s">
        <v>7</v>
      </c>
      <c r="B347" t="s">
        <v>75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75</v>
      </c>
      <c r="C348">
        <v>2025</v>
      </c>
      <c r="D348">
        <v>8</v>
      </c>
      <c r="E348">
        <v>1.22</v>
      </c>
      <c r="F348">
        <v>1.22</v>
      </c>
      <c r="G348">
        <v>7.0000000000000007E-2</v>
      </c>
      <c r="H348">
        <v>1.1399999999999999</v>
      </c>
      <c r="I348">
        <v>1.28</v>
      </c>
      <c r="J348">
        <v>1.1499999999999999</v>
      </c>
      <c r="K348">
        <v>1.28</v>
      </c>
      <c r="L348" t="s">
        <v>8</v>
      </c>
      <c r="M348" t="s">
        <v>73</v>
      </c>
    </row>
    <row r="349" spans="1:13" x14ac:dyDescent="0.45">
      <c r="A349" t="s">
        <v>7</v>
      </c>
      <c r="B349" t="s">
        <v>75</v>
      </c>
      <c r="C349">
        <v>2030</v>
      </c>
      <c r="D349">
        <v>8</v>
      </c>
      <c r="E349">
        <v>1</v>
      </c>
      <c r="F349">
        <v>1.01</v>
      </c>
      <c r="G349">
        <v>0.04</v>
      </c>
      <c r="H349">
        <v>0.94</v>
      </c>
      <c r="I349">
        <v>1.03</v>
      </c>
      <c r="J349">
        <v>0.96</v>
      </c>
      <c r="K349">
        <v>1.03</v>
      </c>
      <c r="L349" t="s">
        <v>8</v>
      </c>
      <c r="M349" t="s">
        <v>73</v>
      </c>
    </row>
    <row r="350" spans="1:13" x14ac:dyDescent="0.45">
      <c r="A350" t="s">
        <v>7</v>
      </c>
      <c r="B350" t="s">
        <v>75</v>
      </c>
      <c r="C350">
        <v>2035</v>
      </c>
      <c r="D350">
        <v>8</v>
      </c>
      <c r="E350">
        <v>1.1299999999999999</v>
      </c>
      <c r="F350">
        <v>1.1200000000000001</v>
      </c>
      <c r="G350">
        <v>7.0000000000000007E-2</v>
      </c>
      <c r="H350">
        <v>1.04</v>
      </c>
      <c r="I350">
        <v>1.25</v>
      </c>
      <c r="J350">
        <v>1.08</v>
      </c>
      <c r="K350">
        <v>1.17</v>
      </c>
      <c r="L350" t="s">
        <v>8</v>
      </c>
      <c r="M350" t="s">
        <v>73</v>
      </c>
    </row>
    <row r="351" spans="1:13" x14ac:dyDescent="0.45">
      <c r="A351" t="s">
        <v>7</v>
      </c>
      <c r="B351" t="s">
        <v>75</v>
      </c>
      <c r="C351">
        <v>2040</v>
      </c>
      <c r="D351">
        <v>8</v>
      </c>
      <c r="E351">
        <v>1.1000000000000001</v>
      </c>
      <c r="F351">
        <v>1.06</v>
      </c>
      <c r="G351">
        <v>0.09</v>
      </c>
      <c r="H351">
        <v>1.01</v>
      </c>
      <c r="I351">
        <v>1.28</v>
      </c>
      <c r="J351">
        <v>1.05</v>
      </c>
      <c r="K351">
        <v>1.1200000000000001</v>
      </c>
      <c r="L351" t="s">
        <v>8</v>
      </c>
      <c r="M351" t="s">
        <v>73</v>
      </c>
    </row>
    <row r="352" spans="1:13" x14ac:dyDescent="0.45">
      <c r="A352" t="s">
        <v>7</v>
      </c>
      <c r="B352" t="s">
        <v>75</v>
      </c>
      <c r="C352">
        <v>2045</v>
      </c>
      <c r="D352">
        <v>8</v>
      </c>
      <c r="E352">
        <v>1.21</v>
      </c>
      <c r="F352">
        <v>1.22</v>
      </c>
      <c r="G352">
        <v>0.13</v>
      </c>
      <c r="H352">
        <v>1.01</v>
      </c>
      <c r="I352">
        <v>1.38</v>
      </c>
      <c r="J352">
        <v>1.1299999999999999</v>
      </c>
      <c r="K352">
        <v>1.3</v>
      </c>
      <c r="L352" t="s">
        <v>8</v>
      </c>
      <c r="M352" t="s">
        <v>73</v>
      </c>
    </row>
    <row r="353" spans="1:13" x14ac:dyDescent="0.45">
      <c r="A353" t="s">
        <v>7</v>
      </c>
      <c r="B353" t="s">
        <v>75</v>
      </c>
      <c r="C353">
        <v>2050</v>
      </c>
      <c r="D353">
        <v>8</v>
      </c>
      <c r="E353">
        <v>1.55</v>
      </c>
      <c r="F353">
        <v>1.5</v>
      </c>
      <c r="G353">
        <v>0.2</v>
      </c>
      <c r="H353">
        <v>1.31</v>
      </c>
      <c r="I353">
        <v>1.89</v>
      </c>
      <c r="J353">
        <v>1.42</v>
      </c>
      <c r="K353">
        <v>1.66</v>
      </c>
      <c r="L353" t="s">
        <v>8</v>
      </c>
      <c r="M353" t="s">
        <v>73</v>
      </c>
    </row>
    <row r="354" spans="1:13" x14ac:dyDescent="0.45">
      <c r="A354" t="s">
        <v>9</v>
      </c>
      <c r="B354" t="s">
        <v>75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75</v>
      </c>
      <c r="C355">
        <v>2025</v>
      </c>
      <c r="D355">
        <v>7</v>
      </c>
      <c r="E355">
        <v>1.07</v>
      </c>
      <c r="F355">
        <v>1.01</v>
      </c>
      <c r="G355">
        <v>0.11</v>
      </c>
      <c r="H355">
        <v>1.01</v>
      </c>
      <c r="I355">
        <v>1.28</v>
      </c>
      <c r="J355">
        <v>1.01</v>
      </c>
      <c r="K355">
        <v>1.08</v>
      </c>
      <c r="L355" t="s">
        <v>10</v>
      </c>
      <c r="M355" t="s">
        <v>73</v>
      </c>
    </row>
    <row r="356" spans="1:13" x14ac:dyDescent="0.45">
      <c r="A356" t="s">
        <v>9</v>
      </c>
      <c r="B356" t="s">
        <v>75</v>
      </c>
      <c r="C356">
        <v>2030</v>
      </c>
      <c r="D356">
        <v>7</v>
      </c>
      <c r="E356">
        <v>0.99</v>
      </c>
      <c r="F356">
        <v>0.99</v>
      </c>
      <c r="G356">
        <v>0.05</v>
      </c>
      <c r="H356">
        <v>0.89</v>
      </c>
      <c r="I356">
        <v>1.05</v>
      </c>
      <c r="J356">
        <v>0.98</v>
      </c>
      <c r="K356">
        <v>1.01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75</v>
      </c>
      <c r="C357">
        <v>2035</v>
      </c>
      <c r="D357">
        <v>7</v>
      </c>
      <c r="E357">
        <v>0.96</v>
      </c>
      <c r="F357">
        <v>0.97</v>
      </c>
      <c r="G357">
        <v>0.11</v>
      </c>
      <c r="H357">
        <v>0.74</v>
      </c>
      <c r="I357">
        <v>1.1000000000000001</v>
      </c>
      <c r="J357">
        <v>0.95</v>
      </c>
      <c r="K357">
        <v>1</v>
      </c>
      <c r="L357" t="s">
        <v>10</v>
      </c>
      <c r="M357" t="s">
        <v>73</v>
      </c>
    </row>
    <row r="358" spans="1:13" x14ac:dyDescent="0.45">
      <c r="A358" t="s">
        <v>9</v>
      </c>
      <c r="B358" t="s">
        <v>75</v>
      </c>
      <c r="C358">
        <v>2040</v>
      </c>
      <c r="D358">
        <v>7</v>
      </c>
      <c r="E358">
        <v>0.89</v>
      </c>
      <c r="F358">
        <v>0.92</v>
      </c>
      <c r="G358">
        <v>0.12</v>
      </c>
      <c r="H358">
        <v>0.63</v>
      </c>
      <c r="I358">
        <v>0.98</v>
      </c>
      <c r="J358">
        <v>0.9</v>
      </c>
      <c r="K358">
        <v>0.97</v>
      </c>
      <c r="L358" t="s">
        <v>10</v>
      </c>
      <c r="M358" t="s">
        <v>73</v>
      </c>
    </row>
    <row r="359" spans="1:13" x14ac:dyDescent="0.45">
      <c r="A359" t="s">
        <v>9</v>
      </c>
      <c r="B359" t="s">
        <v>75</v>
      </c>
      <c r="C359">
        <v>2045</v>
      </c>
      <c r="D359">
        <v>7</v>
      </c>
      <c r="E359">
        <v>0.93</v>
      </c>
      <c r="F359">
        <v>0.95</v>
      </c>
      <c r="G359">
        <v>0.1</v>
      </c>
      <c r="H359">
        <v>0.77</v>
      </c>
      <c r="I359">
        <v>1.05</v>
      </c>
      <c r="J359">
        <v>0.86</v>
      </c>
      <c r="K359">
        <v>1.01</v>
      </c>
      <c r="L359" t="s">
        <v>10</v>
      </c>
      <c r="M359" t="s">
        <v>73</v>
      </c>
    </row>
    <row r="360" spans="1:13" x14ac:dyDescent="0.45">
      <c r="A360" t="s">
        <v>9</v>
      </c>
      <c r="B360" t="s">
        <v>75</v>
      </c>
      <c r="C360">
        <v>2050</v>
      </c>
      <c r="D360">
        <v>7</v>
      </c>
      <c r="E360">
        <v>1</v>
      </c>
      <c r="F360">
        <v>1.02</v>
      </c>
      <c r="G360">
        <v>0.15</v>
      </c>
      <c r="H360">
        <v>0.83</v>
      </c>
      <c r="I360">
        <v>1.21</v>
      </c>
      <c r="J360">
        <v>0.86</v>
      </c>
      <c r="K360">
        <v>1.1000000000000001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Q24"/>
  <sheetViews>
    <sheetView workbookViewId="0">
      <selection activeCell="H21" sqref="H21"/>
    </sheetView>
  </sheetViews>
  <sheetFormatPr defaultRowHeight="14.25" x14ac:dyDescent="0.45"/>
  <sheetData>
    <row r="10" spans="1:43" x14ac:dyDescent="0.45">
      <c r="A10" t="str">
        <f>IFERROR(Veda!D5,"ts_12t")</f>
        <v>ts_annual</v>
      </c>
      <c r="B10" s="15"/>
      <c r="C10" s="15" t="s">
        <v>422</v>
      </c>
      <c r="D10" t="s">
        <v>104</v>
      </c>
      <c r="F10" t="s">
        <v>422</v>
      </c>
      <c r="G10" t="s">
        <v>105</v>
      </c>
      <c r="I10" t="s">
        <v>422</v>
      </c>
      <c r="J10" t="s">
        <v>108</v>
      </c>
      <c r="L10" t="s">
        <v>422</v>
      </c>
      <c r="M10" t="s">
        <v>106</v>
      </c>
      <c r="O10" t="s">
        <v>422</v>
      </c>
      <c r="P10" t="s">
        <v>107</v>
      </c>
      <c r="R10" t="s">
        <v>422</v>
      </c>
      <c r="S10" t="s">
        <v>127</v>
      </c>
      <c r="U10" t="s">
        <v>422</v>
      </c>
      <c r="V10" t="s">
        <v>128</v>
      </c>
      <c r="X10" t="s">
        <v>422</v>
      </c>
      <c r="Y10" t="s">
        <v>129</v>
      </c>
      <c r="AA10" t="s">
        <v>422</v>
      </c>
      <c r="AB10" t="s">
        <v>130</v>
      </c>
      <c r="AD10" t="s">
        <v>422</v>
      </c>
      <c r="AE10" t="s">
        <v>131</v>
      </c>
      <c r="AG10" t="s">
        <v>422</v>
      </c>
      <c r="AH10" t="s">
        <v>132</v>
      </c>
      <c r="AJ10" t="s">
        <v>422</v>
      </c>
      <c r="AK10" t="s">
        <v>133</v>
      </c>
      <c r="AM10" t="s">
        <v>422</v>
      </c>
      <c r="AN10" t="s">
        <v>109</v>
      </c>
      <c r="AP10" t="s">
        <v>422</v>
      </c>
      <c r="AQ10" t="s">
        <v>134</v>
      </c>
    </row>
    <row r="11" spans="1:43" x14ac:dyDescent="0.45">
      <c r="B11" s="15"/>
      <c r="C11" s="15" t="s">
        <v>423</v>
      </c>
      <c r="D11" t="s">
        <v>424</v>
      </c>
      <c r="F11" t="s">
        <v>423</v>
      </c>
      <c r="G11" t="s">
        <v>796</v>
      </c>
      <c r="I11" t="s">
        <v>423</v>
      </c>
      <c r="J11" t="s">
        <v>1308</v>
      </c>
      <c r="L11" t="s">
        <v>423</v>
      </c>
      <c r="M11" t="s">
        <v>1862</v>
      </c>
      <c r="O11" t="s">
        <v>423</v>
      </c>
      <c r="P11" t="s">
        <v>1888</v>
      </c>
      <c r="R11" t="s">
        <v>423</v>
      </c>
      <c r="S11" t="s">
        <v>1891</v>
      </c>
      <c r="U11" t="s">
        <v>423</v>
      </c>
      <c r="V11" t="s">
        <v>1893</v>
      </c>
      <c r="X11" t="s">
        <v>423</v>
      </c>
      <c r="Y11" t="s">
        <v>1896</v>
      </c>
      <c r="AA11" t="s">
        <v>423</v>
      </c>
      <c r="AB11" t="s">
        <v>1898</v>
      </c>
      <c r="AD11" t="s">
        <v>423</v>
      </c>
      <c r="AE11" t="s">
        <v>1900</v>
      </c>
      <c r="AG11" t="s">
        <v>423</v>
      </c>
      <c r="AH11" t="s">
        <v>1902</v>
      </c>
      <c r="AJ11" t="s">
        <v>423</v>
      </c>
      <c r="AK11" t="s">
        <v>1904</v>
      </c>
      <c r="AM11" t="s">
        <v>423</v>
      </c>
      <c r="AN11" t="s">
        <v>1908</v>
      </c>
      <c r="AP11" t="s">
        <v>423</v>
      </c>
      <c r="AQ11" t="s">
        <v>1927</v>
      </c>
    </row>
    <row r="12" spans="1:43" x14ac:dyDescent="0.45">
      <c r="B12" s="15"/>
      <c r="C12" s="15" t="s">
        <v>425</v>
      </c>
      <c r="D12" t="s">
        <v>426</v>
      </c>
      <c r="F12" t="s">
        <v>425</v>
      </c>
      <c r="G12" t="s">
        <v>797</v>
      </c>
      <c r="I12" t="s">
        <v>425</v>
      </c>
      <c r="J12" t="s">
        <v>1309</v>
      </c>
      <c r="L12" t="s">
        <v>425</v>
      </c>
      <c r="M12" t="s">
        <v>1863</v>
      </c>
      <c r="O12" t="s">
        <v>425</v>
      </c>
      <c r="P12" t="s">
        <v>1889</v>
      </c>
      <c r="R12" t="s">
        <v>425</v>
      </c>
      <c r="S12" t="s">
        <v>1892</v>
      </c>
      <c r="U12" t="s">
        <v>425</v>
      </c>
      <c r="V12" t="s">
        <v>1894</v>
      </c>
      <c r="X12" t="s">
        <v>425</v>
      </c>
      <c r="Y12" t="s">
        <v>1897</v>
      </c>
      <c r="AA12" t="s">
        <v>425</v>
      </c>
      <c r="AB12" t="s">
        <v>1899</v>
      </c>
      <c r="AD12" t="s">
        <v>425</v>
      </c>
      <c r="AE12" t="s">
        <v>1901</v>
      </c>
      <c r="AG12" t="s">
        <v>425</v>
      </c>
      <c r="AH12" t="s">
        <v>1903</v>
      </c>
      <c r="AJ12" t="s">
        <v>425</v>
      </c>
      <c r="AK12" t="s">
        <v>1905</v>
      </c>
      <c r="AM12" t="s">
        <v>425</v>
      </c>
      <c r="AN12" t="s">
        <v>1908</v>
      </c>
      <c r="AP12" t="s">
        <v>425</v>
      </c>
      <c r="AQ12" t="s">
        <v>1928</v>
      </c>
    </row>
    <row r="17" spans="3:13" x14ac:dyDescent="0.45">
      <c r="I17" s="12">
        <v>0.75</v>
      </c>
      <c r="K17" s="2" t="s">
        <v>87</v>
      </c>
    </row>
    <row r="18" spans="3:13" ht="17.649999999999999" thickBot="1" x14ac:dyDescent="0.6">
      <c r="C18" s="13" t="s">
        <v>88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89</v>
      </c>
      <c r="D22" s="14" t="s">
        <v>90</v>
      </c>
      <c r="E22" s="14" t="s">
        <v>91</v>
      </c>
      <c r="F22" s="14" t="s">
        <v>92</v>
      </c>
      <c r="G22" s="14" t="s">
        <v>93</v>
      </c>
      <c r="H22" s="14" t="s">
        <v>94</v>
      </c>
      <c r="I22" s="14" t="s">
        <v>95</v>
      </c>
      <c r="J22" s="14" t="s">
        <v>96</v>
      </c>
      <c r="K22" s="14" t="s">
        <v>97</v>
      </c>
    </row>
    <row r="23" spans="3:13" x14ac:dyDescent="0.45">
      <c r="C23" t="s">
        <v>98</v>
      </c>
      <c r="D23" t="s">
        <v>99</v>
      </c>
      <c r="E23" t="str">
        <f>G23</f>
        <v>AuxStoIN</v>
      </c>
      <c r="F23" t="s">
        <v>100</v>
      </c>
      <c r="G23" t="s">
        <v>101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102</v>
      </c>
    </row>
    <row r="24" spans="3:13" x14ac:dyDescent="0.45">
      <c r="D24" t="s">
        <v>99</v>
      </c>
      <c r="E24" t="str">
        <f>G24</f>
        <v>AuxStoIN</v>
      </c>
      <c r="F24" t="s">
        <v>100</v>
      </c>
      <c r="G24" t="s">
        <v>101</v>
      </c>
      <c r="H24" t="str">
        <f>HLOOKUP($A$10,$D$10:$CU$12,2,FALSE)</f>
        <v>AllSaAllH</v>
      </c>
      <c r="I24">
        <f>-$I$17</f>
        <v>-0.75</v>
      </c>
      <c r="M24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F5E1-116A-45F5-8C5D-DDD2D94A92D1}">
  <dimension ref="A9:AN34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104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124</v>
      </c>
      <c r="K10" t="s">
        <v>248</v>
      </c>
      <c r="L10" t="s">
        <v>30</v>
      </c>
      <c r="N10" t="s">
        <v>13</v>
      </c>
      <c r="O10" t="s">
        <v>124</v>
      </c>
      <c r="P10" t="s">
        <v>248</v>
      </c>
      <c r="Q10" t="s">
        <v>30</v>
      </c>
      <c r="S10" t="s">
        <v>13</v>
      </c>
      <c r="T10" t="s">
        <v>124</v>
      </c>
      <c r="U10" t="s">
        <v>248</v>
      </c>
      <c r="V10" t="s">
        <v>30</v>
      </c>
      <c r="X10" t="s">
        <v>421</v>
      </c>
      <c r="Y10" t="s">
        <v>248</v>
      </c>
      <c r="Z10" t="s">
        <v>124</v>
      </c>
      <c r="AA10" t="s">
        <v>13</v>
      </c>
      <c r="AC10" t="s">
        <v>13</v>
      </c>
      <c r="AD10" t="s">
        <v>124</v>
      </c>
      <c r="AE10" t="s">
        <v>248</v>
      </c>
      <c r="AG10" t="s">
        <v>13</v>
      </c>
      <c r="AH10" t="s">
        <v>124</v>
      </c>
      <c r="AI10" t="s">
        <v>427</v>
      </c>
      <c r="AK10" t="s">
        <v>47</v>
      </c>
      <c r="AL10" t="s">
        <v>124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153</v>
      </c>
      <c r="F11" t="s">
        <v>154</v>
      </c>
      <c r="G11" t="s">
        <v>155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3.2023983738383797E-2</v>
      </c>
      <c r="Q11" t="s">
        <v>251</v>
      </c>
      <c r="S11" t="s">
        <v>420</v>
      </c>
      <c r="T11" t="s">
        <v>250</v>
      </c>
      <c r="U11">
        <v>1.7877727916413823E-2</v>
      </c>
      <c r="V11" t="s">
        <v>251</v>
      </c>
      <c r="X11">
        <v>2.1232876712328767E-2</v>
      </c>
      <c r="Y11">
        <v>4.5420116185598634E-3</v>
      </c>
      <c r="Z11" t="s">
        <v>250</v>
      </c>
      <c r="AA11" t="s">
        <v>25</v>
      </c>
      <c r="AC11" t="s">
        <v>22</v>
      </c>
      <c r="AD11" t="s">
        <v>250</v>
      </c>
      <c r="AE11">
        <v>2.5333277982719261E-2</v>
      </c>
      <c r="AG11" t="s">
        <v>99</v>
      </c>
      <c r="AH11" t="s">
        <v>250</v>
      </c>
      <c r="AI11">
        <v>0.14041549864646474</v>
      </c>
    </row>
    <row r="12" spans="1:40" x14ac:dyDescent="0.45">
      <c r="C12" t="s">
        <v>156</v>
      </c>
      <c r="D12" t="s">
        <v>155</v>
      </c>
      <c r="E12" t="s">
        <v>157</v>
      </c>
      <c r="F12" t="s">
        <v>158</v>
      </c>
      <c r="G12" t="s">
        <v>155</v>
      </c>
      <c r="I12" t="s">
        <v>249</v>
      </c>
      <c r="J12" t="s">
        <v>252</v>
      </c>
      <c r="K12">
        <v>2.1566995796228287E-3</v>
      </c>
      <c r="L12" t="s">
        <v>251</v>
      </c>
      <c r="N12" t="s">
        <v>419</v>
      </c>
      <c r="O12" t="s">
        <v>252</v>
      </c>
      <c r="P12">
        <v>4.6753520212145542E-3</v>
      </c>
      <c r="Q12" t="s">
        <v>251</v>
      </c>
      <c r="S12" t="s">
        <v>420</v>
      </c>
      <c r="T12" t="s">
        <v>252</v>
      </c>
      <c r="U12">
        <v>2.9400777924750939E-3</v>
      </c>
      <c r="V12" t="s">
        <v>251</v>
      </c>
      <c r="X12">
        <v>3.5388127853881279E-3</v>
      </c>
      <c r="Y12">
        <v>5.240782636799844E-3</v>
      </c>
      <c r="Z12" t="s">
        <v>252</v>
      </c>
      <c r="AA12" t="s">
        <v>25</v>
      </c>
      <c r="AC12" t="s">
        <v>22</v>
      </c>
      <c r="AD12" t="s">
        <v>252</v>
      </c>
      <c r="AE12">
        <v>4.2213820286558E-3</v>
      </c>
      <c r="AG12" t="s">
        <v>99</v>
      </c>
      <c r="AH12" t="s">
        <v>252</v>
      </c>
      <c r="AI12">
        <v>0.10695568022603918</v>
      </c>
    </row>
    <row r="13" spans="1:40" x14ac:dyDescent="0.45">
      <c r="C13" t="s">
        <v>159</v>
      </c>
      <c r="D13" t="s">
        <v>160</v>
      </c>
      <c r="E13" t="s">
        <v>161</v>
      </c>
      <c r="F13" t="s">
        <v>162</v>
      </c>
      <c r="G13" t="s">
        <v>155</v>
      </c>
      <c r="I13" t="s">
        <v>249</v>
      </c>
      <c r="J13" t="s">
        <v>253</v>
      </c>
      <c r="K13">
        <v>5.7351265280208997E-3</v>
      </c>
      <c r="L13" t="s">
        <v>251</v>
      </c>
      <c r="N13" t="s">
        <v>419</v>
      </c>
      <c r="O13" t="s">
        <v>253</v>
      </c>
      <c r="P13">
        <v>4.1117343163884672E-3</v>
      </c>
      <c r="Q13" t="s">
        <v>251</v>
      </c>
      <c r="S13" t="s">
        <v>420</v>
      </c>
      <c r="T13" t="s">
        <v>253</v>
      </c>
      <c r="U13">
        <v>2.9873619792351001E-3</v>
      </c>
      <c r="V13" t="s">
        <v>251</v>
      </c>
      <c r="X13">
        <v>3.5388127853881279E-3</v>
      </c>
      <c r="Y13">
        <v>5.9087255218821738E-3</v>
      </c>
      <c r="Z13" t="s">
        <v>253</v>
      </c>
      <c r="AA13" t="s">
        <v>25</v>
      </c>
      <c r="AC13" t="s">
        <v>22</v>
      </c>
      <c r="AD13" t="s">
        <v>253</v>
      </c>
      <c r="AE13">
        <v>4.1846049727618205E-3</v>
      </c>
      <c r="AG13" t="s">
        <v>99</v>
      </c>
      <c r="AH13" t="s">
        <v>253</v>
      </c>
      <c r="AI13">
        <v>0.10918176237600519</v>
      </c>
    </row>
    <row r="14" spans="1:40" x14ac:dyDescent="0.45">
      <c r="C14" t="s">
        <v>163</v>
      </c>
      <c r="D14" t="s">
        <v>164</v>
      </c>
      <c r="E14" t="s">
        <v>165</v>
      </c>
      <c r="F14" t="s">
        <v>162</v>
      </c>
      <c r="G14" t="s">
        <v>155</v>
      </c>
      <c r="I14" t="s">
        <v>249</v>
      </c>
      <c r="J14" t="s">
        <v>254</v>
      </c>
      <c r="K14">
        <v>5.6741174349457101E-2</v>
      </c>
      <c r="L14" t="s">
        <v>251</v>
      </c>
      <c r="N14" t="s">
        <v>419</v>
      </c>
      <c r="O14" t="s">
        <v>254</v>
      </c>
      <c r="P14">
        <v>1.8148492540508484E-2</v>
      </c>
      <c r="Q14" t="s">
        <v>251</v>
      </c>
      <c r="S14" t="s">
        <v>420</v>
      </c>
      <c r="T14" t="s">
        <v>254</v>
      </c>
      <c r="U14">
        <v>1.9091430054603994E-2</v>
      </c>
      <c r="V14" t="s">
        <v>251</v>
      </c>
      <c r="X14">
        <v>2.1232876712328767E-2</v>
      </c>
      <c r="Y14">
        <v>2.6758819580836844E-2</v>
      </c>
      <c r="Z14" t="s">
        <v>254</v>
      </c>
      <c r="AA14" t="s">
        <v>25</v>
      </c>
      <c r="AC14" t="s">
        <v>22</v>
      </c>
      <c r="AD14" t="s">
        <v>254</v>
      </c>
      <c r="AE14">
        <v>2.3058390122999334E-2</v>
      </c>
      <c r="AG14" t="s">
        <v>99</v>
      </c>
      <c r="AH14" t="s">
        <v>254</v>
      </c>
      <c r="AI14">
        <v>0.17850472951247887</v>
      </c>
    </row>
    <row r="15" spans="1:40" x14ac:dyDescent="0.45">
      <c r="C15" t="s">
        <v>166</v>
      </c>
      <c r="E15" t="s">
        <v>167</v>
      </c>
      <c r="G15" t="s">
        <v>155</v>
      </c>
      <c r="I15" t="s">
        <v>249</v>
      </c>
      <c r="J15" t="s">
        <v>255</v>
      </c>
      <c r="K15">
        <v>2.6611029620498401E-2</v>
      </c>
      <c r="L15" t="s">
        <v>251</v>
      </c>
      <c r="N15" t="s">
        <v>419</v>
      </c>
      <c r="O15" t="s">
        <v>255</v>
      </c>
      <c r="P15">
        <v>8.3608854468542309E-3</v>
      </c>
      <c r="Q15" t="s">
        <v>251</v>
      </c>
      <c r="S15" t="s">
        <v>420</v>
      </c>
      <c r="T15" t="s">
        <v>255</v>
      </c>
      <c r="U15">
        <v>1.057631646936439E-2</v>
      </c>
      <c r="V15" t="s">
        <v>251</v>
      </c>
      <c r="X15">
        <v>1.0616438356164383E-2</v>
      </c>
      <c r="Y15">
        <v>1.6893816970390073E-2</v>
      </c>
      <c r="Z15" t="s">
        <v>255</v>
      </c>
      <c r="AA15" t="s">
        <v>25</v>
      </c>
      <c r="AC15" t="s">
        <v>22</v>
      </c>
      <c r="AD15" t="s">
        <v>255</v>
      </c>
      <c r="AE15">
        <v>8.2765194171414147E-3</v>
      </c>
      <c r="AG15" t="s">
        <v>99</v>
      </c>
      <c r="AH15" t="s">
        <v>255</v>
      </c>
      <c r="AI15">
        <v>0.11116120742126734</v>
      </c>
    </row>
    <row r="16" spans="1:40" x14ac:dyDescent="0.45">
      <c r="C16" t="s">
        <v>158</v>
      </c>
      <c r="E16" t="s">
        <v>168</v>
      </c>
      <c r="G16" t="s">
        <v>155</v>
      </c>
      <c r="I16" t="s">
        <v>249</v>
      </c>
      <c r="J16" t="s">
        <v>256</v>
      </c>
      <c r="K16">
        <v>6.8186755141492004E-3</v>
      </c>
      <c r="L16" t="s">
        <v>251</v>
      </c>
      <c r="N16" t="s">
        <v>419</v>
      </c>
      <c r="O16" t="s">
        <v>256</v>
      </c>
      <c r="P16">
        <v>3.4758049043377842E-3</v>
      </c>
      <c r="Q16" t="s">
        <v>251</v>
      </c>
      <c r="S16" t="s">
        <v>420</v>
      </c>
      <c r="T16" t="s">
        <v>256</v>
      </c>
      <c r="U16">
        <v>3.6162519572219168E-3</v>
      </c>
      <c r="V16" t="s">
        <v>251</v>
      </c>
      <c r="X16">
        <v>3.5388127853881279E-3</v>
      </c>
      <c r="Y16">
        <v>6.8849497385409693E-3</v>
      </c>
      <c r="Z16" t="s">
        <v>256</v>
      </c>
      <c r="AA16" t="s">
        <v>25</v>
      </c>
      <c r="AC16" t="s">
        <v>22</v>
      </c>
      <c r="AD16" t="s">
        <v>256</v>
      </c>
      <c r="AE16">
        <v>2.6039599917713476E-3</v>
      </c>
      <c r="AG16" t="s">
        <v>99</v>
      </c>
      <c r="AH16" t="s">
        <v>256</v>
      </c>
      <c r="AI16">
        <v>9.0743392615567409E-2</v>
      </c>
    </row>
    <row r="17" spans="3:35" x14ac:dyDescent="0.45">
      <c r="C17" t="s">
        <v>169</v>
      </c>
      <c r="E17" t="s">
        <v>170</v>
      </c>
      <c r="G17" t="s">
        <v>155</v>
      </c>
      <c r="I17" t="s">
        <v>249</v>
      </c>
      <c r="J17" t="s">
        <v>257</v>
      </c>
      <c r="K17">
        <v>4.8522002634973837E-3</v>
      </c>
      <c r="L17" t="s">
        <v>251</v>
      </c>
      <c r="N17" t="s">
        <v>419</v>
      </c>
      <c r="O17" t="s">
        <v>257</v>
      </c>
      <c r="P17">
        <v>3.7771415098806268E-3</v>
      </c>
      <c r="Q17" t="s">
        <v>251</v>
      </c>
      <c r="S17" t="s">
        <v>420</v>
      </c>
      <c r="T17" t="s">
        <v>257</v>
      </c>
      <c r="U17">
        <v>3.5228871449100416E-3</v>
      </c>
      <c r="V17" t="s">
        <v>251</v>
      </c>
      <c r="X17">
        <v>3.5388127853881279E-3</v>
      </c>
      <c r="Y17">
        <v>5.3435430806586613E-3</v>
      </c>
      <c r="Z17" t="s">
        <v>257</v>
      </c>
      <c r="AA17" t="s">
        <v>25</v>
      </c>
      <c r="AC17" t="s">
        <v>22</v>
      </c>
      <c r="AD17" t="s">
        <v>257</v>
      </c>
      <c r="AE17">
        <v>2.61882807267698E-3</v>
      </c>
      <c r="AG17" t="s">
        <v>99</v>
      </c>
      <c r="AH17" t="s">
        <v>257</v>
      </c>
      <c r="AI17">
        <v>0.1011496097588569</v>
      </c>
    </row>
    <row r="18" spans="3:35" x14ac:dyDescent="0.45">
      <c r="C18" t="s">
        <v>171</v>
      </c>
      <c r="E18" t="s">
        <v>172</v>
      </c>
      <c r="G18" t="s">
        <v>155</v>
      </c>
      <c r="I18" t="s">
        <v>249</v>
      </c>
      <c r="J18" t="s">
        <v>258</v>
      </c>
      <c r="K18">
        <v>1.6361687235408717E-3</v>
      </c>
      <c r="L18" t="s">
        <v>251</v>
      </c>
      <c r="N18" t="s">
        <v>419</v>
      </c>
      <c r="O18" t="s">
        <v>258</v>
      </c>
      <c r="P18">
        <v>2.4660282460977644E-2</v>
      </c>
      <c r="Q18" t="s">
        <v>251</v>
      </c>
      <c r="S18" t="s">
        <v>420</v>
      </c>
      <c r="T18" t="s">
        <v>258</v>
      </c>
      <c r="U18">
        <v>1.5757336683578368E-2</v>
      </c>
      <c r="V18" t="s">
        <v>251</v>
      </c>
      <c r="X18">
        <v>1.7694063926940638E-2</v>
      </c>
      <c r="Y18">
        <v>1.3358857701646654E-2</v>
      </c>
      <c r="Z18" t="s">
        <v>258</v>
      </c>
      <c r="AA18" t="s">
        <v>25</v>
      </c>
      <c r="AC18" t="s">
        <v>22</v>
      </c>
      <c r="AD18" t="s">
        <v>258</v>
      </c>
      <c r="AE18">
        <v>1.7530475484761106E-2</v>
      </c>
      <c r="AG18" t="s">
        <v>99</v>
      </c>
      <c r="AH18" t="s">
        <v>258</v>
      </c>
      <c r="AI18">
        <v>0.18108104719035567</v>
      </c>
    </row>
    <row r="19" spans="3:35" x14ac:dyDescent="0.45">
      <c r="C19" t="s">
        <v>162</v>
      </c>
      <c r="E19" t="s">
        <v>173</v>
      </c>
      <c r="G19" t="s">
        <v>155</v>
      </c>
      <c r="I19" t="s">
        <v>249</v>
      </c>
      <c r="J19" t="s">
        <v>259</v>
      </c>
      <c r="K19">
        <v>0</v>
      </c>
      <c r="L19" t="s">
        <v>251</v>
      </c>
      <c r="N19" t="s">
        <v>419</v>
      </c>
      <c r="O19" t="s">
        <v>259</v>
      </c>
      <c r="P19">
        <v>2.6859085503510967E-2</v>
      </c>
      <c r="Q19" t="s">
        <v>251</v>
      </c>
      <c r="S19" t="s">
        <v>420</v>
      </c>
      <c r="T19" t="s">
        <v>259</v>
      </c>
      <c r="U19">
        <v>1.5570388743208208E-2</v>
      </c>
      <c r="V19" t="s">
        <v>251</v>
      </c>
      <c r="X19">
        <v>1.9178082191780823E-2</v>
      </c>
      <c r="Y19">
        <v>4.1024621070863279E-3</v>
      </c>
      <c r="Z19" t="s">
        <v>259</v>
      </c>
      <c r="AA19" t="s">
        <v>25</v>
      </c>
      <c r="AC19" t="s">
        <v>22</v>
      </c>
      <c r="AD19" t="s">
        <v>259</v>
      </c>
      <c r="AE19">
        <v>2.161888624949352E-2</v>
      </c>
      <c r="AG19" t="s">
        <v>99</v>
      </c>
      <c r="AH19" t="s">
        <v>259</v>
      </c>
      <c r="AI19">
        <v>6.725101334592587E-2</v>
      </c>
    </row>
    <row r="20" spans="3:35" x14ac:dyDescent="0.45">
      <c r="C20" t="s">
        <v>174</v>
      </c>
      <c r="E20" t="s">
        <v>175</v>
      </c>
      <c r="G20" t="s">
        <v>155</v>
      </c>
      <c r="I20" t="s">
        <v>249</v>
      </c>
      <c r="J20" t="s">
        <v>260</v>
      </c>
      <c r="K20">
        <v>1.339658701922193E-3</v>
      </c>
      <c r="L20" t="s">
        <v>251</v>
      </c>
      <c r="N20" t="s">
        <v>419</v>
      </c>
      <c r="O20" t="s">
        <v>260</v>
      </c>
      <c r="P20">
        <v>3.8927029331353872E-3</v>
      </c>
      <c r="Q20" t="s">
        <v>251</v>
      </c>
      <c r="S20" t="s">
        <v>420</v>
      </c>
      <c r="T20" t="s">
        <v>260</v>
      </c>
      <c r="U20">
        <v>2.5524247052464877E-3</v>
      </c>
      <c r="V20" t="s">
        <v>251</v>
      </c>
      <c r="X20">
        <v>3.1963470319634705E-3</v>
      </c>
      <c r="Y20">
        <v>4.7336101235611484E-3</v>
      </c>
      <c r="Z20" t="s">
        <v>260</v>
      </c>
      <c r="AA20" t="s">
        <v>25</v>
      </c>
      <c r="AC20" t="s">
        <v>22</v>
      </c>
      <c r="AD20" t="s">
        <v>260</v>
      </c>
      <c r="AE20">
        <v>3.6358344534236685E-3</v>
      </c>
      <c r="AG20" t="s">
        <v>99</v>
      </c>
      <c r="AH20" t="s">
        <v>260</v>
      </c>
      <c r="AI20">
        <v>6.2737773474196734E-2</v>
      </c>
    </row>
    <row r="21" spans="3:35" x14ac:dyDescent="0.45">
      <c r="C21" t="s">
        <v>176</v>
      </c>
      <c r="E21" t="s">
        <v>177</v>
      </c>
      <c r="G21" t="s">
        <v>155</v>
      </c>
      <c r="I21" t="s">
        <v>249</v>
      </c>
      <c r="J21" t="s">
        <v>261</v>
      </c>
      <c r="K21">
        <v>4.4976164179348485E-3</v>
      </c>
      <c r="L21" t="s">
        <v>251</v>
      </c>
      <c r="N21" t="s">
        <v>419</v>
      </c>
      <c r="O21" t="s">
        <v>261</v>
      </c>
      <c r="P21">
        <v>3.4166545041474372E-3</v>
      </c>
      <c r="Q21" t="s">
        <v>251</v>
      </c>
      <c r="S21" t="s">
        <v>420</v>
      </c>
      <c r="T21" t="s">
        <v>261</v>
      </c>
      <c r="U21">
        <v>2.5094079632623409E-3</v>
      </c>
      <c r="V21" t="s">
        <v>251</v>
      </c>
      <c r="X21">
        <v>3.1963470319634705E-3</v>
      </c>
      <c r="Y21">
        <v>5.3369133746032542E-3</v>
      </c>
      <c r="Z21" t="s">
        <v>261</v>
      </c>
      <c r="AA21" t="s">
        <v>25</v>
      </c>
      <c r="AC21" t="s">
        <v>22</v>
      </c>
      <c r="AD21" t="s">
        <v>261</v>
      </c>
      <c r="AE21">
        <v>3.6344703546546822E-3</v>
      </c>
      <c r="AG21" t="s">
        <v>99</v>
      </c>
      <c r="AH21" t="s">
        <v>261</v>
      </c>
      <c r="AI21">
        <v>5.5388514883157214E-2</v>
      </c>
    </row>
    <row r="22" spans="3:35" x14ac:dyDescent="0.45">
      <c r="C22" t="s">
        <v>178</v>
      </c>
      <c r="E22" t="s">
        <v>179</v>
      </c>
      <c r="G22" t="s">
        <v>155</v>
      </c>
      <c r="I22" t="s">
        <v>249</v>
      </c>
      <c r="J22" t="s">
        <v>262</v>
      </c>
      <c r="K22">
        <v>4.7312849365851707E-2</v>
      </c>
      <c r="L22" t="s">
        <v>251</v>
      </c>
      <c r="N22" t="s">
        <v>419</v>
      </c>
      <c r="O22" t="s">
        <v>262</v>
      </c>
      <c r="P22">
        <v>1.5332261546275745E-2</v>
      </c>
      <c r="Q22" t="s">
        <v>251</v>
      </c>
      <c r="S22" t="s">
        <v>420</v>
      </c>
      <c r="T22" t="s">
        <v>262</v>
      </c>
      <c r="U22">
        <v>1.5549107374137295E-2</v>
      </c>
      <c r="V22" t="s">
        <v>251</v>
      </c>
      <c r="X22">
        <v>1.9178082191780823E-2</v>
      </c>
      <c r="Y22">
        <v>2.4169256395594564E-2</v>
      </c>
      <c r="Z22" t="s">
        <v>262</v>
      </c>
      <c r="AA22" t="s">
        <v>25</v>
      </c>
      <c r="AC22" t="s">
        <v>22</v>
      </c>
      <c r="AD22" t="s">
        <v>262</v>
      </c>
      <c r="AE22">
        <v>2.0108209408854633E-2</v>
      </c>
      <c r="AG22" t="s">
        <v>99</v>
      </c>
      <c r="AH22" t="s">
        <v>262</v>
      </c>
      <c r="AI22">
        <v>0.11604443548905641</v>
      </c>
    </row>
    <row r="23" spans="3:35" x14ac:dyDescent="0.45">
      <c r="E23" t="s">
        <v>180</v>
      </c>
      <c r="G23" t="s">
        <v>155</v>
      </c>
      <c r="I23" t="s">
        <v>249</v>
      </c>
      <c r="J23" t="s">
        <v>263</v>
      </c>
      <c r="K23">
        <v>2.1487248563208199E-2</v>
      </c>
      <c r="L23" t="s">
        <v>251</v>
      </c>
      <c r="N23" t="s">
        <v>419</v>
      </c>
      <c r="O23" t="s">
        <v>263</v>
      </c>
      <c r="P23">
        <v>6.9159360614657866E-3</v>
      </c>
      <c r="Q23" t="s">
        <v>251</v>
      </c>
      <c r="S23" t="s">
        <v>420</v>
      </c>
      <c r="T23" t="s">
        <v>263</v>
      </c>
      <c r="U23">
        <v>8.3281989093384225E-3</v>
      </c>
      <c r="V23" t="s">
        <v>251</v>
      </c>
      <c r="X23">
        <v>9.5890410958904115E-3</v>
      </c>
      <c r="Y23">
        <v>1.5258931457126519E-2</v>
      </c>
      <c r="Z23" t="s">
        <v>263</v>
      </c>
      <c r="AA23" t="s">
        <v>25</v>
      </c>
      <c r="AC23" t="s">
        <v>22</v>
      </c>
      <c r="AD23" t="s">
        <v>263</v>
      </c>
      <c r="AE23">
        <v>7.3804323982535015E-3</v>
      </c>
      <c r="AG23" t="s">
        <v>99</v>
      </c>
      <c r="AH23" t="s">
        <v>263</v>
      </c>
      <c r="AI23">
        <v>0.11196228135959285</v>
      </c>
    </row>
    <row r="24" spans="3:35" x14ac:dyDescent="0.45">
      <c r="E24" t="s">
        <v>181</v>
      </c>
      <c r="G24" t="s">
        <v>155</v>
      </c>
      <c r="I24" t="s">
        <v>249</v>
      </c>
      <c r="J24" t="s">
        <v>264</v>
      </c>
      <c r="K24">
        <v>5.3228780119697807E-3</v>
      </c>
      <c r="L24" t="s">
        <v>251</v>
      </c>
      <c r="N24" t="s">
        <v>419</v>
      </c>
      <c r="O24" t="s">
        <v>264</v>
      </c>
      <c r="P24">
        <v>2.8972208796751299E-3</v>
      </c>
      <c r="Q24" t="s">
        <v>251</v>
      </c>
      <c r="S24" t="s">
        <v>420</v>
      </c>
      <c r="T24" t="s">
        <v>264</v>
      </c>
      <c r="U24">
        <v>2.8530080087175195E-3</v>
      </c>
      <c r="V24" t="s">
        <v>251</v>
      </c>
      <c r="X24">
        <v>3.1963470319634705E-3</v>
      </c>
      <c r="Y24">
        <v>6.2186642799724884E-3</v>
      </c>
      <c r="Z24" t="s">
        <v>264</v>
      </c>
      <c r="AA24" t="s">
        <v>25</v>
      </c>
      <c r="AC24" t="s">
        <v>22</v>
      </c>
      <c r="AD24" t="s">
        <v>264</v>
      </c>
      <c r="AE24">
        <v>2.3245185630050126E-3</v>
      </c>
      <c r="AG24" t="s">
        <v>99</v>
      </c>
      <c r="AH24" t="s">
        <v>264</v>
      </c>
      <c r="AI24">
        <v>6.2711363706509315E-2</v>
      </c>
    </row>
    <row r="25" spans="3:35" x14ac:dyDescent="0.45">
      <c r="E25" t="s">
        <v>182</v>
      </c>
      <c r="G25" t="s">
        <v>155</v>
      </c>
      <c r="I25" t="s">
        <v>249</v>
      </c>
      <c r="J25" t="s">
        <v>265</v>
      </c>
      <c r="K25">
        <v>3.6504304492904721E-3</v>
      </c>
      <c r="L25" t="s">
        <v>251</v>
      </c>
      <c r="N25" t="s">
        <v>419</v>
      </c>
      <c r="O25" t="s">
        <v>265</v>
      </c>
      <c r="P25">
        <v>3.1606032717252232E-3</v>
      </c>
      <c r="Q25" t="s">
        <v>251</v>
      </c>
      <c r="S25" t="s">
        <v>420</v>
      </c>
      <c r="T25" t="s">
        <v>265</v>
      </c>
      <c r="U25">
        <v>2.841370638053637E-3</v>
      </c>
      <c r="V25" t="s">
        <v>251</v>
      </c>
      <c r="X25">
        <v>3.1963470319634705E-3</v>
      </c>
      <c r="Y25">
        <v>4.8264260083368555E-3</v>
      </c>
      <c r="Z25" t="s">
        <v>265</v>
      </c>
      <c r="AA25" t="s">
        <v>25</v>
      </c>
      <c r="AC25" t="s">
        <v>22</v>
      </c>
      <c r="AD25" t="s">
        <v>265</v>
      </c>
      <c r="AE25">
        <v>2.3297486010799904E-3</v>
      </c>
      <c r="AG25" t="s">
        <v>99</v>
      </c>
      <c r="AH25" t="s">
        <v>265</v>
      </c>
      <c r="AI25">
        <v>5.8752555846999899E-2</v>
      </c>
    </row>
    <row r="26" spans="3:35" x14ac:dyDescent="0.45">
      <c r="E26" t="s">
        <v>183</v>
      </c>
      <c r="G26" t="s">
        <v>155</v>
      </c>
      <c r="I26" t="s">
        <v>249</v>
      </c>
      <c r="J26" t="s">
        <v>266</v>
      </c>
      <c r="K26">
        <v>1.0742479766925439E-3</v>
      </c>
      <c r="L26" t="s">
        <v>251</v>
      </c>
      <c r="N26" t="s">
        <v>419</v>
      </c>
      <c r="O26" t="s">
        <v>266</v>
      </c>
      <c r="P26">
        <v>2.1056926725522049E-2</v>
      </c>
      <c r="Q26" t="s">
        <v>251</v>
      </c>
      <c r="S26" t="s">
        <v>420</v>
      </c>
      <c r="T26" t="s">
        <v>266</v>
      </c>
      <c r="U26">
        <v>1.3771904585956271E-2</v>
      </c>
      <c r="V26" t="s">
        <v>251</v>
      </c>
      <c r="X26">
        <v>1.5981735159817351E-2</v>
      </c>
      <c r="Y26">
        <v>1.2066065020842141E-2</v>
      </c>
      <c r="Z26" t="s">
        <v>266</v>
      </c>
      <c r="AA26" t="s">
        <v>25</v>
      </c>
      <c r="AC26" t="s">
        <v>22</v>
      </c>
      <c r="AD26" t="s">
        <v>266</v>
      </c>
      <c r="AE26">
        <v>1.5517970444668863E-2</v>
      </c>
      <c r="AG26" t="s">
        <v>99</v>
      </c>
      <c r="AH26" t="s">
        <v>266</v>
      </c>
      <c r="AI26">
        <v>0.15352800830975277</v>
      </c>
    </row>
    <row r="27" spans="3:35" x14ac:dyDescent="0.45">
      <c r="E27" t="s">
        <v>184</v>
      </c>
      <c r="G27" t="s">
        <v>155</v>
      </c>
      <c r="I27" t="s">
        <v>249</v>
      </c>
      <c r="J27" t="s">
        <v>267</v>
      </c>
      <c r="K27">
        <v>0</v>
      </c>
      <c r="L27" t="s">
        <v>251</v>
      </c>
      <c r="N27" t="s">
        <v>419</v>
      </c>
      <c r="O27" t="s">
        <v>267</v>
      </c>
      <c r="P27">
        <v>2.8256257914633733E-2</v>
      </c>
      <c r="Q27" t="s">
        <v>251</v>
      </c>
      <c r="S27" t="s">
        <v>420</v>
      </c>
      <c r="T27" t="s">
        <v>267</v>
      </c>
      <c r="U27">
        <v>1.9682460027021023E-2</v>
      </c>
      <c r="V27" t="s">
        <v>251</v>
      </c>
      <c r="X27">
        <v>2.1232876712328767E-2</v>
      </c>
      <c r="Y27">
        <v>4.5420116185598634E-3</v>
      </c>
      <c r="Z27" t="s">
        <v>267</v>
      </c>
      <c r="AA27" t="s">
        <v>25</v>
      </c>
      <c r="AC27" t="s">
        <v>22</v>
      </c>
      <c r="AD27" t="s">
        <v>267</v>
      </c>
      <c r="AE27">
        <v>2.3711587136367566E-2</v>
      </c>
      <c r="AG27" t="s">
        <v>99</v>
      </c>
      <c r="AH27" t="s">
        <v>267</v>
      </c>
      <c r="AI27">
        <v>0.11638577900886826</v>
      </c>
    </row>
    <row r="28" spans="3:35" x14ac:dyDescent="0.45">
      <c r="E28" t="s">
        <v>185</v>
      </c>
      <c r="G28" t="s">
        <v>155</v>
      </c>
      <c r="I28" t="s">
        <v>249</v>
      </c>
      <c r="J28" t="s">
        <v>268</v>
      </c>
      <c r="K28">
        <v>3.8870564019590214E-4</v>
      </c>
      <c r="L28" t="s">
        <v>251</v>
      </c>
      <c r="N28" t="s">
        <v>419</v>
      </c>
      <c r="O28" t="s">
        <v>268</v>
      </c>
      <c r="P28">
        <v>4.3642596673502199E-3</v>
      </c>
      <c r="Q28" t="s">
        <v>251</v>
      </c>
      <c r="S28" t="s">
        <v>420</v>
      </c>
      <c r="T28" t="s">
        <v>268</v>
      </c>
      <c r="U28">
        <v>3.2677551220692386E-3</v>
      </c>
      <c r="V28" t="s">
        <v>251</v>
      </c>
      <c r="X28">
        <v>3.5388127853881279E-3</v>
      </c>
      <c r="Y28">
        <v>5.240782636799844E-3</v>
      </c>
      <c r="Z28" t="s">
        <v>268</v>
      </c>
      <c r="AA28" t="s">
        <v>25</v>
      </c>
      <c r="AC28" t="s">
        <v>22</v>
      </c>
      <c r="AD28" t="s">
        <v>268</v>
      </c>
      <c r="AE28">
        <v>3.9961661127941236E-3</v>
      </c>
      <c r="AG28" t="s">
        <v>99</v>
      </c>
      <c r="AH28" t="s">
        <v>268</v>
      </c>
      <c r="AI28">
        <v>9.82212681904302E-2</v>
      </c>
    </row>
    <row r="29" spans="3:35" x14ac:dyDescent="0.45">
      <c r="E29" t="s">
        <v>186</v>
      </c>
      <c r="G29" t="s">
        <v>155</v>
      </c>
      <c r="I29" t="s">
        <v>249</v>
      </c>
      <c r="J29" t="s">
        <v>269</v>
      </c>
      <c r="K29">
        <v>4.9796343443622004E-3</v>
      </c>
      <c r="L29" t="s">
        <v>251</v>
      </c>
      <c r="N29" t="s">
        <v>419</v>
      </c>
      <c r="O29" t="s">
        <v>269</v>
      </c>
      <c r="P29">
        <v>3.9802360242095422E-3</v>
      </c>
      <c r="Q29" t="s">
        <v>251</v>
      </c>
      <c r="S29" t="s">
        <v>420</v>
      </c>
      <c r="T29" t="s">
        <v>269</v>
      </c>
      <c r="U29">
        <v>3.2577080412417832E-3</v>
      </c>
      <c r="V29" t="s">
        <v>251</v>
      </c>
      <c r="X29">
        <v>3.5388127853881279E-3</v>
      </c>
      <c r="Y29">
        <v>5.9087255218821738E-3</v>
      </c>
      <c r="Z29" t="s">
        <v>269</v>
      </c>
      <c r="AA29" t="s">
        <v>25</v>
      </c>
      <c r="AC29" t="s">
        <v>22</v>
      </c>
      <c r="AD29" t="s">
        <v>269</v>
      </c>
      <c r="AE29">
        <v>3.9885176288667074E-3</v>
      </c>
      <c r="AG29" t="s">
        <v>99</v>
      </c>
      <c r="AH29" t="s">
        <v>269</v>
      </c>
      <c r="AI29">
        <v>6.8143564656164113E-2</v>
      </c>
    </row>
    <row r="30" spans="3:35" x14ac:dyDescent="0.45">
      <c r="E30" t="s">
        <v>187</v>
      </c>
      <c r="G30" t="s">
        <v>155</v>
      </c>
      <c r="I30" t="s">
        <v>249</v>
      </c>
      <c r="J30" t="s">
        <v>270</v>
      </c>
      <c r="K30">
        <v>5.1897645322585798E-2</v>
      </c>
      <c r="L30" t="s">
        <v>251</v>
      </c>
      <c r="N30" t="s">
        <v>419</v>
      </c>
      <c r="O30" t="s">
        <v>270</v>
      </c>
      <c r="P30">
        <v>1.8503689500717891E-2</v>
      </c>
      <c r="Q30" t="s">
        <v>251</v>
      </c>
      <c r="S30" t="s">
        <v>420</v>
      </c>
      <c r="T30" t="s">
        <v>270</v>
      </c>
      <c r="U30">
        <v>1.9330486528263999E-2</v>
      </c>
      <c r="V30" t="s">
        <v>251</v>
      </c>
      <c r="X30">
        <v>2.1232876712328767E-2</v>
      </c>
      <c r="Y30">
        <v>2.6758819580836844E-2</v>
      </c>
      <c r="Z30" t="s">
        <v>270</v>
      </c>
      <c r="AA30" t="s">
        <v>25</v>
      </c>
      <c r="AC30" t="s">
        <v>22</v>
      </c>
      <c r="AD30" t="s">
        <v>270</v>
      </c>
      <c r="AE30">
        <v>2.2135749263266054E-2</v>
      </c>
      <c r="AG30" t="s">
        <v>99</v>
      </c>
      <c r="AH30" t="s">
        <v>270</v>
      </c>
      <c r="AI30">
        <v>0.13173562310592568</v>
      </c>
    </row>
    <row r="31" spans="3:35" x14ac:dyDescent="0.45">
      <c r="E31" t="s">
        <v>188</v>
      </c>
      <c r="G31" t="s">
        <v>155</v>
      </c>
      <c r="I31" t="s">
        <v>249</v>
      </c>
      <c r="J31" t="s">
        <v>271</v>
      </c>
      <c r="K31">
        <v>2.3890633137586399E-2</v>
      </c>
      <c r="L31" t="s">
        <v>251</v>
      </c>
      <c r="N31" t="s">
        <v>419</v>
      </c>
      <c r="O31" t="s">
        <v>271</v>
      </c>
      <c r="P31">
        <v>8.4908130991335727E-3</v>
      </c>
      <c r="Q31" t="s">
        <v>251</v>
      </c>
      <c r="S31" t="s">
        <v>420</v>
      </c>
      <c r="T31" t="s">
        <v>271</v>
      </c>
      <c r="U31">
        <v>9.3069590820403277E-3</v>
      </c>
      <c r="V31" t="s">
        <v>251</v>
      </c>
      <c r="X31">
        <v>1.0616438356164383E-2</v>
      </c>
      <c r="Y31">
        <v>1.6893816970390073E-2</v>
      </c>
      <c r="Z31" t="s">
        <v>271</v>
      </c>
      <c r="AA31" t="s">
        <v>25</v>
      </c>
      <c r="AC31" t="s">
        <v>22</v>
      </c>
      <c r="AD31" t="s">
        <v>271</v>
      </c>
      <c r="AE31">
        <v>8.0994765750551992E-3</v>
      </c>
      <c r="AG31" t="s">
        <v>99</v>
      </c>
      <c r="AH31" t="s">
        <v>271</v>
      </c>
      <c r="AI31">
        <v>8.4242662862822781E-2</v>
      </c>
    </row>
    <row r="32" spans="3:35" x14ac:dyDescent="0.45">
      <c r="E32" t="s">
        <v>189</v>
      </c>
      <c r="G32" t="s">
        <v>155</v>
      </c>
      <c r="I32" t="s">
        <v>249</v>
      </c>
      <c r="J32" t="s">
        <v>272</v>
      </c>
      <c r="K32">
        <v>6.1164188379895998E-3</v>
      </c>
      <c r="L32" t="s">
        <v>251</v>
      </c>
      <c r="N32" t="s">
        <v>419</v>
      </c>
      <c r="O32" t="s">
        <v>272</v>
      </c>
      <c r="P32">
        <v>3.2255779984932246E-3</v>
      </c>
      <c r="Q32" t="s">
        <v>251</v>
      </c>
      <c r="S32" t="s">
        <v>420</v>
      </c>
      <c r="T32" t="s">
        <v>272</v>
      </c>
      <c r="U32">
        <v>3.1185031283167E-3</v>
      </c>
      <c r="V32" t="s">
        <v>251</v>
      </c>
      <c r="X32">
        <v>3.5388127853881279E-3</v>
      </c>
      <c r="Y32">
        <v>6.8849497385409693E-3</v>
      </c>
      <c r="Z32" t="s">
        <v>272</v>
      </c>
      <c r="AA32" t="s">
        <v>25</v>
      </c>
      <c r="AC32" t="s">
        <v>22</v>
      </c>
      <c r="AD32" t="s">
        <v>272</v>
      </c>
      <c r="AE32">
        <v>2.5503286394059593E-3</v>
      </c>
      <c r="AG32" t="s">
        <v>99</v>
      </c>
      <c r="AH32" t="s">
        <v>272</v>
      </c>
      <c r="AI32">
        <v>5.8054213283028178E-2</v>
      </c>
    </row>
    <row r="33" spans="5:35" x14ac:dyDescent="0.45">
      <c r="E33" t="s">
        <v>190</v>
      </c>
      <c r="G33" t="s">
        <v>155</v>
      </c>
      <c r="I33" t="s">
        <v>249</v>
      </c>
      <c r="J33" t="s">
        <v>273</v>
      </c>
      <c r="K33">
        <v>3.7733047864497546E-3</v>
      </c>
      <c r="L33" t="s">
        <v>251</v>
      </c>
      <c r="N33" t="s">
        <v>419</v>
      </c>
      <c r="O33" t="s">
        <v>273</v>
      </c>
      <c r="P33">
        <v>3.419858473822849E-3</v>
      </c>
      <c r="Q33" t="s">
        <v>251</v>
      </c>
      <c r="S33" t="s">
        <v>420</v>
      </c>
      <c r="T33" t="s">
        <v>273</v>
      </c>
      <c r="U33">
        <v>3.1769901080109329E-3</v>
      </c>
      <c r="V33" t="s">
        <v>251</v>
      </c>
      <c r="X33">
        <v>3.5388127853881279E-3</v>
      </c>
      <c r="Y33">
        <v>5.3435430806586613E-3</v>
      </c>
      <c r="Z33" t="s">
        <v>273</v>
      </c>
      <c r="AA33" t="s">
        <v>25</v>
      </c>
      <c r="AC33" t="s">
        <v>22</v>
      </c>
      <c r="AD33" t="s">
        <v>273</v>
      </c>
      <c r="AE33">
        <v>2.5599130713679637E-3</v>
      </c>
      <c r="AG33" t="s">
        <v>99</v>
      </c>
      <c r="AH33" t="s">
        <v>273</v>
      </c>
      <c r="AI33">
        <v>4.435631490733738E-2</v>
      </c>
    </row>
    <row r="34" spans="5:35" x14ac:dyDescent="0.45">
      <c r="E34" t="s">
        <v>191</v>
      </c>
      <c r="G34" t="s">
        <v>155</v>
      </c>
      <c r="I34" t="s">
        <v>249</v>
      </c>
      <c r="J34" t="s">
        <v>274</v>
      </c>
      <c r="K34">
        <v>5.3177883933484631E-5</v>
      </c>
      <c r="L34" t="s">
        <v>251</v>
      </c>
      <c r="N34" t="s">
        <v>419</v>
      </c>
      <c r="O34" t="s">
        <v>274</v>
      </c>
      <c r="P34">
        <v>2.3181079674091134E-2</v>
      </c>
      <c r="Q34" t="s">
        <v>251</v>
      </c>
      <c r="S34" t="s">
        <v>420</v>
      </c>
      <c r="T34" t="s">
        <v>274</v>
      </c>
      <c r="U34">
        <v>1.613114842353618E-2</v>
      </c>
      <c r="V34" t="s">
        <v>251</v>
      </c>
      <c r="X34">
        <v>1.7694063926940638E-2</v>
      </c>
      <c r="Y34">
        <v>1.3358857701646654E-2</v>
      </c>
      <c r="Z34" t="s">
        <v>274</v>
      </c>
      <c r="AA34" t="s">
        <v>25</v>
      </c>
      <c r="AC34" t="s">
        <v>22</v>
      </c>
      <c r="AD34" t="s">
        <v>274</v>
      </c>
      <c r="AE34">
        <v>1.7047916945675982E-2</v>
      </c>
      <c r="AG34" t="s">
        <v>99</v>
      </c>
      <c r="AH34" t="s">
        <v>274</v>
      </c>
      <c r="AI34">
        <v>0.15879766383465954</v>
      </c>
    </row>
    <row r="35" spans="5:35" x14ac:dyDescent="0.45">
      <c r="E35" t="s">
        <v>192</v>
      </c>
      <c r="G35" t="s">
        <v>160</v>
      </c>
      <c r="I35" t="s">
        <v>249</v>
      </c>
      <c r="J35" t="s">
        <v>275</v>
      </c>
      <c r="K35">
        <v>0</v>
      </c>
      <c r="L35" t="s">
        <v>251</v>
      </c>
      <c r="N35" t="s">
        <v>419</v>
      </c>
      <c r="O35" t="s">
        <v>275</v>
      </c>
      <c r="P35">
        <v>2.0389424056945722E-2</v>
      </c>
      <c r="Q35" t="s">
        <v>251</v>
      </c>
      <c r="S35" t="s">
        <v>420</v>
      </c>
      <c r="T35" t="s">
        <v>275</v>
      </c>
      <c r="U35">
        <v>1.9415336490079316E-2</v>
      </c>
      <c r="V35" t="s">
        <v>251</v>
      </c>
      <c r="X35">
        <v>2.0547945205479451E-2</v>
      </c>
      <c r="Y35">
        <v>4.3954951147353507E-3</v>
      </c>
      <c r="Z35" t="s">
        <v>275</v>
      </c>
      <c r="AA35" t="s">
        <v>25</v>
      </c>
      <c r="AC35" t="s">
        <v>22</v>
      </c>
      <c r="AD35" t="s">
        <v>275</v>
      </c>
      <c r="AE35">
        <v>2.2301014114127767E-2</v>
      </c>
      <c r="AG35" t="s">
        <v>99</v>
      </c>
      <c r="AH35" t="s">
        <v>275</v>
      </c>
      <c r="AI35">
        <v>4.9626454518111318E-2</v>
      </c>
    </row>
    <row r="36" spans="5:35" x14ac:dyDescent="0.45">
      <c r="E36" t="s">
        <v>193</v>
      </c>
      <c r="G36" t="s">
        <v>160</v>
      </c>
      <c r="I36" t="s">
        <v>249</v>
      </c>
      <c r="J36" t="s">
        <v>276</v>
      </c>
      <c r="K36">
        <v>2.0517109116268366E-6</v>
      </c>
      <c r="L36" t="s">
        <v>251</v>
      </c>
      <c r="N36" t="s">
        <v>419</v>
      </c>
      <c r="O36" t="s">
        <v>276</v>
      </c>
      <c r="P36">
        <v>3.1607267371689613E-3</v>
      </c>
      <c r="Q36" t="s">
        <v>251</v>
      </c>
      <c r="S36" t="s">
        <v>420</v>
      </c>
      <c r="T36" t="s">
        <v>276</v>
      </c>
      <c r="U36">
        <v>3.2289324244967454E-3</v>
      </c>
      <c r="V36" t="s">
        <v>251</v>
      </c>
      <c r="X36">
        <v>3.4246575342465752E-3</v>
      </c>
      <c r="Y36">
        <v>5.0717251323869452E-3</v>
      </c>
      <c r="Z36" t="s">
        <v>276</v>
      </c>
      <c r="AA36" t="s">
        <v>25</v>
      </c>
      <c r="AC36" t="s">
        <v>22</v>
      </c>
      <c r="AD36" t="s">
        <v>276</v>
      </c>
      <c r="AE36">
        <v>3.73658632681621E-3</v>
      </c>
      <c r="AG36" t="s">
        <v>99</v>
      </c>
      <c r="AH36" t="s">
        <v>276</v>
      </c>
      <c r="AI36">
        <v>4.0869223385679998E-2</v>
      </c>
    </row>
    <row r="37" spans="5:35" x14ac:dyDescent="0.45">
      <c r="E37" t="s">
        <v>194</v>
      </c>
      <c r="G37" t="s">
        <v>160</v>
      </c>
      <c r="I37" t="s">
        <v>249</v>
      </c>
      <c r="J37" t="s">
        <v>277</v>
      </c>
      <c r="K37">
        <v>4.2034545150900051E-3</v>
      </c>
      <c r="L37" t="s">
        <v>251</v>
      </c>
      <c r="N37" t="s">
        <v>419</v>
      </c>
      <c r="O37" t="s">
        <v>277</v>
      </c>
      <c r="P37">
        <v>2.976389370092905E-3</v>
      </c>
      <c r="Q37" t="s">
        <v>251</v>
      </c>
      <c r="S37" t="s">
        <v>420</v>
      </c>
      <c r="T37" t="s">
        <v>277</v>
      </c>
      <c r="U37">
        <v>3.1787996386982288E-3</v>
      </c>
      <c r="V37" t="s">
        <v>251</v>
      </c>
      <c r="X37">
        <v>3.4246575342465752E-3</v>
      </c>
      <c r="Y37">
        <v>5.7181214727892006E-3</v>
      </c>
      <c r="Z37" t="s">
        <v>277</v>
      </c>
      <c r="AA37" t="s">
        <v>25</v>
      </c>
      <c r="AC37" t="s">
        <v>22</v>
      </c>
      <c r="AD37" t="s">
        <v>277</v>
      </c>
      <c r="AE37">
        <v>3.764362713540153E-3</v>
      </c>
      <c r="AG37" t="s">
        <v>99</v>
      </c>
      <c r="AH37" t="s">
        <v>277</v>
      </c>
      <c r="AI37">
        <v>3.5724129158097861E-2</v>
      </c>
    </row>
    <row r="38" spans="5:35" x14ac:dyDescent="0.45">
      <c r="E38" t="s">
        <v>195</v>
      </c>
      <c r="G38" t="s">
        <v>160</v>
      </c>
      <c r="I38" t="s">
        <v>249</v>
      </c>
      <c r="J38" t="s">
        <v>278</v>
      </c>
      <c r="K38">
        <v>4.4356241580810703E-2</v>
      </c>
      <c r="L38" t="s">
        <v>251</v>
      </c>
      <c r="N38" t="s">
        <v>419</v>
      </c>
      <c r="O38" t="s">
        <v>278</v>
      </c>
      <c r="P38">
        <v>1.0653333459856721E-2</v>
      </c>
      <c r="Q38" t="s">
        <v>251</v>
      </c>
      <c r="S38" t="s">
        <v>420</v>
      </c>
      <c r="T38" t="s">
        <v>278</v>
      </c>
      <c r="U38">
        <v>1.8406815010020155E-2</v>
      </c>
      <c r="V38" t="s">
        <v>251</v>
      </c>
      <c r="X38">
        <v>2.0547945205479451E-2</v>
      </c>
      <c r="Y38">
        <v>2.5895631852422749E-2</v>
      </c>
      <c r="Z38" t="s">
        <v>278</v>
      </c>
      <c r="AA38" t="s">
        <v>25</v>
      </c>
      <c r="AC38" t="s">
        <v>22</v>
      </c>
      <c r="AD38" t="s">
        <v>278</v>
      </c>
      <c r="AE38">
        <v>2.1776342412938632E-2</v>
      </c>
      <c r="AG38" t="s">
        <v>99</v>
      </c>
      <c r="AH38" t="s">
        <v>278</v>
      </c>
      <c r="AI38">
        <v>6.7959091165817664E-2</v>
      </c>
    </row>
    <row r="39" spans="5:35" x14ac:dyDescent="0.45">
      <c r="E39" t="s">
        <v>196</v>
      </c>
      <c r="G39" t="s">
        <v>160</v>
      </c>
      <c r="I39" t="s">
        <v>249</v>
      </c>
      <c r="J39" t="s">
        <v>279</v>
      </c>
      <c r="K39">
        <v>2.00173866079956E-2</v>
      </c>
      <c r="L39" t="s">
        <v>251</v>
      </c>
      <c r="N39" t="s">
        <v>419</v>
      </c>
      <c r="O39" t="s">
        <v>279</v>
      </c>
      <c r="P39">
        <v>4.6384492328032031E-3</v>
      </c>
      <c r="Q39" t="s">
        <v>251</v>
      </c>
      <c r="S39" t="s">
        <v>420</v>
      </c>
      <c r="T39" t="s">
        <v>279</v>
      </c>
      <c r="U39">
        <v>9.3006190060524845E-3</v>
      </c>
      <c r="V39" t="s">
        <v>251</v>
      </c>
      <c r="X39">
        <v>1.0273972602739725E-2</v>
      </c>
      <c r="Y39">
        <v>1.6348855132635558E-2</v>
      </c>
      <c r="Z39" t="s">
        <v>279</v>
      </c>
      <c r="AA39" t="s">
        <v>25</v>
      </c>
      <c r="AC39" t="s">
        <v>22</v>
      </c>
      <c r="AD39" t="s">
        <v>279</v>
      </c>
      <c r="AE39">
        <v>8.0391169002698298E-3</v>
      </c>
      <c r="AG39" t="s">
        <v>99</v>
      </c>
      <c r="AH39" t="s">
        <v>279</v>
      </c>
      <c r="AI39">
        <v>0.10474634976168629</v>
      </c>
    </row>
    <row r="40" spans="5:35" x14ac:dyDescent="0.45">
      <c r="E40" t="s">
        <v>197</v>
      </c>
      <c r="G40" t="s">
        <v>160</v>
      </c>
      <c r="I40" t="s">
        <v>249</v>
      </c>
      <c r="J40" t="s">
        <v>280</v>
      </c>
      <c r="K40">
        <v>4.9464738077248001E-3</v>
      </c>
      <c r="L40" t="s">
        <v>251</v>
      </c>
      <c r="N40" t="s">
        <v>419</v>
      </c>
      <c r="O40" t="s">
        <v>280</v>
      </c>
      <c r="P40">
        <v>1.7672870015609293E-3</v>
      </c>
      <c r="Q40" t="s">
        <v>251</v>
      </c>
      <c r="S40" t="s">
        <v>420</v>
      </c>
      <c r="T40" t="s">
        <v>280</v>
      </c>
      <c r="U40">
        <v>3.1644740752954916E-3</v>
      </c>
      <c r="V40" t="s">
        <v>251</v>
      </c>
      <c r="X40">
        <v>3.4246575342465752E-3</v>
      </c>
      <c r="Y40">
        <v>6.662854585684809E-3</v>
      </c>
      <c r="Z40" t="s">
        <v>280</v>
      </c>
      <c r="AA40" t="s">
        <v>25</v>
      </c>
      <c r="AC40" t="s">
        <v>22</v>
      </c>
      <c r="AD40" t="s">
        <v>280</v>
      </c>
      <c r="AE40">
        <v>2.3604012853309128E-3</v>
      </c>
      <c r="AG40" t="s">
        <v>99</v>
      </c>
      <c r="AH40" t="s">
        <v>280</v>
      </c>
      <c r="AI40">
        <v>1.3512367730849295E-2</v>
      </c>
    </row>
    <row r="41" spans="5:35" x14ac:dyDescent="0.45">
      <c r="E41" t="s">
        <v>198</v>
      </c>
      <c r="G41" t="s">
        <v>160</v>
      </c>
      <c r="I41" t="s">
        <v>249</v>
      </c>
      <c r="J41" t="s">
        <v>281</v>
      </c>
      <c r="K41">
        <v>2.0025868097443083E-3</v>
      </c>
      <c r="L41" t="s">
        <v>251</v>
      </c>
      <c r="N41" t="s">
        <v>419</v>
      </c>
      <c r="O41" t="s">
        <v>281</v>
      </c>
      <c r="P41">
        <v>2.0148571403143531E-3</v>
      </c>
      <c r="Q41" t="s">
        <v>251</v>
      </c>
      <c r="S41" t="s">
        <v>420</v>
      </c>
      <c r="T41" t="s">
        <v>281</v>
      </c>
      <c r="U41">
        <v>3.1611429117214063E-3</v>
      </c>
      <c r="V41" t="s">
        <v>251</v>
      </c>
      <c r="X41">
        <v>3.4246575342465752E-3</v>
      </c>
      <c r="Y41">
        <v>5.1711707232180593E-3</v>
      </c>
      <c r="Z41" t="s">
        <v>281</v>
      </c>
      <c r="AA41" t="s">
        <v>25</v>
      </c>
      <c r="AC41" t="s">
        <v>22</v>
      </c>
      <c r="AD41" t="s">
        <v>281</v>
      </c>
      <c r="AE41">
        <v>2.3763594538990973E-3</v>
      </c>
      <c r="AG41" t="s">
        <v>99</v>
      </c>
      <c r="AH41" t="s">
        <v>281</v>
      </c>
      <c r="AI41">
        <v>1.7165333712501507E-2</v>
      </c>
    </row>
    <row r="42" spans="5:35" x14ac:dyDescent="0.45">
      <c r="E42" t="s">
        <v>199</v>
      </c>
      <c r="G42" t="s">
        <v>160</v>
      </c>
      <c r="I42" t="s">
        <v>249</v>
      </c>
      <c r="J42" t="s">
        <v>282</v>
      </c>
      <c r="K42">
        <v>0</v>
      </c>
      <c r="L42" t="s">
        <v>251</v>
      </c>
      <c r="N42" t="s">
        <v>419</v>
      </c>
      <c r="O42" t="s">
        <v>282</v>
      </c>
      <c r="P42">
        <v>1.4925971407484051E-2</v>
      </c>
      <c r="Q42" t="s">
        <v>251</v>
      </c>
      <c r="S42" t="s">
        <v>420</v>
      </c>
      <c r="T42" t="s">
        <v>282</v>
      </c>
      <c r="U42">
        <v>1.5948499659726105E-2</v>
      </c>
      <c r="V42" t="s">
        <v>251</v>
      </c>
      <c r="X42">
        <v>1.7123287671232876E-2</v>
      </c>
      <c r="Y42">
        <v>1.2927926808045149E-2</v>
      </c>
      <c r="Z42" t="s">
        <v>282</v>
      </c>
      <c r="AA42" t="s">
        <v>25</v>
      </c>
      <c r="AC42" t="s">
        <v>22</v>
      </c>
      <c r="AD42" t="s">
        <v>282</v>
      </c>
      <c r="AE42">
        <v>1.5578099873551859E-2</v>
      </c>
      <c r="AG42" t="s">
        <v>99</v>
      </c>
      <c r="AH42" t="s">
        <v>282</v>
      </c>
      <c r="AI42">
        <v>0.17748445228691057</v>
      </c>
    </row>
    <row r="43" spans="5:35" x14ac:dyDescent="0.45">
      <c r="E43" t="s">
        <v>200</v>
      </c>
      <c r="G43" t="s">
        <v>160</v>
      </c>
      <c r="I43" t="s">
        <v>249</v>
      </c>
      <c r="J43" t="s">
        <v>283</v>
      </c>
      <c r="K43">
        <v>0</v>
      </c>
      <c r="L43" t="s">
        <v>251</v>
      </c>
      <c r="N43" t="s">
        <v>419</v>
      </c>
      <c r="O43" t="s">
        <v>283</v>
      </c>
      <c r="P43">
        <v>2.2617567734358284E-2</v>
      </c>
      <c r="Q43" t="s">
        <v>251</v>
      </c>
      <c r="S43" t="s">
        <v>420</v>
      </c>
      <c r="T43" t="s">
        <v>283</v>
      </c>
      <c r="U43">
        <v>1.8121919888916246E-2</v>
      </c>
      <c r="V43" t="s">
        <v>251</v>
      </c>
      <c r="X43">
        <v>2.1232876712328767E-2</v>
      </c>
      <c r="Y43">
        <v>4.5420116185598634E-3</v>
      </c>
      <c r="Z43" t="s">
        <v>283</v>
      </c>
      <c r="AA43" t="s">
        <v>25</v>
      </c>
      <c r="AC43" t="s">
        <v>22</v>
      </c>
      <c r="AD43" t="s">
        <v>283</v>
      </c>
      <c r="AE43">
        <v>2.3166614754246737E-2</v>
      </c>
      <c r="AG43" t="s">
        <v>99</v>
      </c>
      <c r="AH43" t="s">
        <v>283</v>
      </c>
      <c r="AI43">
        <v>7.3161642999288068E-2</v>
      </c>
    </row>
    <row r="44" spans="5:35" x14ac:dyDescent="0.45">
      <c r="E44" t="s">
        <v>201</v>
      </c>
      <c r="G44" t="s">
        <v>160</v>
      </c>
      <c r="I44" t="s">
        <v>249</v>
      </c>
      <c r="J44" t="s">
        <v>284</v>
      </c>
      <c r="K44">
        <v>0</v>
      </c>
      <c r="L44" t="s">
        <v>251</v>
      </c>
      <c r="N44" t="s">
        <v>419</v>
      </c>
      <c r="O44" t="s">
        <v>284</v>
      </c>
      <c r="P44">
        <v>3.6344881186090496E-3</v>
      </c>
      <c r="Q44" t="s">
        <v>251</v>
      </c>
      <c r="S44" t="s">
        <v>420</v>
      </c>
      <c r="T44" t="s">
        <v>284</v>
      </c>
      <c r="U44">
        <v>2.8399858353747587E-3</v>
      </c>
      <c r="V44" t="s">
        <v>251</v>
      </c>
      <c r="X44">
        <v>3.5388127853881279E-3</v>
      </c>
      <c r="Y44">
        <v>5.240782636799844E-3</v>
      </c>
      <c r="Z44" t="s">
        <v>284</v>
      </c>
      <c r="AA44" t="s">
        <v>25</v>
      </c>
      <c r="AC44" t="s">
        <v>22</v>
      </c>
      <c r="AD44" t="s">
        <v>284</v>
      </c>
      <c r="AE44">
        <v>3.8560471526861892E-3</v>
      </c>
      <c r="AG44" t="s">
        <v>99</v>
      </c>
      <c r="AH44" t="s">
        <v>284</v>
      </c>
      <c r="AI44">
        <v>6.2550512635513256E-2</v>
      </c>
    </row>
    <row r="45" spans="5:35" x14ac:dyDescent="0.45">
      <c r="E45" t="s">
        <v>202</v>
      </c>
      <c r="G45" t="s">
        <v>160</v>
      </c>
      <c r="I45" t="s">
        <v>249</v>
      </c>
      <c r="J45" t="s">
        <v>285</v>
      </c>
      <c r="K45">
        <v>1.9086333504159257E-3</v>
      </c>
      <c r="L45" t="s">
        <v>251</v>
      </c>
      <c r="N45" t="s">
        <v>419</v>
      </c>
      <c r="O45" t="s">
        <v>285</v>
      </c>
      <c r="P45">
        <v>3.547331549681293E-3</v>
      </c>
      <c r="Q45" t="s">
        <v>251</v>
      </c>
      <c r="S45" t="s">
        <v>420</v>
      </c>
      <c r="T45" t="s">
        <v>285</v>
      </c>
      <c r="U45">
        <v>2.7677732040331075E-3</v>
      </c>
      <c r="V45" t="s">
        <v>251</v>
      </c>
      <c r="X45">
        <v>3.5388127853881279E-3</v>
      </c>
      <c r="Y45">
        <v>5.9087255218821738E-3</v>
      </c>
      <c r="Z45" t="s">
        <v>285</v>
      </c>
      <c r="AA45" t="s">
        <v>25</v>
      </c>
      <c r="AC45" t="s">
        <v>22</v>
      </c>
      <c r="AD45" t="s">
        <v>285</v>
      </c>
      <c r="AE45">
        <v>3.9229475599983511E-3</v>
      </c>
      <c r="AG45" t="s">
        <v>99</v>
      </c>
      <c r="AH45" t="s">
        <v>285</v>
      </c>
      <c r="AI45">
        <v>4.9077188056095178E-2</v>
      </c>
    </row>
    <row r="46" spans="5:35" x14ac:dyDescent="0.45">
      <c r="E46" t="s">
        <v>203</v>
      </c>
      <c r="G46" t="s">
        <v>160</v>
      </c>
      <c r="I46" t="s">
        <v>249</v>
      </c>
      <c r="J46" t="s">
        <v>286</v>
      </c>
      <c r="K46">
        <v>3.5104076765239058E-2</v>
      </c>
      <c r="L46" t="s">
        <v>251</v>
      </c>
      <c r="N46" t="s">
        <v>419</v>
      </c>
      <c r="O46" t="s">
        <v>286</v>
      </c>
      <c r="P46">
        <v>1.6002628865701567E-2</v>
      </c>
      <c r="Q46" t="s">
        <v>251</v>
      </c>
      <c r="S46" t="s">
        <v>420</v>
      </c>
      <c r="T46" t="s">
        <v>286</v>
      </c>
      <c r="U46">
        <v>1.6256338503658655E-2</v>
      </c>
      <c r="V46" t="s">
        <v>251</v>
      </c>
      <c r="X46">
        <v>2.1232876712328767E-2</v>
      </c>
      <c r="Y46">
        <v>2.6758819580836844E-2</v>
      </c>
      <c r="Z46" t="s">
        <v>286</v>
      </c>
      <c r="AA46" t="s">
        <v>25</v>
      </c>
      <c r="AC46" t="s">
        <v>22</v>
      </c>
      <c r="AD46" t="s">
        <v>286</v>
      </c>
      <c r="AE46">
        <v>2.3201187807762876E-2</v>
      </c>
      <c r="AG46" t="s">
        <v>99</v>
      </c>
      <c r="AH46" t="s">
        <v>286</v>
      </c>
      <c r="AI46">
        <v>0.10990662794279604</v>
      </c>
    </row>
    <row r="47" spans="5:35" x14ac:dyDescent="0.45">
      <c r="E47" t="s">
        <v>204</v>
      </c>
      <c r="G47" t="s">
        <v>160</v>
      </c>
      <c r="I47" t="s">
        <v>249</v>
      </c>
      <c r="J47" t="s">
        <v>287</v>
      </c>
      <c r="K47">
        <v>1.5174667746667668E-2</v>
      </c>
      <c r="L47" t="s">
        <v>251</v>
      </c>
      <c r="N47" t="s">
        <v>419</v>
      </c>
      <c r="O47" t="s">
        <v>287</v>
      </c>
      <c r="P47">
        <v>7.0880973707008509E-3</v>
      </c>
      <c r="Q47" t="s">
        <v>251</v>
      </c>
      <c r="S47" t="s">
        <v>420</v>
      </c>
      <c r="T47" t="s">
        <v>287</v>
      </c>
      <c r="U47">
        <v>8.252896410342582E-3</v>
      </c>
      <c r="V47" t="s">
        <v>251</v>
      </c>
      <c r="X47">
        <v>1.0616438356164383E-2</v>
      </c>
      <c r="Y47">
        <v>1.6893816970390073E-2</v>
      </c>
      <c r="Z47" t="s">
        <v>287</v>
      </c>
      <c r="AA47" t="s">
        <v>25</v>
      </c>
      <c r="AC47" t="s">
        <v>22</v>
      </c>
      <c r="AD47" t="s">
        <v>287</v>
      </c>
      <c r="AE47">
        <v>8.5348682936509154E-3</v>
      </c>
      <c r="AG47" t="s">
        <v>99</v>
      </c>
      <c r="AH47" t="s">
        <v>287</v>
      </c>
      <c r="AI47">
        <v>9.1876227455286008E-2</v>
      </c>
    </row>
    <row r="48" spans="5:35" x14ac:dyDescent="0.45">
      <c r="E48" t="s">
        <v>205</v>
      </c>
      <c r="G48" t="s">
        <v>160</v>
      </c>
      <c r="I48" t="s">
        <v>249</v>
      </c>
      <c r="J48" t="s">
        <v>288</v>
      </c>
      <c r="K48">
        <v>3.5448947224891443E-3</v>
      </c>
      <c r="L48" t="s">
        <v>251</v>
      </c>
      <c r="N48" t="s">
        <v>419</v>
      </c>
      <c r="O48" t="s">
        <v>288</v>
      </c>
      <c r="P48">
        <v>2.4027081750016607E-3</v>
      </c>
      <c r="Q48" t="s">
        <v>251</v>
      </c>
      <c r="S48" t="s">
        <v>420</v>
      </c>
      <c r="T48" t="s">
        <v>288</v>
      </c>
      <c r="U48">
        <v>2.9068127754390887E-3</v>
      </c>
      <c r="V48" t="s">
        <v>251</v>
      </c>
      <c r="X48">
        <v>3.5388127853881279E-3</v>
      </c>
      <c r="Y48">
        <v>6.8849497385409693E-3</v>
      </c>
      <c r="Z48" t="s">
        <v>288</v>
      </c>
      <c r="AA48" t="s">
        <v>25</v>
      </c>
      <c r="AC48" t="s">
        <v>22</v>
      </c>
      <c r="AD48" t="s">
        <v>288</v>
      </c>
      <c r="AE48">
        <v>2.4583760663985628E-3</v>
      </c>
      <c r="AG48" t="s">
        <v>99</v>
      </c>
      <c r="AH48" t="s">
        <v>288</v>
      </c>
      <c r="AI48">
        <v>1.0080620446456745E-2</v>
      </c>
    </row>
    <row r="49" spans="5:35" x14ac:dyDescent="0.45">
      <c r="E49" t="s">
        <v>206</v>
      </c>
      <c r="G49" t="s">
        <v>160</v>
      </c>
      <c r="I49" t="s">
        <v>249</v>
      </c>
      <c r="J49" t="s">
        <v>289</v>
      </c>
      <c r="K49">
        <v>5.2343147353180468E-4</v>
      </c>
      <c r="L49" t="s">
        <v>251</v>
      </c>
      <c r="N49" t="s">
        <v>419</v>
      </c>
      <c r="O49" t="s">
        <v>289</v>
      </c>
      <c r="P49">
        <v>2.6989413513743396E-3</v>
      </c>
      <c r="Q49" t="s">
        <v>251</v>
      </c>
      <c r="S49" t="s">
        <v>420</v>
      </c>
      <c r="T49" t="s">
        <v>289</v>
      </c>
      <c r="U49">
        <v>2.9667193514552386E-3</v>
      </c>
      <c r="V49" t="s">
        <v>251</v>
      </c>
      <c r="X49">
        <v>3.5388127853881279E-3</v>
      </c>
      <c r="Y49">
        <v>5.3435430806586613E-3</v>
      </c>
      <c r="Z49" t="s">
        <v>289</v>
      </c>
      <c r="AA49" t="s">
        <v>25</v>
      </c>
      <c r="AC49" t="s">
        <v>22</v>
      </c>
      <c r="AD49" t="s">
        <v>289</v>
      </c>
      <c r="AE49">
        <v>2.4833229906104171E-3</v>
      </c>
      <c r="AG49" t="s">
        <v>99</v>
      </c>
      <c r="AH49" t="s">
        <v>289</v>
      </c>
      <c r="AI49">
        <v>1.2916306074604922E-2</v>
      </c>
    </row>
    <row r="50" spans="5:35" x14ac:dyDescent="0.45">
      <c r="E50" t="s">
        <v>207</v>
      </c>
      <c r="G50" t="s">
        <v>160</v>
      </c>
      <c r="I50" t="s">
        <v>249</v>
      </c>
      <c r="J50" t="s">
        <v>290</v>
      </c>
      <c r="K50">
        <v>0</v>
      </c>
      <c r="L50" t="s">
        <v>251</v>
      </c>
      <c r="N50" t="s">
        <v>419</v>
      </c>
      <c r="O50" t="s">
        <v>290</v>
      </c>
      <c r="P50">
        <v>1.7466729395622826E-2</v>
      </c>
      <c r="Q50" t="s">
        <v>251</v>
      </c>
      <c r="S50" t="s">
        <v>420</v>
      </c>
      <c r="T50" t="s">
        <v>290</v>
      </c>
      <c r="U50">
        <v>1.5286969146846846E-2</v>
      </c>
      <c r="V50" t="s">
        <v>251</v>
      </c>
      <c r="X50">
        <v>1.7694063926940638E-2</v>
      </c>
      <c r="Y50">
        <v>1.3358857701646654E-2</v>
      </c>
      <c r="Z50" t="s">
        <v>290</v>
      </c>
      <c r="AA50" t="s">
        <v>25</v>
      </c>
      <c r="AC50" t="s">
        <v>22</v>
      </c>
      <c r="AD50" t="s">
        <v>290</v>
      </c>
      <c r="AE50">
        <v>1.6214694812859108E-2</v>
      </c>
      <c r="AG50" t="s">
        <v>99</v>
      </c>
      <c r="AH50" t="s">
        <v>290</v>
      </c>
      <c r="AI50">
        <v>0.2208955727201567</v>
      </c>
    </row>
    <row r="51" spans="5:35" x14ac:dyDescent="0.45">
      <c r="E51" t="s">
        <v>208</v>
      </c>
      <c r="G51" t="s">
        <v>160</v>
      </c>
      <c r="I51" t="s">
        <v>249</v>
      </c>
      <c r="J51" t="s">
        <v>291</v>
      </c>
      <c r="K51">
        <v>0</v>
      </c>
      <c r="L51" t="s">
        <v>251</v>
      </c>
      <c r="N51" t="s">
        <v>419</v>
      </c>
      <c r="O51" t="s">
        <v>291</v>
      </c>
      <c r="P51">
        <v>1.7080830010509793E-2</v>
      </c>
      <c r="Q51" t="s">
        <v>251</v>
      </c>
      <c r="S51" t="s">
        <v>420</v>
      </c>
      <c r="T51" t="s">
        <v>291</v>
      </c>
      <c r="U51">
        <v>1.8538770113452788E-2</v>
      </c>
      <c r="V51" t="s">
        <v>251</v>
      </c>
      <c r="X51">
        <v>1.9863013698630139E-2</v>
      </c>
      <c r="Y51">
        <v>4.2489786109108389E-3</v>
      </c>
      <c r="Z51" t="s">
        <v>291</v>
      </c>
      <c r="AA51" t="s">
        <v>25</v>
      </c>
      <c r="AC51" t="s">
        <v>22</v>
      </c>
      <c r="AD51" t="s">
        <v>291</v>
      </c>
      <c r="AE51">
        <v>2.2134890146635285E-2</v>
      </c>
      <c r="AG51" t="s">
        <v>99</v>
      </c>
      <c r="AH51" t="s">
        <v>291</v>
      </c>
      <c r="AI51">
        <v>0.13873511234946423</v>
      </c>
    </row>
    <row r="52" spans="5:35" x14ac:dyDescent="0.45">
      <c r="E52" t="s">
        <v>209</v>
      </c>
      <c r="G52" t="s">
        <v>160</v>
      </c>
      <c r="I52" t="s">
        <v>249</v>
      </c>
      <c r="J52" t="s">
        <v>292</v>
      </c>
      <c r="K52">
        <v>0</v>
      </c>
      <c r="L52" t="s">
        <v>251</v>
      </c>
      <c r="N52" t="s">
        <v>419</v>
      </c>
      <c r="O52" t="s">
        <v>292</v>
      </c>
      <c r="P52">
        <v>2.7166770713522252E-3</v>
      </c>
      <c r="Q52" t="s">
        <v>251</v>
      </c>
      <c r="S52" t="s">
        <v>420</v>
      </c>
      <c r="T52" t="s">
        <v>292</v>
      </c>
      <c r="U52">
        <v>3.0569802732767219E-3</v>
      </c>
      <c r="V52" t="s">
        <v>251</v>
      </c>
      <c r="X52">
        <v>3.3105022831050228E-3</v>
      </c>
      <c r="Y52">
        <v>4.9026676279740472E-3</v>
      </c>
      <c r="Z52" t="s">
        <v>292</v>
      </c>
      <c r="AA52" t="s">
        <v>25</v>
      </c>
      <c r="AC52" t="s">
        <v>22</v>
      </c>
      <c r="AD52" t="s">
        <v>292</v>
      </c>
      <c r="AE52">
        <v>3.6844107454540595E-3</v>
      </c>
      <c r="AG52" t="s">
        <v>99</v>
      </c>
      <c r="AH52" t="s">
        <v>292</v>
      </c>
      <c r="AI52">
        <v>8.6662666203455085E-2</v>
      </c>
    </row>
    <row r="53" spans="5:35" x14ac:dyDescent="0.45">
      <c r="E53" t="s">
        <v>210</v>
      </c>
      <c r="G53" t="s">
        <v>160</v>
      </c>
      <c r="I53" t="s">
        <v>249</v>
      </c>
      <c r="J53" t="s">
        <v>293</v>
      </c>
      <c r="K53">
        <v>5.154735076951237E-4</v>
      </c>
      <c r="L53" t="s">
        <v>251</v>
      </c>
      <c r="N53" t="s">
        <v>419</v>
      </c>
      <c r="O53" t="s">
        <v>293</v>
      </c>
      <c r="P53">
        <v>2.676190294679746E-3</v>
      </c>
      <c r="Q53" t="s">
        <v>251</v>
      </c>
      <c r="S53" t="s">
        <v>420</v>
      </c>
      <c r="T53" t="s">
        <v>293</v>
      </c>
      <c r="U53">
        <v>2.9976007995650552E-3</v>
      </c>
      <c r="V53" t="s">
        <v>251</v>
      </c>
      <c r="X53">
        <v>3.3105022831050228E-3</v>
      </c>
      <c r="Y53">
        <v>5.5275174236962274E-3</v>
      </c>
      <c r="Z53" t="s">
        <v>293</v>
      </c>
      <c r="AA53" t="s">
        <v>25</v>
      </c>
      <c r="AC53" t="s">
        <v>22</v>
      </c>
      <c r="AD53" t="s">
        <v>293</v>
      </c>
      <c r="AE53">
        <v>3.9283938086807375E-3</v>
      </c>
      <c r="AG53" t="s">
        <v>99</v>
      </c>
      <c r="AH53" t="s">
        <v>293</v>
      </c>
      <c r="AI53">
        <v>0.10441666162767183</v>
      </c>
    </row>
    <row r="54" spans="5:35" x14ac:dyDescent="0.45">
      <c r="E54" t="s">
        <v>211</v>
      </c>
      <c r="G54" t="s">
        <v>160</v>
      </c>
      <c r="I54" t="s">
        <v>249</v>
      </c>
      <c r="J54" t="s">
        <v>294</v>
      </c>
      <c r="K54">
        <v>2.4831941193641339E-2</v>
      </c>
      <c r="L54" t="s">
        <v>251</v>
      </c>
      <c r="N54" t="s">
        <v>419</v>
      </c>
      <c r="O54" t="s">
        <v>294</v>
      </c>
      <c r="P54">
        <v>1.2822149136530306E-2</v>
      </c>
      <c r="Q54" t="s">
        <v>251</v>
      </c>
      <c r="S54" t="s">
        <v>420</v>
      </c>
      <c r="T54" t="s">
        <v>294</v>
      </c>
      <c r="U54">
        <v>1.846163146299945E-2</v>
      </c>
      <c r="V54" t="s">
        <v>251</v>
      </c>
      <c r="X54">
        <v>1.9863013698630139E-2</v>
      </c>
      <c r="Y54">
        <v>2.5032444124008655E-2</v>
      </c>
      <c r="Z54" t="s">
        <v>294</v>
      </c>
      <c r="AA54" t="s">
        <v>25</v>
      </c>
      <c r="AC54" t="s">
        <v>22</v>
      </c>
      <c r="AD54" t="s">
        <v>294</v>
      </c>
      <c r="AE54">
        <v>2.3508043195660258E-2</v>
      </c>
      <c r="AG54" t="s">
        <v>99</v>
      </c>
      <c r="AH54" t="s">
        <v>294</v>
      </c>
      <c r="AI54">
        <v>0.16358339423053159</v>
      </c>
    </row>
    <row r="55" spans="5:35" x14ac:dyDescent="0.45">
      <c r="E55" t="s">
        <v>212</v>
      </c>
      <c r="G55" t="s">
        <v>160</v>
      </c>
      <c r="I55" t="s">
        <v>249</v>
      </c>
      <c r="J55" t="s">
        <v>295</v>
      </c>
      <c r="K55">
        <v>1.0635351262612315E-2</v>
      </c>
      <c r="L55" t="s">
        <v>251</v>
      </c>
      <c r="N55" t="s">
        <v>419</v>
      </c>
      <c r="O55" t="s">
        <v>295</v>
      </c>
      <c r="P55">
        <v>5.6588700749820248E-3</v>
      </c>
      <c r="Q55" t="s">
        <v>251</v>
      </c>
      <c r="S55" t="s">
        <v>420</v>
      </c>
      <c r="T55" t="s">
        <v>295</v>
      </c>
      <c r="U55">
        <v>8.9279712875469912E-3</v>
      </c>
      <c r="V55" t="s">
        <v>251</v>
      </c>
      <c r="X55">
        <v>9.9315068493150693E-3</v>
      </c>
      <c r="Y55">
        <v>1.5803893294881032E-2</v>
      </c>
      <c r="Z55" t="s">
        <v>295</v>
      </c>
      <c r="AA55" t="s">
        <v>25</v>
      </c>
      <c r="AC55" t="s">
        <v>22</v>
      </c>
      <c r="AD55" t="s">
        <v>295</v>
      </c>
      <c r="AE55">
        <v>8.3098806928511709E-3</v>
      </c>
      <c r="AG55" t="s">
        <v>99</v>
      </c>
      <c r="AH55" t="s">
        <v>295</v>
      </c>
      <c r="AI55">
        <v>0.12236191648537131</v>
      </c>
    </row>
    <row r="56" spans="5:35" x14ac:dyDescent="0.45">
      <c r="E56" t="s">
        <v>213</v>
      </c>
      <c r="G56" t="s">
        <v>160</v>
      </c>
      <c r="I56" t="s">
        <v>249</v>
      </c>
      <c r="J56" t="s">
        <v>296</v>
      </c>
      <c r="K56">
        <v>2.1294764433553754E-3</v>
      </c>
      <c r="L56" t="s">
        <v>251</v>
      </c>
      <c r="N56" t="s">
        <v>419</v>
      </c>
      <c r="O56" t="s">
        <v>296</v>
      </c>
      <c r="P56">
        <v>1.9875923613831403E-3</v>
      </c>
      <c r="Q56" t="s">
        <v>251</v>
      </c>
      <c r="S56" t="s">
        <v>420</v>
      </c>
      <c r="T56" t="s">
        <v>296</v>
      </c>
      <c r="U56">
        <v>2.9883514959472262E-3</v>
      </c>
      <c r="V56" t="s">
        <v>251</v>
      </c>
      <c r="X56">
        <v>3.3105022831050228E-3</v>
      </c>
      <c r="Y56">
        <v>6.4407594328286487E-3</v>
      </c>
      <c r="Z56" t="s">
        <v>296</v>
      </c>
      <c r="AA56" t="s">
        <v>25</v>
      </c>
      <c r="AC56" t="s">
        <v>22</v>
      </c>
      <c r="AD56" t="s">
        <v>296</v>
      </c>
      <c r="AE56">
        <v>2.3883501255479531E-3</v>
      </c>
      <c r="AG56" t="s">
        <v>99</v>
      </c>
      <c r="AH56" t="s">
        <v>296</v>
      </c>
      <c r="AI56">
        <v>2.4986833635672001E-2</v>
      </c>
    </row>
    <row r="57" spans="5:35" x14ac:dyDescent="0.45">
      <c r="E57" t="s">
        <v>214</v>
      </c>
      <c r="G57" t="s">
        <v>160</v>
      </c>
      <c r="I57" t="s">
        <v>249</v>
      </c>
      <c r="J57" t="s">
        <v>297</v>
      </c>
      <c r="K57">
        <v>1.751606884212051E-4</v>
      </c>
      <c r="L57" t="s">
        <v>251</v>
      </c>
      <c r="N57" t="s">
        <v>419</v>
      </c>
      <c r="O57" t="s">
        <v>297</v>
      </c>
      <c r="P57">
        <v>2.2849030548835994E-3</v>
      </c>
      <c r="Q57" t="s">
        <v>251</v>
      </c>
      <c r="S57" t="s">
        <v>420</v>
      </c>
      <c r="T57" t="s">
        <v>297</v>
      </c>
      <c r="U57">
        <v>3.0517989889013307E-3</v>
      </c>
      <c r="V57" t="s">
        <v>251</v>
      </c>
      <c r="X57">
        <v>3.3105022831050228E-3</v>
      </c>
      <c r="Y57">
        <v>4.9987983657774574E-3</v>
      </c>
      <c r="Z57" t="s">
        <v>297</v>
      </c>
      <c r="AA57" t="s">
        <v>25</v>
      </c>
      <c r="AC57" t="s">
        <v>22</v>
      </c>
      <c r="AD57" t="s">
        <v>297</v>
      </c>
      <c r="AE57">
        <v>2.4114742802257031E-3</v>
      </c>
      <c r="AG57" t="s">
        <v>99</v>
      </c>
      <c r="AH57" t="s">
        <v>297</v>
      </c>
      <c r="AI57">
        <v>3.5021879803727618E-2</v>
      </c>
    </row>
    <row r="58" spans="5:35" x14ac:dyDescent="0.45">
      <c r="E58" t="s">
        <v>215</v>
      </c>
      <c r="G58" t="s">
        <v>160</v>
      </c>
      <c r="I58" t="s">
        <v>249</v>
      </c>
      <c r="J58" t="s">
        <v>298</v>
      </c>
      <c r="K58">
        <v>0</v>
      </c>
      <c r="L58" t="s">
        <v>251</v>
      </c>
      <c r="N58" t="s">
        <v>419</v>
      </c>
      <c r="O58" t="s">
        <v>298</v>
      </c>
      <c r="P58">
        <v>1.4453803479790164E-2</v>
      </c>
      <c r="Q58" t="s">
        <v>251</v>
      </c>
      <c r="S58" t="s">
        <v>420</v>
      </c>
      <c r="T58" t="s">
        <v>298</v>
      </c>
      <c r="U58">
        <v>1.5367245079449657E-2</v>
      </c>
      <c r="V58" t="s">
        <v>251</v>
      </c>
      <c r="X58">
        <v>1.6552511415525113E-2</v>
      </c>
      <c r="Y58">
        <v>1.2496995914443643E-2</v>
      </c>
      <c r="Z58" t="s">
        <v>298</v>
      </c>
      <c r="AA58" t="s">
        <v>25</v>
      </c>
      <c r="AC58" t="s">
        <v>22</v>
      </c>
      <c r="AD58" t="s">
        <v>298</v>
      </c>
      <c r="AE58">
        <v>1.6204571194348278E-2</v>
      </c>
      <c r="AG58" t="s">
        <v>99</v>
      </c>
      <c r="AH58" t="s">
        <v>298</v>
      </c>
      <c r="AI58">
        <v>0.24217800397831457</v>
      </c>
    </row>
    <row r="59" spans="5:35" x14ac:dyDescent="0.45">
      <c r="E59" t="s">
        <v>216</v>
      </c>
      <c r="G59" t="s">
        <v>164</v>
      </c>
      <c r="I59" t="s">
        <v>249</v>
      </c>
      <c r="J59" t="s">
        <v>299</v>
      </c>
      <c r="K59">
        <v>0</v>
      </c>
      <c r="L59" t="s">
        <v>251</v>
      </c>
      <c r="N59" t="s">
        <v>419</v>
      </c>
      <c r="O59" t="s">
        <v>299</v>
      </c>
      <c r="P59">
        <v>4.4499143765978162E-5</v>
      </c>
      <c r="Q59" t="s">
        <v>251</v>
      </c>
      <c r="S59" t="s">
        <v>420</v>
      </c>
      <c r="T59" t="s">
        <v>299</v>
      </c>
      <c r="U59">
        <v>5.9577225820407881E-5</v>
      </c>
      <c r="V59" t="s">
        <v>251</v>
      </c>
      <c r="X59">
        <v>1.1415525114155251E-4</v>
      </c>
      <c r="Y59">
        <v>2.1546544680075254E-5</v>
      </c>
      <c r="Z59" t="s">
        <v>299</v>
      </c>
      <c r="AA59" t="s">
        <v>25</v>
      </c>
      <c r="AC59" t="s">
        <v>22</v>
      </c>
      <c r="AD59" t="s">
        <v>299</v>
      </c>
      <c r="AE59">
        <v>1.4216691135430029E-4</v>
      </c>
      <c r="AG59" t="s">
        <v>99</v>
      </c>
      <c r="AH59" t="s">
        <v>299</v>
      </c>
      <c r="AI59">
        <v>0</v>
      </c>
    </row>
    <row r="60" spans="5:35" x14ac:dyDescent="0.45">
      <c r="E60" t="s">
        <v>217</v>
      </c>
      <c r="G60" t="s">
        <v>164</v>
      </c>
      <c r="I60" t="s">
        <v>249</v>
      </c>
      <c r="J60" t="s">
        <v>300</v>
      </c>
      <c r="K60">
        <v>0</v>
      </c>
      <c r="L60" t="s">
        <v>251</v>
      </c>
      <c r="N60" t="s">
        <v>419</v>
      </c>
      <c r="O60" t="s">
        <v>300</v>
      </c>
      <c r="P60">
        <v>4.4234966823909632E-5</v>
      </c>
      <c r="Q60" t="s">
        <v>251</v>
      </c>
      <c r="S60" t="s">
        <v>420</v>
      </c>
      <c r="T60" t="s">
        <v>300</v>
      </c>
      <c r="U60">
        <v>5.7133262606319879E-5</v>
      </c>
      <c r="V60" t="s">
        <v>251</v>
      </c>
      <c r="X60">
        <v>1.1415525114155251E-4</v>
      </c>
      <c r="Y60">
        <v>1.4916838624667481E-5</v>
      </c>
      <c r="Z60" t="s">
        <v>300</v>
      </c>
      <c r="AA60" t="s">
        <v>25</v>
      </c>
      <c r="AC60" t="s">
        <v>22</v>
      </c>
      <c r="AD60" t="s">
        <v>300</v>
      </c>
      <c r="AE60">
        <v>1.3834862615377537E-4</v>
      </c>
      <c r="AG60" t="s">
        <v>99</v>
      </c>
      <c r="AH60" t="s">
        <v>300</v>
      </c>
      <c r="AI60">
        <v>0</v>
      </c>
    </row>
    <row r="61" spans="5:35" x14ac:dyDescent="0.45">
      <c r="E61" t="s">
        <v>218</v>
      </c>
      <c r="G61" t="s">
        <v>164</v>
      </c>
      <c r="I61" t="s">
        <v>249</v>
      </c>
      <c r="J61" t="s">
        <v>301</v>
      </c>
      <c r="K61">
        <v>0</v>
      </c>
      <c r="L61" t="s">
        <v>251</v>
      </c>
      <c r="N61" t="s">
        <v>419</v>
      </c>
      <c r="O61" t="s">
        <v>301</v>
      </c>
      <c r="P61">
        <v>4.4101453381273371E-5</v>
      </c>
      <c r="Q61" t="s">
        <v>251</v>
      </c>
      <c r="S61" t="s">
        <v>420</v>
      </c>
      <c r="T61" t="s">
        <v>301</v>
      </c>
      <c r="U61">
        <v>5.5385318731688292E-5</v>
      </c>
      <c r="V61" t="s">
        <v>251</v>
      </c>
      <c r="X61">
        <v>1.1415525114155251E-4</v>
      </c>
      <c r="Y61">
        <v>1.6574265138519424E-5</v>
      </c>
      <c r="Z61" t="s">
        <v>301</v>
      </c>
      <c r="AA61" t="s">
        <v>25</v>
      </c>
      <c r="AC61" t="s">
        <v>22</v>
      </c>
      <c r="AD61" t="s">
        <v>301</v>
      </c>
      <c r="AE61">
        <v>1.3569190977400294E-4</v>
      </c>
      <c r="AG61" t="s">
        <v>99</v>
      </c>
      <c r="AH61" t="s">
        <v>301</v>
      </c>
      <c r="AI61">
        <v>0</v>
      </c>
    </row>
    <row r="62" spans="5:35" x14ac:dyDescent="0.45">
      <c r="E62" t="s">
        <v>219</v>
      </c>
      <c r="G62" t="s">
        <v>164</v>
      </c>
      <c r="I62" t="s">
        <v>249</v>
      </c>
      <c r="J62" t="s">
        <v>302</v>
      </c>
      <c r="K62">
        <v>0</v>
      </c>
      <c r="L62" t="s">
        <v>251</v>
      </c>
      <c r="N62" t="s">
        <v>419</v>
      </c>
      <c r="O62" t="s">
        <v>302</v>
      </c>
      <c r="P62">
        <v>4.4004452299967778E-5</v>
      </c>
      <c r="Q62" t="s">
        <v>251</v>
      </c>
      <c r="S62" t="s">
        <v>420</v>
      </c>
      <c r="T62" t="s">
        <v>302</v>
      </c>
      <c r="U62">
        <v>5.1995407682923491E-5</v>
      </c>
      <c r="V62" t="s">
        <v>251</v>
      </c>
      <c r="X62">
        <v>1.1415525114155251E-4</v>
      </c>
      <c r="Y62">
        <v>1.4585353321897093E-5</v>
      </c>
      <c r="Z62" t="s">
        <v>302</v>
      </c>
      <c r="AA62" t="s">
        <v>25</v>
      </c>
      <c r="AC62" t="s">
        <v>22</v>
      </c>
      <c r="AD62" t="s">
        <v>302</v>
      </c>
      <c r="AE62">
        <v>1.3569190977400294E-4</v>
      </c>
      <c r="AG62" t="s">
        <v>99</v>
      </c>
      <c r="AH62" t="s">
        <v>302</v>
      </c>
      <c r="AI62">
        <v>0</v>
      </c>
    </row>
    <row r="63" spans="5:35" x14ac:dyDescent="0.45">
      <c r="E63" t="s">
        <v>220</v>
      </c>
      <c r="G63" t="s">
        <v>164</v>
      </c>
      <c r="I63" t="s">
        <v>249</v>
      </c>
      <c r="J63" t="s">
        <v>303</v>
      </c>
      <c r="K63">
        <v>0</v>
      </c>
      <c r="L63" t="s">
        <v>251</v>
      </c>
      <c r="N63" t="s">
        <v>419</v>
      </c>
      <c r="O63" t="s">
        <v>303</v>
      </c>
      <c r="P63">
        <v>4.2487077012462368E-5</v>
      </c>
      <c r="Q63" t="s">
        <v>251</v>
      </c>
      <c r="S63" t="s">
        <v>420</v>
      </c>
      <c r="T63" t="s">
        <v>303</v>
      </c>
      <c r="U63">
        <v>5.1299614741577302E-5</v>
      </c>
      <c r="V63" t="s">
        <v>251</v>
      </c>
      <c r="X63">
        <v>1.1415525114155251E-4</v>
      </c>
      <c r="Y63">
        <v>2.1215059377304864E-5</v>
      </c>
      <c r="Z63" t="s">
        <v>303</v>
      </c>
      <c r="AA63" t="s">
        <v>25</v>
      </c>
      <c r="AC63" t="s">
        <v>22</v>
      </c>
      <c r="AD63" t="s">
        <v>303</v>
      </c>
      <c r="AE63">
        <v>1.3436950834730006E-4</v>
      </c>
      <c r="AG63" t="s">
        <v>99</v>
      </c>
      <c r="AH63" t="s">
        <v>303</v>
      </c>
      <c r="AI63">
        <v>0</v>
      </c>
    </row>
    <row r="64" spans="5:35" x14ac:dyDescent="0.45">
      <c r="E64" t="s">
        <v>221</v>
      </c>
      <c r="G64" t="s">
        <v>164</v>
      </c>
      <c r="I64" t="s">
        <v>249</v>
      </c>
      <c r="J64" t="s">
        <v>304</v>
      </c>
      <c r="K64">
        <v>0</v>
      </c>
      <c r="L64" t="s">
        <v>251</v>
      </c>
      <c r="N64" t="s">
        <v>419</v>
      </c>
      <c r="O64" t="s">
        <v>304</v>
      </c>
      <c r="P64">
        <v>4.0711811748859439E-5</v>
      </c>
      <c r="Q64" t="s">
        <v>251</v>
      </c>
      <c r="S64" t="s">
        <v>420</v>
      </c>
      <c r="T64" t="s">
        <v>304</v>
      </c>
      <c r="U64">
        <v>5.0782609338270538E-5</v>
      </c>
      <c r="V64" t="s">
        <v>251</v>
      </c>
      <c r="X64">
        <v>1.1415525114155251E-4</v>
      </c>
      <c r="Y64">
        <v>5.7678442682047593E-5</v>
      </c>
      <c r="Z64" t="s">
        <v>304</v>
      </c>
      <c r="AA64" t="s">
        <v>25</v>
      </c>
      <c r="AC64" t="s">
        <v>22</v>
      </c>
      <c r="AD64" t="s">
        <v>304</v>
      </c>
      <c r="AE64">
        <v>1.3436950834730006E-4</v>
      </c>
      <c r="AG64" t="s">
        <v>99</v>
      </c>
      <c r="AH64" t="s">
        <v>304</v>
      </c>
      <c r="AI64">
        <v>0</v>
      </c>
    </row>
    <row r="65" spans="5:35" x14ac:dyDescent="0.45">
      <c r="E65" t="s">
        <v>222</v>
      </c>
      <c r="G65" t="s">
        <v>164</v>
      </c>
      <c r="I65" t="s">
        <v>249</v>
      </c>
      <c r="J65" t="s">
        <v>305</v>
      </c>
      <c r="K65">
        <v>0</v>
      </c>
      <c r="L65" t="s">
        <v>251</v>
      </c>
      <c r="N65" t="s">
        <v>419</v>
      </c>
      <c r="O65" t="s">
        <v>305</v>
      </c>
      <c r="P65">
        <v>3.8615827402659132E-5</v>
      </c>
      <c r="Q65" t="s">
        <v>251</v>
      </c>
      <c r="S65" t="s">
        <v>420</v>
      </c>
      <c r="T65" t="s">
        <v>305</v>
      </c>
      <c r="U65">
        <v>5.3202695258249142E-5</v>
      </c>
      <c r="V65" t="s">
        <v>251</v>
      </c>
      <c r="X65">
        <v>1.1415525114155251E-4</v>
      </c>
      <c r="Y65">
        <v>1.6905750441289813E-4</v>
      </c>
      <c r="Z65" t="s">
        <v>305</v>
      </c>
      <c r="AA65" t="s">
        <v>25</v>
      </c>
      <c r="AC65" t="s">
        <v>22</v>
      </c>
      <c r="AD65" t="s">
        <v>305</v>
      </c>
      <c r="AE65">
        <v>1.3591231001178677E-4</v>
      </c>
      <c r="AG65" t="s">
        <v>99</v>
      </c>
      <c r="AH65" t="s">
        <v>305</v>
      </c>
      <c r="AI65">
        <v>0</v>
      </c>
    </row>
    <row r="66" spans="5:35" x14ac:dyDescent="0.45">
      <c r="E66" t="s">
        <v>223</v>
      </c>
      <c r="G66" t="s">
        <v>164</v>
      </c>
      <c r="I66" t="s">
        <v>249</v>
      </c>
      <c r="J66" t="s">
        <v>306</v>
      </c>
      <c r="K66">
        <v>1.1674552845265375E-6</v>
      </c>
      <c r="L66" t="s">
        <v>251</v>
      </c>
      <c r="N66" t="s">
        <v>419</v>
      </c>
      <c r="O66" t="s">
        <v>306</v>
      </c>
      <c r="P66">
        <v>4.1845524210227469E-5</v>
      </c>
      <c r="Q66" t="s">
        <v>251</v>
      </c>
      <c r="S66" t="s">
        <v>420</v>
      </c>
      <c r="T66" t="s">
        <v>306</v>
      </c>
      <c r="U66">
        <v>5.6800220836299827E-5</v>
      </c>
      <c r="V66" t="s">
        <v>251</v>
      </c>
      <c r="X66">
        <v>1.1415525114155251E-4</v>
      </c>
      <c r="Y66">
        <v>1.9060404909297337E-4</v>
      </c>
      <c r="Z66" t="s">
        <v>306</v>
      </c>
      <c r="AA66" t="s">
        <v>25</v>
      </c>
      <c r="AC66" t="s">
        <v>22</v>
      </c>
      <c r="AD66" t="s">
        <v>306</v>
      </c>
      <c r="AE66">
        <v>1.4780200932574584E-4</v>
      </c>
      <c r="AG66" t="s">
        <v>99</v>
      </c>
      <c r="AH66" t="s">
        <v>306</v>
      </c>
      <c r="AI66">
        <v>0</v>
      </c>
    </row>
    <row r="67" spans="5:35" x14ac:dyDescent="0.45">
      <c r="E67" t="s">
        <v>224</v>
      </c>
      <c r="G67" t="s">
        <v>164</v>
      </c>
      <c r="I67" t="s">
        <v>249</v>
      </c>
      <c r="J67" t="s">
        <v>307</v>
      </c>
      <c r="K67">
        <v>3.4350279544761811E-5</v>
      </c>
      <c r="L67" t="s">
        <v>251</v>
      </c>
      <c r="N67" t="s">
        <v>419</v>
      </c>
      <c r="O67" t="s">
        <v>307</v>
      </c>
      <c r="P67">
        <v>3.9344890510767599E-5</v>
      </c>
      <c r="Q67" t="s">
        <v>251</v>
      </c>
      <c r="S67" t="s">
        <v>420</v>
      </c>
      <c r="T67" t="s">
        <v>307</v>
      </c>
      <c r="U67">
        <v>6.7774610768942358E-5</v>
      </c>
      <c r="V67" t="s">
        <v>251</v>
      </c>
      <c r="X67">
        <v>1.1415525114155251E-4</v>
      </c>
      <c r="Y67">
        <v>1.4585353321897094E-4</v>
      </c>
      <c r="Z67" t="s">
        <v>307</v>
      </c>
      <c r="AA67" t="s">
        <v>25</v>
      </c>
      <c r="AC67" t="s">
        <v>22</v>
      </c>
      <c r="AD67" t="s">
        <v>307</v>
      </c>
      <c r="AE67">
        <v>1.5061955831146859E-4</v>
      </c>
      <c r="AG67" t="s">
        <v>99</v>
      </c>
      <c r="AH67" t="s">
        <v>307</v>
      </c>
      <c r="AI67">
        <v>0</v>
      </c>
    </row>
    <row r="68" spans="5:35" x14ac:dyDescent="0.45">
      <c r="E68" t="s">
        <v>225</v>
      </c>
      <c r="G68" t="s">
        <v>164</v>
      </c>
      <c r="I68" t="s">
        <v>249</v>
      </c>
      <c r="J68" t="s">
        <v>308</v>
      </c>
      <c r="K68">
        <v>5.4465530851961328E-5</v>
      </c>
      <c r="L68" t="s">
        <v>251</v>
      </c>
      <c r="N68" t="s">
        <v>419</v>
      </c>
      <c r="O68" t="s">
        <v>308</v>
      </c>
      <c r="P68">
        <v>2.9652874354868337E-5</v>
      </c>
      <c r="Q68" t="s">
        <v>251</v>
      </c>
      <c r="S68" t="s">
        <v>420</v>
      </c>
      <c r="T68" t="s">
        <v>308</v>
      </c>
      <c r="U68">
        <v>7.1337021978762545E-5</v>
      </c>
      <c r="V68" t="s">
        <v>251</v>
      </c>
      <c r="X68">
        <v>1.1415525114155251E-4</v>
      </c>
      <c r="Y68">
        <v>1.4452759200788939E-4</v>
      </c>
      <c r="Z68" t="s">
        <v>308</v>
      </c>
      <c r="AA68" t="s">
        <v>25</v>
      </c>
      <c r="AC68" t="s">
        <v>22</v>
      </c>
      <c r="AD68" t="s">
        <v>308</v>
      </c>
      <c r="AE68">
        <v>1.5763662534145048E-4</v>
      </c>
      <c r="AG68" t="s">
        <v>99</v>
      </c>
      <c r="AH68" t="s">
        <v>308</v>
      </c>
      <c r="AI68">
        <v>0</v>
      </c>
    </row>
    <row r="69" spans="5:35" x14ac:dyDescent="0.45">
      <c r="E69" t="s">
        <v>226</v>
      </c>
      <c r="G69" t="s">
        <v>164</v>
      </c>
      <c r="I69" t="s">
        <v>249</v>
      </c>
      <c r="J69" t="s">
        <v>309</v>
      </c>
      <c r="K69">
        <v>7.1974736236062322E-5</v>
      </c>
      <c r="L69" t="s">
        <v>251</v>
      </c>
      <c r="N69" t="s">
        <v>419</v>
      </c>
      <c r="O69" t="s">
        <v>309</v>
      </c>
      <c r="P69">
        <v>2.5341769434099131E-5</v>
      </c>
      <c r="Q69" t="s">
        <v>251</v>
      </c>
      <c r="S69" t="s">
        <v>420</v>
      </c>
      <c r="T69" t="s">
        <v>309</v>
      </c>
      <c r="U69">
        <v>6.6732109978240244E-5</v>
      </c>
      <c r="V69" t="s">
        <v>251</v>
      </c>
      <c r="X69">
        <v>1.1415525114155251E-4</v>
      </c>
      <c r="Y69">
        <v>1.408812536774151E-4</v>
      </c>
      <c r="Z69" t="s">
        <v>309</v>
      </c>
      <c r="AA69" t="s">
        <v>25</v>
      </c>
      <c r="AC69" t="s">
        <v>22</v>
      </c>
      <c r="AD69" t="s">
        <v>309</v>
      </c>
      <c r="AE69">
        <v>1.607460557231572E-4</v>
      </c>
      <c r="AG69" t="s">
        <v>99</v>
      </c>
      <c r="AH69" t="s">
        <v>309</v>
      </c>
      <c r="AI69">
        <v>0</v>
      </c>
    </row>
    <row r="70" spans="5:35" x14ac:dyDescent="0.45">
      <c r="E70" t="s">
        <v>227</v>
      </c>
      <c r="G70" t="s">
        <v>164</v>
      </c>
      <c r="I70" t="s">
        <v>249</v>
      </c>
      <c r="J70" t="s">
        <v>310</v>
      </c>
      <c r="K70">
        <v>9.5278243135412836E-5</v>
      </c>
      <c r="L70" t="s">
        <v>251</v>
      </c>
      <c r="N70" t="s">
        <v>419</v>
      </c>
      <c r="O70" t="s">
        <v>310</v>
      </c>
      <c r="P70">
        <v>3.0796740204960403E-5</v>
      </c>
      <c r="Q70" t="s">
        <v>251</v>
      </c>
      <c r="S70" t="s">
        <v>420</v>
      </c>
      <c r="T70" t="s">
        <v>310</v>
      </c>
      <c r="U70">
        <v>5.919997086820766E-5</v>
      </c>
      <c r="V70" t="s">
        <v>251</v>
      </c>
      <c r="X70">
        <v>1.1415525114155251E-4</v>
      </c>
      <c r="Y70">
        <v>1.4054976837464471E-4</v>
      </c>
      <c r="Z70" t="s">
        <v>310</v>
      </c>
      <c r="AA70" t="s">
        <v>25</v>
      </c>
      <c r="AC70" t="s">
        <v>22</v>
      </c>
      <c r="AD70" t="s">
        <v>310</v>
      </c>
      <c r="AE70">
        <v>1.5717795457633282E-4</v>
      </c>
      <c r="AG70" t="s">
        <v>99</v>
      </c>
      <c r="AH70" t="s">
        <v>310</v>
      </c>
      <c r="AI70">
        <v>0</v>
      </c>
    </row>
    <row r="71" spans="5:35" x14ac:dyDescent="0.45">
      <c r="E71" t="s">
        <v>228</v>
      </c>
      <c r="G71" t="s">
        <v>164</v>
      </c>
      <c r="I71" t="s">
        <v>249</v>
      </c>
      <c r="J71" t="s">
        <v>311</v>
      </c>
      <c r="K71">
        <v>1.176239729482E-4</v>
      </c>
      <c r="L71" t="s">
        <v>251</v>
      </c>
      <c r="N71" t="s">
        <v>419</v>
      </c>
      <c r="O71" t="s">
        <v>311</v>
      </c>
      <c r="P71">
        <v>2.866131419145021E-5</v>
      </c>
      <c r="Q71" t="s">
        <v>251</v>
      </c>
      <c r="S71" t="s">
        <v>420</v>
      </c>
      <c r="T71" t="s">
        <v>311</v>
      </c>
      <c r="U71">
        <v>5.0872603940587072E-5</v>
      </c>
      <c r="V71" t="s">
        <v>251</v>
      </c>
      <c r="X71">
        <v>1.1415525114155251E-4</v>
      </c>
      <c r="Y71">
        <v>1.4253868019126702E-4</v>
      </c>
      <c r="Z71" t="s">
        <v>311</v>
      </c>
      <c r="AA71" t="s">
        <v>25</v>
      </c>
      <c r="AC71" t="s">
        <v>22</v>
      </c>
      <c r="AD71" t="s">
        <v>311</v>
      </c>
      <c r="AE71">
        <v>1.4293533380495195E-4</v>
      </c>
      <c r="AG71" t="s">
        <v>99</v>
      </c>
      <c r="AH71" t="s">
        <v>311</v>
      </c>
      <c r="AI71">
        <v>0</v>
      </c>
    </row>
    <row r="72" spans="5:35" x14ac:dyDescent="0.45">
      <c r="E72" t="s">
        <v>229</v>
      </c>
      <c r="G72" t="s">
        <v>164</v>
      </c>
      <c r="I72" t="s">
        <v>249</v>
      </c>
      <c r="J72" t="s">
        <v>312</v>
      </c>
      <c r="K72">
        <v>1.0776810514560001E-4</v>
      </c>
      <c r="L72" t="s">
        <v>251</v>
      </c>
      <c r="N72" t="s">
        <v>419</v>
      </c>
      <c r="O72" t="s">
        <v>312</v>
      </c>
      <c r="P72">
        <v>2.584334668492916E-5</v>
      </c>
      <c r="Q72" t="s">
        <v>251</v>
      </c>
      <c r="S72" t="s">
        <v>420</v>
      </c>
      <c r="T72" t="s">
        <v>312</v>
      </c>
      <c r="U72">
        <v>4.4728438378380447E-5</v>
      </c>
      <c r="V72" t="s">
        <v>251</v>
      </c>
      <c r="X72">
        <v>1.1415525114155251E-4</v>
      </c>
      <c r="Y72">
        <v>1.4883690094390442E-4</v>
      </c>
      <c r="Z72" t="s">
        <v>312</v>
      </c>
      <c r="AA72" t="s">
        <v>25</v>
      </c>
      <c r="AC72" t="s">
        <v>22</v>
      </c>
      <c r="AD72" t="s">
        <v>312</v>
      </c>
      <c r="AE72">
        <v>1.2474337904301258E-4</v>
      </c>
      <c r="AG72" t="s">
        <v>99</v>
      </c>
      <c r="AH72" t="s">
        <v>312</v>
      </c>
      <c r="AI72">
        <v>0</v>
      </c>
    </row>
    <row r="73" spans="5:35" x14ac:dyDescent="0.45">
      <c r="E73" t="s">
        <v>230</v>
      </c>
      <c r="G73" t="s">
        <v>164</v>
      </c>
      <c r="I73" t="s">
        <v>249</v>
      </c>
      <c r="J73" t="s">
        <v>313</v>
      </c>
      <c r="K73">
        <v>1.006089100692E-4</v>
      </c>
      <c r="L73" t="s">
        <v>251</v>
      </c>
      <c r="N73" t="s">
        <v>419</v>
      </c>
      <c r="O73" t="s">
        <v>313</v>
      </c>
      <c r="P73">
        <v>2.3832261545094293E-5</v>
      </c>
      <c r="Q73" t="s">
        <v>251</v>
      </c>
      <c r="S73" t="s">
        <v>420</v>
      </c>
      <c r="T73" t="s">
        <v>313</v>
      </c>
      <c r="U73">
        <v>4.5620382344985283E-5</v>
      </c>
      <c r="V73" t="s">
        <v>251</v>
      </c>
      <c r="X73">
        <v>1.1415525114155251E-4</v>
      </c>
      <c r="Y73">
        <v>1.5049432745775637E-4</v>
      </c>
      <c r="Z73" t="s">
        <v>313</v>
      </c>
      <c r="AA73" t="s">
        <v>25</v>
      </c>
      <c r="AC73" t="s">
        <v>22</v>
      </c>
      <c r="AD73" t="s">
        <v>313</v>
      </c>
      <c r="AE73">
        <v>1.1412247028710623E-4</v>
      </c>
      <c r="AG73" t="s">
        <v>99</v>
      </c>
      <c r="AH73" t="s">
        <v>313</v>
      </c>
      <c r="AI73">
        <v>0</v>
      </c>
    </row>
    <row r="74" spans="5:35" x14ac:dyDescent="0.45">
      <c r="E74" t="s">
        <v>231</v>
      </c>
      <c r="G74" t="s">
        <v>164</v>
      </c>
      <c r="I74" t="s">
        <v>249</v>
      </c>
      <c r="J74" t="s">
        <v>314</v>
      </c>
      <c r="K74">
        <v>9.3775725353677339E-5</v>
      </c>
      <c r="L74" t="s">
        <v>251</v>
      </c>
      <c r="N74" t="s">
        <v>419</v>
      </c>
      <c r="O74" t="s">
        <v>314</v>
      </c>
      <c r="P74">
        <v>2.4164572293492236E-5</v>
      </c>
      <c r="Q74" t="s">
        <v>251</v>
      </c>
      <c r="S74" t="s">
        <v>420</v>
      </c>
      <c r="T74" t="s">
        <v>314</v>
      </c>
      <c r="U74">
        <v>5.2139079556697794E-5</v>
      </c>
      <c r="V74" t="s">
        <v>251</v>
      </c>
      <c r="X74">
        <v>1.1415525114155251E-4</v>
      </c>
      <c r="Y74">
        <v>1.7237235744060203E-4</v>
      </c>
      <c r="Z74" t="s">
        <v>314</v>
      </c>
      <c r="AA74" t="s">
        <v>25</v>
      </c>
      <c r="AC74" t="s">
        <v>22</v>
      </c>
      <c r="AD74" t="s">
        <v>314</v>
      </c>
      <c r="AE74">
        <v>9.3440588514528126E-5</v>
      </c>
      <c r="AG74" t="s">
        <v>99</v>
      </c>
      <c r="AH74" t="s">
        <v>314</v>
      </c>
      <c r="AI74">
        <v>0</v>
      </c>
    </row>
    <row r="75" spans="5:35" x14ac:dyDescent="0.45">
      <c r="E75" t="s">
        <v>232</v>
      </c>
      <c r="G75" t="s">
        <v>164</v>
      </c>
      <c r="I75" t="s">
        <v>249</v>
      </c>
      <c r="J75" t="s">
        <v>315</v>
      </c>
      <c r="K75">
        <v>8.6068357588442543E-5</v>
      </c>
      <c r="L75" t="s">
        <v>251</v>
      </c>
      <c r="N75" t="s">
        <v>419</v>
      </c>
      <c r="O75" t="s">
        <v>315</v>
      </c>
      <c r="P75">
        <v>2.4995836368786968E-5</v>
      </c>
      <c r="Q75" t="s">
        <v>251</v>
      </c>
      <c r="S75" t="s">
        <v>420</v>
      </c>
      <c r="T75" t="s">
        <v>315</v>
      </c>
      <c r="U75">
        <v>6.032169745863095E-5</v>
      </c>
      <c r="V75" t="s">
        <v>251</v>
      </c>
      <c r="X75">
        <v>1.1415525114155251E-4</v>
      </c>
      <c r="Y75">
        <v>2.2209515285616027E-4</v>
      </c>
      <c r="Z75" t="s">
        <v>315</v>
      </c>
      <c r="AA75" t="s">
        <v>25</v>
      </c>
      <c r="AC75" t="s">
        <v>22</v>
      </c>
      <c r="AD75" t="s">
        <v>315</v>
      </c>
      <c r="AE75">
        <v>8.9622303314003203E-5</v>
      </c>
      <c r="AG75" t="s">
        <v>99</v>
      </c>
      <c r="AH75" t="s">
        <v>315</v>
      </c>
      <c r="AI75">
        <v>0</v>
      </c>
    </row>
    <row r="76" spans="5:35" x14ac:dyDescent="0.45">
      <c r="E76" t="s">
        <v>233</v>
      </c>
      <c r="G76" t="s">
        <v>164</v>
      </c>
      <c r="I76" t="s">
        <v>249</v>
      </c>
      <c r="J76" t="s">
        <v>316</v>
      </c>
      <c r="K76">
        <v>6.09903040000963E-5</v>
      </c>
      <c r="L76" t="s">
        <v>251</v>
      </c>
      <c r="N76" t="s">
        <v>419</v>
      </c>
      <c r="O76" t="s">
        <v>316</v>
      </c>
      <c r="P76">
        <v>2.5601439498923502E-5</v>
      </c>
      <c r="Q76" t="s">
        <v>251</v>
      </c>
      <c r="S76" t="s">
        <v>420</v>
      </c>
      <c r="T76" t="s">
        <v>316</v>
      </c>
      <c r="U76">
        <v>6.7594174428298266E-5</v>
      </c>
      <c r="V76" t="s">
        <v>251</v>
      </c>
      <c r="X76">
        <v>1.1415525114155251E-4</v>
      </c>
      <c r="Y76">
        <v>2.2209515285616027E-4</v>
      </c>
      <c r="Z76" t="s">
        <v>316</v>
      </c>
      <c r="AA76" t="s">
        <v>25</v>
      </c>
      <c r="AC76" t="s">
        <v>22</v>
      </c>
      <c r="AD76" t="s">
        <v>316</v>
      </c>
      <c r="AE76">
        <v>8.5631271981161219E-5</v>
      </c>
      <c r="AG76" t="s">
        <v>99</v>
      </c>
      <c r="AH76" t="s">
        <v>316</v>
      </c>
      <c r="AI76">
        <v>0</v>
      </c>
    </row>
    <row r="77" spans="5:35" x14ac:dyDescent="0.45">
      <c r="E77" t="s">
        <v>234</v>
      </c>
      <c r="G77" t="s">
        <v>164</v>
      </c>
      <c r="I77" t="s">
        <v>249</v>
      </c>
      <c r="J77" t="s">
        <v>317</v>
      </c>
      <c r="K77">
        <v>3.2322467964585049E-6</v>
      </c>
      <c r="L77" t="s">
        <v>251</v>
      </c>
      <c r="N77" t="s">
        <v>419</v>
      </c>
      <c r="O77" t="s">
        <v>317</v>
      </c>
      <c r="P77">
        <v>2.8693943736878041E-5</v>
      </c>
      <c r="Q77" t="s">
        <v>251</v>
      </c>
      <c r="S77" t="s">
        <v>420</v>
      </c>
      <c r="T77" t="s">
        <v>317</v>
      </c>
      <c r="U77">
        <v>6.9745630753263737E-5</v>
      </c>
      <c r="V77" t="s">
        <v>251</v>
      </c>
      <c r="X77">
        <v>1.1415525114155251E-4</v>
      </c>
      <c r="Y77">
        <v>1.7237235744060203E-4</v>
      </c>
      <c r="Z77" t="s">
        <v>317</v>
      </c>
      <c r="AA77" t="s">
        <v>25</v>
      </c>
      <c r="AC77" t="s">
        <v>22</v>
      </c>
      <c r="AD77" t="s">
        <v>317</v>
      </c>
      <c r="AE77">
        <v>8.6846451670563853E-5</v>
      </c>
      <c r="AG77" t="s">
        <v>99</v>
      </c>
      <c r="AH77" t="s">
        <v>317</v>
      </c>
      <c r="AI77">
        <v>0</v>
      </c>
    </row>
    <row r="78" spans="5:35" x14ac:dyDescent="0.45">
      <c r="E78" t="s">
        <v>235</v>
      </c>
      <c r="G78" t="s">
        <v>164</v>
      </c>
      <c r="I78" t="s">
        <v>249</v>
      </c>
      <c r="J78" t="s">
        <v>318</v>
      </c>
      <c r="K78">
        <v>0</v>
      </c>
      <c r="L78" t="s">
        <v>251</v>
      </c>
      <c r="N78" t="s">
        <v>419</v>
      </c>
      <c r="O78" t="s">
        <v>318</v>
      </c>
      <c r="P78">
        <v>3.597427121552569E-5</v>
      </c>
      <c r="Q78" t="s">
        <v>251</v>
      </c>
      <c r="S78" t="s">
        <v>420</v>
      </c>
      <c r="T78" t="s">
        <v>318</v>
      </c>
      <c r="U78">
        <v>6.429807690388643E-5</v>
      </c>
      <c r="V78" t="s">
        <v>251</v>
      </c>
      <c r="X78">
        <v>1.1415525114155251E-4</v>
      </c>
      <c r="Y78">
        <v>1.5579809230208258E-4</v>
      </c>
      <c r="Z78" t="s">
        <v>318</v>
      </c>
      <c r="AA78" t="s">
        <v>25</v>
      </c>
      <c r="AC78" t="s">
        <v>22</v>
      </c>
      <c r="AD78" t="s">
        <v>318</v>
      </c>
      <c r="AE78">
        <v>9.1629732506790873E-5</v>
      </c>
      <c r="AG78" t="s">
        <v>99</v>
      </c>
      <c r="AH78" t="s">
        <v>318</v>
      </c>
      <c r="AI78">
        <v>0</v>
      </c>
    </row>
    <row r="79" spans="5:35" x14ac:dyDescent="0.45">
      <c r="E79" t="s">
        <v>236</v>
      </c>
      <c r="G79" t="s">
        <v>164</v>
      </c>
      <c r="I79" t="s">
        <v>249</v>
      </c>
      <c r="J79" t="s">
        <v>319</v>
      </c>
      <c r="K79">
        <v>0</v>
      </c>
      <c r="L79" t="s">
        <v>251</v>
      </c>
      <c r="N79" t="s">
        <v>419</v>
      </c>
      <c r="O79" t="s">
        <v>319</v>
      </c>
      <c r="P79">
        <v>4.3827917386146018E-5</v>
      </c>
      <c r="Q79" t="s">
        <v>251</v>
      </c>
      <c r="S79" t="s">
        <v>420</v>
      </c>
      <c r="T79" t="s">
        <v>319</v>
      </c>
      <c r="U79">
        <v>6.0080371498222193E-5</v>
      </c>
      <c r="V79" t="s">
        <v>251</v>
      </c>
      <c r="X79">
        <v>1.1415525114155251E-4</v>
      </c>
      <c r="Y79">
        <v>1.093901499142282E-4</v>
      </c>
      <c r="Z79" t="s">
        <v>319</v>
      </c>
      <c r="AA79" t="s">
        <v>25</v>
      </c>
      <c r="AC79" t="s">
        <v>22</v>
      </c>
      <c r="AD79" t="s">
        <v>319</v>
      </c>
      <c r="AE79">
        <v>1.0976807640008015E-4</v>
      </c>
      <c r="AG79" t="s">
        <v>99</v>
      </c>
      <c r="AH79" t="s">
        <v>319</v>
      </c>
      <c r="AI79">
        <v>0</v>
      </c>
    </row>
    <row r="80" spans="5:35" x14ac:dyDescent="0.45">
      <c r="E80" t="s">
        <v>237</v>
      </c>
      <c r="G80" t="s">
        <v>164</v>
      </c>
      <c r="I80" t="s">
        <v>249</v>
      </c>
      <c r="J80" t="s">
        <v>320</v>
      </c>
      <c r="K80">
        <v>0</v>
      </c>
      <c r="L80" t="s">
        <v>251</v>
      </c>
      <c r="N80" t="s">
        <v>419</v>
      </c>
      <c r="O80" t="s">
        <v>320</v>
      </c>
      <c r="P80">
        <v>4.7520183322475729E-5</v>
      </c>
      <c r="Q80" t="s">
        <v>251</v>
      </c>
      <c r="S80" t="s">
        <v>420</v>
      </c>
      <c r="T80" t="s">
        <v>320</v>
      </c>
      <c r="U80">
        <v>5.0372139819090582E-5</v>
      </c>
      <c r="V80" t="s">
        <v>251</v>
      </c>
      <c r="X80">
        <v>1.1415525114155251E-4</v>
      </c>
      <c r="Y80">
        <v>7.9556472664893237E-5</v>
      </c>
      <c r="Z80" t="s">
        <v>320</v>
      </c>
      <c r="AA80" t="s">
        <v>25</v>
      </c>
      <c r="AC80" t="s">
        <v>22</v>
      </c>
      <c r="AD80" t="s">
        <v>320</v>
      </c>
      <c r="AE80">
        <v>1.2981854127522356E-4</v>
      </c>
      <c r="AG80" t="s">
        <v>99</v>
      </c>
      <c r="AH80" t="s">
        <v>320</v>
      </c>
      <c r="AI80">
        <v>0</v>
      </c>
    </row>
    <row r="81" spans="5:35" x14ac:dyDescent="0.45">
      <c r="E81" t="s">
        <v>238</v>
      </c>
      <c r="G81" t="s">
        <v>164</v>
      </c>
      <c r="I81" t="s">
        <v>249</v>
      </c>
      <c r="J81" t="s">
        <v>321</v>
      </c>
      <c r="K81">
        <v>0</v>
      </c>
      <c r="L81" t="s">
        <v>251</v>
      </c>
      <c r="N81" t="s">
        <v>419</v>
      </c>
      <c r="O81" t="s">
        <v>321</v>
      </c>
      <c r="P81">
        <v>4.4157841581766655E-5</v>
      </c>
      <c r="Q81" t="s">
        <v>251</v>
      </c>
      <c r="S81" t="s">
        <v>420</v>
      </c>
      <c r="T81" t="s">
        <v>321</v>
      </c>
      <c r="U81">
        <v>4.7558686780736096E-5</v>
      </c>
      <c r="V81" t="s">
        <v>251</v>
      </c>
      <c r="X81">
        <v>1.1415525114155251E-4</v>
      </c>
      <c r="Y81">
        <v>5.6352501470966035E-5</v>
      </c>
      <c r="Z81" t="s">
        <v>321</v>
      </c>
      <c r="AA81" t="s">
        <v>25</v>
      </c>
      <c r="AC81" t="s">
        <v>22</v>
      </c>
      <c r="AD81" t="s">
        <v>321</v>
      </c>
      <c r="AE81">
        <v>1.3696665709523904E-4</v>
      </c>
      <c r="AG81" t="s">
        <v>99</v>
      </c>
      <c r="AH81" t="s">
        <v>321</v>
      </c>
      <c r="AI81">
        <v>0</v>
      </c>
    </row>
    <row r="82" spans="5:35" x14ac:dyDescent="0.45">
      <c r="E82" t="s">
        <v>239</v>
      </c>
      <c r="G82" t="s">
        <v>164</v>
      </c>
      <c r="I82" t="s">
        <v>249</v>
      </c>
      <c r="J82" t="s">
        <v>322</v>
      </c>
      <c r="K82">
        <v>0</v>
      </c>
      <c r="L82" t="s">
        <v>251</v>
      </c>
      <c r="N82" t="s">
        <v>419</v>
      </c>
      <c r="O82" t="s">
        <v>322</v>
      </c>
      <c r="P82">
        <v>4.29419329566179E-5</v>
      </c>
      <c r="Q82" t="s">
        <v>251</v>
      </c>
      <c r="S82" t="s">
        <v>420</v>
      </c>
      <c r="T82" t="s">
        <v>322</v>
      </c>
      <c r="U82">
        <v>4.8612016254802383E-5</v>
      </c>
      <c r="V82" t="s">
        <v>251</v>
      </c>
      <c r="X82">
        <v>1.1415525114155251E-4</v>
      </c>
      <c r="Y82">
        <v>2.9833677249334962E-5</v>
      </c>
      <c r="Z82" t="s">
        <v>322</v>
      </c>
      <c r="AA82" t="s">
        <v>25</v>
      </c>
      <c r="AC82" t="s">
        <v>22</v>
      </c>
      <c r="AD82" t="s">
        <v>322</v>
      </c>
      <c r="AE82">
        <v>1.4573501250112467E-4</v>
      </c>
      <c r="AG82" t="s">
        <v>99</v>
      </c>
      <c r="AH82" t="s">
        <v>322</v>
      </c>
      <c r="AI82">
        <v>0</v>
      </c>
    </row>
    <row r="83" spans="5:35" x14ac:dyDescent="0.45">
      <c r="E83" t="s">
        <v>240</v>
      </c>
      <c r="G83" t="s">
        <v>152</v>
      </c>
      <c r="I83" t="s">
        <v>249</v>
      </c>
      <c r="J83" t="s">
        <v>323</v>
      </c>
      <c r="K83">
        <v>0</v>
      </c>
      <c r="L83" t="s">
        <v>251</v>
      </c>
      <c r="N83" t="s">
        <v>419</v>
      </c>
      <c r="O83" t="s">
        <v>323</v>
      </c>
      <c r="P83">
        <v>2.4141775459495713E-2</v>
      </c>
      <c r="Q83" t="s">
        <v>251</v>
      </c>
      <c r="S83" t="s">
        <v>420</v>
      </c>
      <c r="T83" t="s">
        <v>323</v>
      </c>
      <c r="U83">
        <v>2.2693313561102026E-2</v>
      </c>
      <c r="V83" t="s">
        <v>251</v>
      </c>
      <c r="X83">
        <v>2.1232876712328767E-2</v>
      </c>
      <c r="Y83">
        <v>4.5420116185598634E-3</v>
      </c>
      <c r="Z83" t="s">
        <v>323</v>
      </c>
      <c r="AA83" t="s">
        <v>25</v>
      </c>
      <c r="AC83" t="s">
        <v>22</v>
      </c>
      <c r="AD83" t="s">
        <v>323</v>
      </c>
      <c r="AE83">
        <v>2.3979920575086799E-2</v>
      </c>
      <c r="AG83" t="s">
        <v>99</v>
      </c>
      <c r="AH83" t="s">
        <v>323</v>
      </c>
      <c r="AI83">
        <v>0.1032275574828907</v>
      </c>
    </row>
    <row r="84" spans="5:35" x14ac:dyDescent="0.45">
      <c r="E84" t="s">
        <v>241</v>
      </c>
      <c r="G84" t="s">
        <v>152</v>
      </c>
      <c r="I84" t="s">
        <v>249</v>
      </c>
      <c r="J84" t="s">
        <v>324</v>
      </c>
      <c r="K84">
        <v>0</v>
      </c>
      <c r="L84" t="s">
        <v>251</v>
      </c>
      <c r="N84" t="s">
        <v>419</v>
      </c>
      <c r="O84" t="s">
        <v>324</v>
      </c>
      <c r="P84">
        <v>3.8362604124315223E-3</v>
      </c>
      <c r="Q84" t="s">
        <v>251</v>
      </c>
      <c r="S84" t="s">
        <v>420</v>
      </c>
      <c r="T84" t="s">
        <v>324</v>
      </c>
      <c r="U84">
        <v>3.686837046252508E-3</v>
      </c>
      <c r="V84" t="s">
        <v>251</v>
      </c>
      <c r="X84">
        <v>3.5388127853881279E-3</v>
      </c>
      <c r="Y84">
        <v>5.240782636799844E-3</v>
      </c>
      <c r="Z84" t="s">
        <v>324</v>
      </c>
      <c r="AA84" t="s">
        <v>25</v>
      </c>
      <c r="AC84" t="s">
        <v>22</v>
      </c>
      <c r="AD84" t="s">
        <v>324</v>
      </c>
      <c r="AE84">
        <v>3.986693721138578E-3</v>
      </c>
      <c r="AG84" t="s">
        <v>99</v>
      </c>
      <c r="AH84" t="s">
        <v>324</v>
      </c>
      <c r="AI84">
        <v>5.6498111575230325E-2</v>
      </c>
    </row>
    <row r="85" spans="5:35" x14ac:dyDescent="0.45">
      <c r="E85" t="s">
        <v>242</v>
      </c>
      <c r="G85" t="s">
        <v>152</v>
      </c>
      <c r="I85" t="s">
        <v>249</v>
      </c>
      <c r="J85" t="s">
        <v>325</v>
      </c>
      <c r="K85">
        <v>7.8052309015312832E-4</v>
      </c>
      <c r="L85" t="s">
        <v>251</v>
      </c>
      <c r="N85" t="s">
        <v>419</v>
      </c>
      <c r="O85" t="s">
        <v>325</v>
      </c>
      <c r="P85">
        <v>3.7884128657880421E-3</v>
      </c>
      <c r="Q85" t="s">
        <v>251</v>
      </c>
      <c r="S85" t="s">
        <v>420</v>
      </c>
      <c r="T85" t="s">
        <v>325</v>
      </c>
      <c r="U85">
        <v>3.5999580091018047E-3</v>
      </c>
      <c r="V85" t="s">
        <v>251</v>
      </c>
      <c r="X85">
        <v>3.5388127853881279E-3</v>
      </c>
      <c r="Y85">
        <v>5.9087255218821738E-3</v>
      </c>
      <c r="Z85" t="s">
        <v>325</v>
      </c>
      <c r="AA85" t="s">
        <v>25</v>
      </c>
      <c r="AC85" t="s">
        <v>22</v>
      </c>
      <c r="AD85" t="s">
        <v>325</v>
      </c>
      <c r="AE85">
        <v>4.2316119961850413E-3</v>
      </c>
      <c r="AG85" t="s">
        <v>99</v>
      </c>
      <c r="AH85" t="s">
        <v>325</v>
      </c>
      <c r="AI85">
        <v>9.3579735387869789E-2</v>
      </c>
    </row>
    <row r="86" spans="5:35" x14ac:dyDescent="0.45">
      <c r="E86" t="s">
        <v>243</v>
      </c>
      <c r="G86" t="s">
        <v>152</v>
      </c>
      <c r="I86" t="s">
        <v>249</v>
      </c>
      <c r="J86" t="s">
        <v>326</v>
      </c>
      <c r="K86">
        <v>3.598844042367861E-2</v>
      </c>
      <c r="L86" t="s">
        <v>251</v>
      </c>
      <c r="N86" t="s">
        <v>419</v>
      </c>
      <c r="O86" t="s">
        <v>326</v>
      </c>
      <c r="P86">
        <v>1.7718370554977197E-2</v>
      </c>
      <c r="Q86" t="s">
        <v>251</v>
      </c>
      <c r="S86" t="s">
        <v>420</v>
      </c>
      <c r="T86" t="s">
        <v>326</v>
      </c>
      <c r="U86">
        <v>2.1919812724936486E-2</v>
      </c>
      <c r="V86" t="s">
        <v>251</v>
      </c>
      <c r="X86">
        <v>2.1232876712328767E-2</v>
      </c>
      <c r="Y86">
        <v>2.6758819580836844E-2</v>
      </c>
      <c r="Z86" t="s">
        <v>326</v>
      </c>
      <c r="AA86" t="s">
        <v>25</v>
      </c>
      <c r="AC86" t="s">
        <v>22</v>
      </c>
      <c r="AD86" t="s">
        <v>326</v>
      </c>
      <c r="AE86">
        <v>2.52893600851027E-2</v>
      </c>
      <c r="AG86" t="s">
        <v>99</v>
      </c>
      <c r="AH86" t="s">
        <v>326</v>
      </c>
      <c r="AI86">
        <v>0.13028808653136692</v>
      </c>
    </row>
    <row r="87" spans="5:35" x14ac:dyDescent="0.45">
      <c r="E87" t="s">
        <v>244</v>
      </c>
      <c r="G87" t="s">
        <v>152</v>
      </c>
      <c r="I87" t="s">
        <v>249</v>
      </c>
      <c r="J87" t="s">
        <v>327</v>
      </c>
      <c r="K87">
        <v>1.6768638501399199E-2</v>
      </c>
      <c r="L87" t="s">
        <v>251</v>
      </c>
      <c r="N87" t="s">
        <v>419</v>
      </c>
      <c r="O87" t="s">
        <v>327</v>
      </c>
      <c r="P87">
        <v>8.0509621699873263E-3</v>
      </c>
      <c r="Q87" t="s">
        <v>251</v>
      </c>
      <c r="S87" t="s">
        <v>420</v>
      </c>
      <c r="T87" t="s">
        <v>327</v>
      </c>
      <c r="U87">
        <v>1.0995196107660529E-2</v>
      </c>
      <c r="V87" t="s">
        <v>251</v>
      </c>
      <c r="X87">
        <v>1.0616438356164383E-2</v>
      </c>
      <c r="Y87">
        <v>1.6893816970390073E-2</v>
      </c>
      <c r="Z87" t="s">
        <v>327</v>
      </c>
      <c r="AA87" t="s">
        <v>25</v>
      </c>
      <c r="AC87" t="s">
        <v>22</v>
      </c>
      <c r="AD87" t="s">
        <v>327</v>
      </c>
      <c r="AE87">
        <v>8.9752722242677878E-3</v>
      </c>
      <c r="AG87" t="s">
        <v>99</v>
      </c>
      <c r="AH87" t="s">
        <v>327</v>
      </c>
      <c r="AI87">
        <v>0.11180787818753379</v>
      </c>
    </row>
    <row r="88" spans="5:35" x14ac:dyDescent="0.45">
      <c r="E88" t="s">
        <v>245</v>
      </c>
      <c r="G88" t="s">
        <v>152</v>
      </c>
      <c r="I88" t="s">
        <v>249</v>
      </c>
      <c r="J88" t="s">
        <v>328</v>
      </c>
      <c r="K88">
        <v>3.9152964462415398E-3</v>
      </c>
      <c r="L88" t="s">
        <v>251</v>
      </c>
      <c r="N88" t="s">
        <v>419</v>
      </c>
      <c r="O88" t="s">
        <v>328</v>
      </c>
      <c r="P88">
        <v>2.6456635384339232E-3</v>
      </c>
      <c r="Q88" t="s">
        <v>251</v>
      </c>
      <c r="S88" t="s">
        <v>420</v>
      </c>
      <c r="T88" t="s">
        <v>328</v>
      </c>
      <c r="U88">
        <v>3.6218907938387621E-3</v>
      </c>
      <c r="V88" t="s">
        <v>251</v>
      </c>
      <c r="X88">
        <v>3.5388127853881279E-3</v>
      </c>
      <c r="Y88">
        <v>6.8849497385409693E-3</v>
      </c>
      <c r="Z88" t="s">
        <v>328</v>
      </c>
      <c r="AA88" t="s">
        <v>25</v>
      </c>
      <c r="AC88" t="s">
        <v>22</v>
      </c>
      <c r="AD88" t="s">
        <v>328</v>
      </c>
      <c r="AE88">
        <v>2.5747442735004709E-3</v>
      </c>
      <c r="AG88" t="s">
        <v>99</v>
      </c>
      <c r="AH88" t="s">
        <v>328</v>
      </c>
      <c r="AI88">
        <v>2.9026495980946754E-2</v>
      </c>
    </row>
    <row r="89" spans="5:35" x14ac:dyDescent="0.45">
      <c r="E89" t="s">
        <v>246</v>
      </c>
      <c r="G89" t="s">
        <v>152</v>
      </c>
      <c r="I89" t="s">
        <v>249</v>
      </c>
      <c r="J89" t="s">
        <v>329</v>
      </c>
      <c r="K89">
        <v>9.7688216512112434E-4</v>
      </c>
      <c r="L89" t="s">
        <v>251</v>
      </c>
      <c r="N89" t="s">
        <v>419</v>
      </c>
      <c r="O89" t="s">
        <v>329</v>
      </c>
      <c r="P89">
        <v>2.930497437883046E-3</v>
      </c>
      <c r="Q89" t="s">
        <v>251</v>
      </c>
      <c r="S89" t="s">
        <v>420</v>
      </c>
      <c r="T89" t="s">
        <v>329</v>
      </c>
      <c r="U89">
        <v>3.5799806164893669E-3</v>
      </c>
      <c r="V89" t="s">
        <v>251</v>
      </c>
      <c r="X89">
        <v>3.5388127853881279E-3</v>
      </c>
      <c r="Y89">
        <v>5.3435430806586613E-3</v>
      </c>
      <c r="Z89" t="s">
        <v>329</v>
      </c>
      <c r="AA89" t="s">
        <v>25</v>
      </c>
      <c r="AC89" t="s">
        <v>22</v>
      </c>
      <c r="AD89" t="s">
        <v>329</v>
      </c>
      <c r="AE89">
        <v>2.6002451766883763E-3</v>
      </c>
      <c r="AG89" t="s">
        <v>99</v>
      </c>
      <c r="AH89" t="s">
        <v>329</v>
      </c>
      <c r="AI89">
        <v>3.6642143420682283E-2</v>
      </c>
    </row>
    <row r="90" spans="5:35" x14ac:dyDescent="0.45">
      <c r="E90" t="s">
        <v>247</v>
      </c>
      <c r="G90" t="s">
        <v>152</v>
      </c>
      <c r="I90" t="s">
        <v>249</v>
      </c>
      <c r="J90" t="s">
        <v>330</v>
      </c>
      <c r="K90">
        <v>0</v>
      </c>
      <c r="L90" t="s">
        <v>251</v>
      </c>
      <c r="N90" t="s">
        <v>419</v>
      </c>
      <c r="O90" t="s">
        <v>330</v>
      </c>
      <c r="P90">
        <v>1.9050993178450711E-2</v>
      </c>
      <c r="Q90" t="s">
        <v>251</v>
      </c>
      <c r="S90" t="s">
        <v>420</v>
      </c>
      <c r="T90" t="s">
        <v>330</v>
      </c>
      <c r="U90">
        <v>1.8281068833678568E-2</v>
      </c>
      <c r="V90" t="s">
        <v>251</v>
      </c>
      <c r="X90">
        <v>1.7694063926940638E-2</v>
      </c>
      <c r="Y90">
        <v>1.3358857701646654E-2</v>
      </c>
      <c r="Z90" t="s">
        <v>330</v>
      </c>
      <c r="AA90" t="s">
        <v>25</v>
      </c>
      <c r="AC90" t="s">
        <v>22</v>
      </c>
      <c r="AD90" t="s">
        <v>330</v>
      </c>
      <c r="AE90">
        <v>1.7683837421870352E-2</v>
      </c>
      <c r="AG90" t="s">
        <v>99</v>
      </c>
      <c r="AH90" t="s">
        <v>330</v>
      </c>
      <c r="AI90">
        <v>0.20480196779357418</v>
      </c>
    </row>
    <row r="91" spans="5:35" x14ac:dyDescent="0.45">
      <c r="I91" t="s">
        <v>249</v>
      </c>
      <c r="J91" t="s">
        <v>331</v>
      </c>
      <c r="K91">
        <v>0</v>
      </c>
      <c r="L91" t="s">
        <v>251</v>
      </c>
      <c r="N91" t="s">
        <v>419</v>
      </c>
      <c r="O91" t="s">
        <v>331</v>
      </c>
      <c r="P91">
        <v>2.1974063560462369E-2</v>
      </c>
      <c r="Q91" t="s">
        <v>251</v>
      </c>
      <c r="S91" t="s">
        <v>420</v>
      </c>
      <c r="T91" t="s">
        <v>331</v>
      </c>
      <c r="U91">
        <v>2.7283751510667056E-2</v>
      </c>
      <c r="V91" t="s">
        <v>251</v>
      </c>
      <c r="X91">
        <v>2.1232876712328767E-2</v>
      </c>
      <c r="Y91">
        <v>4.5420116185598634E-3</v>
      </c>
      <c r="Z91" t="s">
        <v>331</v>
      </c>
      <c r="AA91" t="s">
        <v>25</v>
      </c>
      <c r="AC91" t="s">
        <v>22</v>
      </c>
      <c r="AD91" t="s">
        <v>331</v>
      </c>
      <c r="AE91">
        <v>2.3404298694738292E-2</v>
      </c>
      <c r="AG91" t="s">
        <v>99</v>
      </c>
      <c r="AH91" t="s">
        <v>331</v>
      </c>
      <c r="AI91">
        <v>8.6770478469463619E-2</v>
      </c>
    </row>
    <row r="92" spans="5:35" x14ac:dyDescent="0.45">
      <c r="I92" t="s">
        <v>249</v>
      </c>
      <c r="J92" t="s">
        <v>332</v>
      </c>
      <c r="K92">
        <v>0</v>
      </c>
      <c r="L92" t="s">
        <v>251</v>
      </c>
      <c r="N92" t="s">
        <v>419</v>
      </c>
      <c r="O92" t="s">
        <v>332</v>
      </c>
      <c r="P92">
        <v>3.450239365884766E-3</v>
      </c>
      <c r="Q92" t="s">
        <v>251</v>
      </c>
      <c r="S92" t="s">
        <v>420</v>
      </c>
      <c r="T92" t="s">
        <v>332</v>
      </c>
      <c r="U92">
        <v>4.4860067785218154E-3</v>
      </c>
      <c r="V92" t="s">
        <v>251</v>
      </c>
      <c r="X92">
        <v>3.5388127853881279E-3</v>
      </c>
      <c r="Y92">
        <v>5.240782636799844E-3</v>
      </c>
      <c r="Z92" t="s">
        <v>332</v>
      </c>
      <c r="AA92" t="s">
        <v>25</v>
      </c>
      <c r="AC92" t="s">
        <v>22</v>
      </c>
      <c r="AD92" t="s">
        <v>332</v>
      </c>
      <c r="AE92">
        <v>3.9208830708802678E-3</v>
      </c>
      <c r="AG92" t="s">
        <v>99</v>
      </c>
      <c r="AH92" t="s">
        <v>332</v>
      </c>
      <c r="AI92">
        <v>6.1004223848656558E-2</v>
      </c>
    </row>
    <row r="93" spans="5:35" x14ac:dyDescent="0.45">
      <c r="I93" t="s">
        <v>249</v>
      </c>
      <c r="J93" t="s">
        <v>333</v>
      </c>
      <c r="K93">
        <v>2.5517161056882406E-3</v>
      </c>
      <c r="L93" t="s">
        <v>251</v>
      </c>
      <c r="N93" t="s">
        <v>419</v>
      </c>
      <c r="O93" t="s">
        <v>333</v>
      </c>
      <c r="P93">
        <v>3.3543672645367697E-3</v>
      </c>
      <c r="Q93" t="s">
        <v>251</v>
      </c>
      <c r="S93" t="s">
        <v>420</v>
      </c>
      <c r="T93" t="s">
        <v>333</v>
      </c>
      <c r="U93">
        <v>4.4835930943530672E-3</v>
      </c>
      <c r="V93" t="s">
        <v>251</v>
      </c>
      <c r="X93">
        <v>3.5388127853881279E-3</v>
      </c>
      <c r="Y93">
        <v>5.9087255218821738E-3</v>
      </c>
      <c r="Z93" t="s">
        <v>333</v>
      </c>
      <c r="AA93" t="s">
        <v>25</v>
      </c>
      <c r="AC93" t="s">
        <v>22</v>
      </c>
      <c r="AD93" t="s">
        <v>333</v>
      </c>
      <c r="AE93">
        <v>4.0787194249493931E-3</v>
      </c>
      <c r="AG93" t="s">
        <v>99</v>
      </c>
      <c r="AH93" t="s">
        <v>333</v>
      </c>
      <c r="AI93">
        <v>8.3453178737734612E-2</v>
      </c>
    </row>
    <row r="94" spans="5:35" x14ac:dyDescent="0.45">
      <c r="I94" t="s">
        <v>249</v>
      </c>
      <c r="J94" t="s">
        <v>334</v>
      </c>
      <c r="K94">
        <v>4.4592288830543898E-2</v>
      </c>
      <c r="L94" t="s">
        <v>251</v>
      </c>
      <c r="N94" t="s">
        <v>419</v>
      </c>
      <c r="O94" t="s">
        <v>334</v>
      </c>
      <c r="P94">
        <v>1.6331437927914888E-2</v>
      </c>
      <c r="Q94" t="s">
        <v>251</v>
      </c>
      <c r="S94" t="s">
        <v>420</v>
      </c>
      <c r="T94" t="s">
        <v>334</v>
      </c>
      <c r="U94">
        <v>2.7716967703179399E-2</v>
      </c>
      <c r="V94" t="s">
        <v>251</v>
      </c>
      <c r="X94">
        <v>2.1232876712328767E-2</v>
      </c>
      <c r="Y94">
        <v>2.6758819580836844E-2</v>
      </c>
      <c r="Z94" t="s">
        <v>334</v>
      </c>
      <c r="AA94" t="s">
        <v>25</v>
      </c>
      <c r="AC94" t="s">
        <v>22</v>
      </c>
      <c r="AD94" t="s">
        <v>334</v>
      </c>
      <c r="AE94">
        <v>2.4660008200840411E-2</v>
      </c>
      <c r="AG94" t="s">
        <v>99</v>
      </c>
      <c r="AH94" t="s">
        <v>334</v>
      </c>
      <c r="AI94">
        <v>0.16204740512519122</v>
      </c>
    </row>
    <row r="95" spans="5:35" x14ac:dyDescent="0.45">
      <c r="I95" t="s">
        <v>249</v>
      </c>
      <c r="J95" t="s">
        <v>335</v>
      </c>
      <c r="K95">
        <v>2.09831215758269E-2</v>
      </c>
      <c r="L95" t="s">
        <v>251</v>
      </c>
      <c r="N95" t="s">
        <v>419</v>
      </c>
      <c r="O95" t="s">
        <v>335</v>
      </c>
      <c r="P95">
        <v>8.535814500486065E-3</v>
      </c>
      <c r="Q95" t="s">
        <v>251</v>
      </c>
      <c r="S95" t="s">
        <v>420</v>
      </c>
      <c r="T95" t="s">
        <v>335</v>
      </c>
      <c r="U95">
        <v>1.4122223160482752E-2</v>
      </c>
      <c r="V95" t="s">
        <v>251</v>
      </c>
      <c r="X95">
        <v>1.0616438356164383E-2</v>
      </c>
      <c r="Y95">
        <v>1.6893816970390073E-2</v>
      </c>
      <c r="Z95" t="s">
        <v>335</v>
      </c>
      <c r="AA95" t="s">
        <v>25</v>
      </c>
      <c r="AC95" t="s">
        <v>22</v>
      </c>
      <c r="AD95" t="s">
        <v>335</v>
      </c>
      <c r="AE95">
        <v>8.7792639398936757E-3</v>
      </c>
      <c r="AG95" t="s">
        <v>99</v>
      </c>
      <c r="AH95" t="s">
        <v>335</v>
      </c>
      <c r="AI95">
        <v>0.11093550843474387</v>
      </c>
    </row>
    <row r="96" spans="5:35" x14ac:dyDescent="0.45">
      <c r="I96" t="s">
        <v>249</v>
      </c>
      <c r="J96" t="s">
        <v>336</v>
      </c>
      <c r="K96">
        <v>5.2084514300123003E-3</v>
      </c>
      <c r="L96" t="s">
        <v>251</v>
      </c>
      <c r="N96" t="s">
        <v>419</v>
      </c>
      <c r="O96" t="s">
        <v>336</v>
      </c>
      <c r="P96">
        <v>2.7610342416565597E-3</v>
      </c>
      <c r="Q96" t="s">
        <v>251</v>
      </c>
      <c r="S96" t="s">
        <v>420</v>
      </c>
      <c r="T96" t="s">
        <v>336</v>
      </c>
      <c r="U96">
        <v>4.6884794009072516E-3</v>
      </c>
      <c r="V96" t="s">
        <v>251</v>
      </c>
      <c r="X96">
        <v>3.5388127853881279E-3</v>
      </c>
      <c r="Y96">
        <v>6.8849497385409693E-3</v>
      </c>
      <c r="Z96" t="s">
        <v>336</v>
      </c>
      <c r="AA96" t="s">
        <v>25</v>
      </c>
      <c r="AC96" t="s">
        <v>22</v>
      </c>
      <c r="AD96" t="s">
        <v>336</v>
      </c>
      <c r="AE96">
        <v>2.5171539564351779E-3</v>
      </c>
      <c r="AG96" t="s">
        <v>99</v>
      </c>
      <c r="AH96" t="s">
        <v>336</v>
      </c>
      <c r="AI96">
        <v>4.4173913511419194E-2</v>
      </c>
    </row>
    <row r="97" spans="9:35" x14ac:dyDescent="0.45">
      <c r="I97" t="s">
        <v>249</v>
      </c>
      <c r="J97" t="s">
        <v>337</v>
      </c>
      <c r="K97">
        <v>2.2047296132105187E-3</v>
      </c>
      <c r="L97" t="s">
        <v>251</v>
      </c>
      <c r="N97" t="s">
        <v>419</v>
      </c>
      <c r="O97" t="s">
        <v>337</v>
      </c>
      <c r="P97">
        <v>2.9540571089904824E-3</v>
      </c>
      <c r="Q97" t="s">
        <v>251</v>
      </c>
      <c r="S97" t="s">
        <v>420</v>
      </c>
      <c r="T97" t="s">
        <v>337</v>
      </c>
      <c r="U97">
        <v>4.6654493652520607E-3</v>
      </c>
      <c r="V97" t="s">
        <v>251</v>
      </c>
      <c r="X97">
        <v>3.5388127853881279E-3</v>
      </c>
      <c r="Y97">
        <v>5.3435430806586613E-3</v>
      </c>
      <c r="Z97" t="s">
        <v>337</v>
      </c>
      <c r="AA97" t="s">
        <v>25</v>
      </c>
      <c r="AC97" t="s">
        <v>22</v>
      </c>
      <c r="AD97" t="s">
        <v>337</v>
      </c>
      <c r="AE97">
        <v>2.5420591833047487E-3</v>
      </c>
      <c r="AG97" t="s">
        <v>99</v>
      </c>
      <c r="AH97" t="s">
        <v>337</v>
      </c>
      <c r="AI97">
        <v>4.5756950232309856E-2</v>
      </c>
    </row>
    <row r="98" spans="9:35" x14ac:dyDescent="0.45">
      <c r="I98" t="s">
        <v>249</v>
      </c>
      <c r="J98" t="s">
        <v>338</v>
      </c>
      <c r="K98">
        <v>0</v>
      </c>
      <c r="L98" t="s">
        <v>251</v>
      </c>
      <c r="N98" t="s">
        <v>419</v>
      </c>
      <c r="O98" t="s">
        <v>338</v>
      </c>
      <c r="P98">
        <v>1.8126116386870957E-2</v>
      </c>
      <c r="Q98" t="s">
        <v>251</v>
      </c>
      <c r="S98" t="s">
        <v>420</v>
      </c>
      <c r="T98" t="s">
        <v>338</v>
      </c>
      <c r="U98">
        <v>2.3326524318008243E-2</v>
      </c>
      <c r="V98" t="s">
        <v>251</v>
      </c>
      <c r="X98">
        <v>1.7694063926940638E-2</v>
      </c>
      <c r="Y98">
        <v>1.3358857701646654E-2</v>
      </c>
      <c r="Z98" t="s">
        <v>338</v>
      </c>
      <c r="AA98" t="s">
        <v>25</v>
      </c>
      <c r="AC98" t="s">
        <v>22</v>
      </c>
      <c r="AD98" t="s">
        <v>338</v>
      </c>
      <c r="AE98">
        <v>1.7040886577869188E-2</v>
      </c>
      <c r="AG98" t="s">
        <v>99</v>
      </c>
      <c r="AH98" t="s">
        <v>338</v>
      </c>
      <c r="AI98">
        <v>0.20820639587821077</v>
      </c>
    </row>
    <row r="99" spans="9:35" x14ac:dyDescent="0.45">
      <c r="I99" t="s">
        <v>249</v>
      </c>
      <c r="J99" t="s">
        <v>339</v>
      </c>
      <c r="K99">
        <v>0</v>
      </c>
      <c r="L99" t="s">
        <v>251</v>
      </c>
      <c r="N99" t="s">
        <v>419</v>
      </c>
      <c r="O99" t="s">
        <v>339</v>
      </c>
      <c r="P99">
        <v>2.1467132623980981E-2</v>
      </c>
      <c r="Q99" t="s">
        <v>251</v>
      </c>
      <c r="S99" t="s">
        <v>420</v>
      </c>
      <c r="T99" t="s">
        <v>339</v>
      </c>
      <c r="U99">
        <v>2.3052080261466913E-2</v>
      </c>
      <c r="V99" t="s">
        <v>251</v>
      </c>
      <c r="X99">
        <v>1.9178082191780823E-2</v>
      </c>
      <c r="Y99">
        <v>4.1024621070863279E-3</v>
      </c>
      <c r="Z99" t="s">
        <v>339</v>
      </c>
      <c r="AA99" t="s">
        <v>25</v>
      </c>
      <c r="AC99" t="s">
        <v>22</v>
      </c>
      <c r="AD99" t="s">
        <v>339</v>
      </c>
      <c r="AE99">
        <v>2.0659164109991222E-2</v>
      </c>
      <c r="AG99" t="s">
        <v>99</v>
      </c>
      <c r="AH99" t="s">
        <v>339</v>
      </c>
      <c r="AI99">
        <v>6.0231883946746834E-2</v>
      </c>
    </row>
    <row r="100" spans="9:35" x14ac:dyDescent="0.45">
      <c r="I100" t="s">
        <v>249</v>
      </c>
      <c r="J100" t="s">
        <v>340</v>
      </c>
      <c r="K100">
        <v>7.6141806719653927E-4</v>
      </c>
      <c r="L100" t="s">
        <v>251</v>
      </c>
      <c r="N100" t="s">
        <v>419</v>
      </c>
      <c r="O100" t="s">
        <v>340</v>
      </c>
      <c r="P100">
        <v>3.4436033983651117E-3</v>
      </c>
      <c r="Q100" t="s">
        <v>251</v>
      </c>
      <c r="S100" t="s">
        <v>420</v>
      </c>
      <c r="T100" t="s">
        <v>340</v>
      </c>
      <c r="U100">
        <v>3.7468806719133988E-3</v>
      </c>
      <c r="V100" t="s">
        <v>251</v>
      </c>
      <c r="X100">
        <v>3.1963470319634705E-3</v>
      </c>
      <c r="Y100">
        <v>4.7336101235611484E-3</v>
      </c>
      <c r="Z100" t="s">
        <v>340</v>
      </c>
      <c r="AA100" t="s">
        <v>25</v>
      </c>
      <c r="AC100" t="s">
        <v>22</v>
      </c>
      <c r="AD100" t="s">
        <v>340</v>
      </c>
      <c r="AE100">
        <v>3.4532629336994527E-3</v>
      </c>
      <c r="AG100" t="s">
        <v>99</v>
      </c>
      <c r="AH100" t="s">
        <v>340</v>
      </c>
      <c r="AI100">
        <v>4.4854384102429812E-2</v>
      </c>
    </row>
    <row r="101" spans="9:35" x14ac:dyDescent="0.45">
      <c r="I101" t="s">
        <v>249</v>
      </c>
      <c r="J101" t="s">
        <v>341</v>
      </c>
      <c r="K101">
        <v>4.8004194958056997E-3</v>
      </c>
      <c r="L101" t="s">
        <v>251</v>
      </c>
      <c r="N101" t="s">
        <v>419</v>
      </c>
      <c r="O101" t="s">
        <v>341</v>
      </c>
      <c r="P101">
        <v>3.1823602931131548E-3</v>
      </c>
      <c r="Q101" t="s">
        <v>251</v>
      </c>
      <c r="S101" t="s">
        <v>420</v>
      </c>
      <c r="T101" t="s">
        <v>341</v>
      </c>
      <c r="U101">
        <v>3.736338395763573E-3</v>
      </c>
      <c r="V101" t="s">
        <v>251</v>
      </c>
      <c r="X101">
        <v>3.1963470319634705E-3</v>
      </c>
      <c r="Y101">
        <v>5.3369133746032542E-3</v>
      </c>
      <c r="Z101" t="s">
        <v>341</v>
      </c>
      <c r="AA101" t="s">
        <v>25</v>
      </c>
      <c r="AC101" t="s">
        <v>22</v>
      </c>
      <c r="AD101" t="s">
        <v>341</v>
      </c>
      <c r="AE101">
        <v>3.4949721895092432E-3</v>
      </c>
      <c r="AG101" t="s">
        <v>99</v>
      </c>
      <c r="AH101" t="s">
        <v>341</v>
      </c>
      <c r="AI101">
        <v>4.4972839404860521E-2</v>
      </c>
    </row>
    <row r="102" spans="9:35" x14ac:dyDescent="0.45">
      <c r="I102" t="s">
        <v>249</v>
      </c>
      <c r="J102" t="s">
        <v>342</v>
      </c>
      <c r="K102">
        <v>4.8177002449956201E-2</v>
      </c>
      <c r="L102" t="s">
        <v>251</v>
      </c>
      <c r="N102" t="s">
        <v>419</v>
      </c>
      <c r="O102" t="s">
        <v>342</v>
      </c>
      <c r="P102">
        <v>1.7092859007815757E-2</v>
      </c>
      <c r="Q102" t="s">
        <v>251</v>
      </c>
      <c r="S102" t="s">
        <v>420</v>
      </c>
      <c r="T102" t="s">
        <v>342</v>
      </c>
      <c r="U102">
        <v>2.1550285497388234E-2</v>
      </c>
      <c r="V102" t="s">
        <v>251</v>
      </c>
      <c r="X102">
        <v>1.9178082191780823E-2</v>
      </c>
      <c r="Y102">
        <v>2.4169256395594564E-2</v>
      </c>
      <c r="Z102" t="s">
        <v>342</v>
      </c>
      <c r="AA102" t="s">
        <v>25</v>
      </c>
      <c r="AC102" t="s">
        <v>22</v>
      </c>
      <c r="AD102" t="s">
        <v>342</v>
      </c>
      <c r="AE102">
        <v>2.0439097450945676E-2</v>
      </c>
      <c r="AG102" t="s">
        <v>99</v>
      </c>
      <c r="AH102" t="s">
        <v>342</v>
      </c>
      <c r="AI102">
        <v>7.0430090281510926E-2</v>
      </c>
    </row>
    <row r="103" spans="9:35" x14ac:dyDescent="0.45">
      <c r="I103" t="s">
        <v>249</v>
      </c>
      <c r="J103" t="s">
        <v>343</v>
      </c>
      <c r="K103">
        <v>2.2612699930587201E-2</v>
      </c>
      <c r="L103" t="s">
        <v>251</v>
      </c>
      <c r="N103" t="s">
        <v>419</v>
      </c>
      <c r="O103" t="s">
        <v>343</v>
      </c>
      <c r="P103">
        <v>8.8055768888261384E-3</v>
      </c>
      <c r="Q103" t="s">
        <v>251</v>
      </c>
      <c r="S103" t="s">
        <v>420</v>
      </c>
      <c r="T103" t="s">
        <v>343</v>
      </c>
      <c r="U103">
        <v>1.0919810577444639E-2</v>
      </c>
      <c r="V103" t="s">
        <v>251</v>
      </c>
      <c r="X103">
        <v>9.5890410958904115E-3</v>
      </c>
      <c r="Y103">
        <v>1.5258931457126519E-2</v>
      </c>
      <c r="Z103" t="s">
        <v>343</v>
      </c>
      <c r="AA103" t="s">
        <v>25</v>
      </c>
      <c r="AC103" t="s">
        <v>22</v>
      </c>
      <c r="AD103" t="s">
        <v>343</v>
      </c>
      <c r="AE103">
        <v>7.6728239778809069E-3</v>
      </c>
      <c r="AG103" t="s">
        <v>99</v>
      </c>
      <c r="AH103" t="s">
        <v>343</v>
      </c>
      <c r="AI103">
        <v>9.4819628173208104E-2</v>
      </c>
    </row>
    <row r="104" spans="9:35" x14ac:dyDescent="0.45">
      <c r="I104" t="s">
        <v>249</v>
      </c>
      <c r="J104" t="s">
        <v>344</v>
      </c>
      <c r="K104">
        <v>5.6541356207258997E-3</v>
      </c>
      <c r="L104" t="s">
        <v>251</v>
      </c>
      <c r="N104" t="s">
        <v>419</v>
      </c>
      <c r="O104" t="s">
        <v>344</v>
      </c>
      <c r="P104">
        <v>2.8478340292475003E-3</v>
      </c>
      <c r="Q104" t="s">
        <v>251</v>
      </c>
      <c r="S104" t="s">
        <v>420</v>
      </c>
      <c r="T104" t="s">
        <v>344</v>
      </c>
      <c r="U104">
        <v>3.7393743595356115E-3</v>
      </c>
      <c r="V104" t="s">
        <v>251</v>
      </c>
      <c r="X104">
        <v>3.1963470319634705E-3</v>
      </c>
      <c r="Y104">
        <v>6.2186642799724884E-3</v>
      </c>
      <c r="Z104" t="s">
        <v>344</v>
      </c>
      <c r="AA104" t="s">
        <v>25</v>
      </c>
      <c r="AC104" t="s">
        <v>22</v>
      </c>
      <c r="AD104" t="s">
        <v>344</v>
      </c>
      <c r="AE104">
        <v>2.2131065362690511E-3</v>
      </c>
      <c r="AG104" t="s">
        <v>99</v>
      </c>
      <c r="AH104" t="s">
        <v>344</v>
      </c>
      <c r="AI104">
        <v>1.0476019324080044E-2</v>
      </c>
    </row>
    <row r="105" spans="9:35" x14ac:dyDescent="0.45">
      <c r="I105" t="s">
        <v>249</v>
      </c>
      <c r="J105" t="s">
        <v>345</v>
      </c>
      <c r="K105">
        <v>2.3336886994851005E-3</v>
      </c>
      <c r="L105" t="s">
        <v>251</v>
      </c>
      <c r="N105" t="s">
        <v>419</v>
      </c>
      <c r="O105" t="s">
        <v>345</v>
      </c>
      <c r="P105">
        <v>2.8254935921391213E-3</v>
      </c>
      <c r="Q105" t="s">
        <v>251</v>
      </c>
      <c r="S105" t="s">
        <v>420</v>
      </c>
      <c r="T105" t="s">
        <v>345</v>
      </c>
      <c r="U105">
        <v>3.7325830584972295E-3</v>
      </c>
      <c r="V105" t="s">
        <v>251</v>
      </c>
      <c r="X105">
        <v>3.1963470319634705E-3</v>
      </c>
      <c r="Y105">
        <v>4.8264260083368555E-3</v>
      </c>
      <c r="Z105" t="s">
        <v>345</v>
      </c>
      <c r="AA105" t="s">
        <v>25</v>
      </c>
      <c r="AC105" t="s">
        <v>22</v>
      </c>
      <c r="AD105" t="s">
        <v>345</v>
      </c>
      <c r="AE105">
        <v>2.2378449737694879E-3</v>
      </c>
      <c r="AG105" t="s">
        <v>99</v>
      </c>
      <c r="AH105" t="s">
        <v>345</v>
      </c>
      <c r="AI105">
        <v>1.270837960656257E-2</v>
      </c>
    </row>
    <row r="106" spans="9:35" x14ac:dyDescent="0.45">
      <c r="I106" t="s">
        <v>249</v>
      </c>
      <c r="J106" t="s">
        <v>346</v>
      </c>
      <c r="K106">
        <v>0</v>
      </c>
      <c r="L106" t="s">
        <v>251</v>
      </c>
      <c r="N106" t="s">
        <v>419</v>
      </c>
      <c r="O106" t="s">
        <v>346</v>
      </c>
      <c r="P106">
        <v>1.6963281173694444E-2</v>
      </c>
      <c r="Q106" t="s">
        <v>251</v>
      </c>
      <c r="S106" t="s">
        <v>420</v>
      </c>
      <c r="T106" t="s">
        <v>346</v>
      </c>
      <c r="U106">
        <v>1.8504077191803043E-2</v>
      </c>
      <c r="V106" t="s">
        <v>251</v>
      </c>
      <c r="X106">
        <v>1.5981735159817351E-2</v>
      </c>
      <c r="Y106">
        <v>1.2066065020842141E-2</v>
      </c>
      <c r="Z106" t="s">
        <v>346</v>
      </c>
      <c r="AA106" t="s">
        <v>25</v>
      </c>
      <c r="AC106" t="s">
        <v>22</v>
      </c>
      <c r="AD106" t="s">
        <v>346</v>
      </c>
      <c r="AE106">
        <v>1.454331142802057E-2</v>
      </c>
      <c r="AG106" t="s">
        <v>99</v>
      </c>
      <c r="AH106" t="s">
        <v>346</v>
      </c>
      <c r="AI106">
        <v>0.18327011974122986</v>
      </c>
    </row>
    <row r="107" spans="9:35" x14ac:dyDescent="0.45">
      <c r="I107" t="s">
        <v>249</v>
      </c>
      <c r="J107" t="s">
        <v>347</v>
      </c>
      <c r="K107">
        <v>0</v>
      </c>
      <c r="L107" t="s">
        <v>251</v>
      </c>
      <c r="N107" t="s">
        <v>419</v>
      </c>
      <c r="O107" t="s">
        <v>347</v>
      </c>
      <c r="P107">
        <v>7.4149238183574885E-5</v>
      </c>
      <c r="Q107" t="s">
        <v>251</v>
      </c>
      <c r="S107" t="s">
        <v>420</v>
      </c>
      <c r="T107" t="s">
        <v>347</v>
      </c>
      <c r="U107">
        <v>1.2604287376089999E-4</v>
      </c>
      <c r="V107" t="s">
        <v>251</v>
      </c>
      <c r="X107">
        <v>1.1415525114155251E-4</v>
      </c>
      <c r="Y107">
        <v>2.1546544680075254E-5</v>
      </c>
      <c r="Z107" t="s">
        <v>347</v>
      </c>
      <c r="AA107" t="s">
        <v>25</v>
      </c>
      <c r="AC107" t="s">
        <v>22</v>
      </c>
      <c r="AD107" t="s">
        <v>347</v>
      </c>
      <c r="AE107">
        <v>1.0176308150613614E-4</v>
      </c>
      <c r="AG107" t="s">
        <v>99</v>
      </c>
      <c r="AH107" t="s">
        <v>347</v>
      </c>
      <c r="AI107">
        <v>0</v>
      </c>
    </row>
    <row r="108" spans="9:35" x14ac:dyDescent="0.45">
      <c r="I108" t="s">
        <v>249</v>
      </c>
      <c r="J108" t="s">
        <v>348</v>
      </c>
      <c r="K108">
        <v>0</v>
      </c>
      <c r="L108" t="s">
        <v>251</v>
      </c>
      <c r="N108" t="s">
        <v>419</v>
      </c>
      <c r="O108" t="s">
        <v>348</v>
      </c>
      <c r="P108">
        <v>6.2105373092038806E-5</v>
      </c>
      <c r="Q108" t="s">
        <v>251</v>
      </c>
      <c r="S108" t="s">
        <v>420</v>
      </c>
      <c r="T108" t="s">
        <v>348</v>
      </c>
      <c r="U108">
        <v>1.2931344506150001E-4</v>
      </c>
      <c r="V108" t="s">
        <v>251</v>
      </c>
      <c r="X108">
        <v>1.1415525114155251E-4</v>
      </c>
      <c r="Y108">
        <v>1.4916838624667481E-5</v>
      </c>
      <c r="Z108" t="s">
        <v>348</v>
      </c>
      <c r="AA108" t="s">
        <v>25</v>
      </c>
      <c r="AC108" t="s">
        <v>22</v>
      </c>
      <c r="AD108" t="s">
        <v>348</v>
      </c>
      <c r="AE108">
        <v>1.0543244762707743E-4</v>
      </c>
      <c r="AG108" t="s">
        <v>99</v>
      </c>
      <c r="AH108" t="s">
        <v>348</v>
      </c>
      <c r="AI108">
        <v>0</v>
      </c>
    </row>
    <row r="109" spans="9:35" x14ac:dyDescent="0.45">
      <c r="I109" t="s">
        <v>249</v>
      </c>
      <c r="J109" t="s">
        <v>349</v>
      </c>
      <c r="K109">
        <v>0</v>
      </c>
      <c r="L109" t="s">
        <v>251</v>
      </c>
      <c r="N109" t="s">
        <v>419</v>
      </c>
      <c r="O109" t="s">
        <v>349</v>
      </c>
      <c r="P109">
        <v>5.2452323569642487E-5</v>
      </c>
      <c r="Q109" t="s">
        <v>251</v>
      </c>
      <c r="S109" t="s">
        <v>420</v>
      </c>
      <c r="T109" t="s">
        <v>349</v>
      </c>
      <c r="U109">
        <v>1.280377797747E-4</v>
      </c>
      <c r="V109" t="s">
        <v>251</v>
      </c>
      <c r="X109">
        <v>1.1415525114155251E-4</v>
      </c>
      <c r="Y109">
        <v>1.6574265138519424E-5</v>
      </c>
      <c r="Z109" t="s">
        <v>349</v>
      </c>
      <c r="AA109" t="s">
        <v>25</v>
      </c>
      <c r="AC109" t="s">
        <v>22</v>
      </c>
      <c r="AD109" t="s">
        <v>349</v>
      </c>
      <c r="AE109">
        <v>1.0378838098847385E-4</v>
      </c>
      <c r="AG109" t="s">
        <v>99</v>
      </c>
      <c r="AH109" t="s">
        <v>349</v>
      </c>
      <c r="AI109">
        <v>0</v>
      </c>
    </row>
    <row r="110" spans="9:35" x14ac:dyDescent="0.45">
      <c r="I110" t="s">
        <v>249</v>
      </c>
      <c r="J110" t="s">
        <v>350</v>
      </c>
      <c r="K110">
        <v>0</v>
      </c>
      <c r="L110" t="s">
        <v>251</v>
      </c>
      <c r="N110" t="s">
        <v>419</v>
      </c>
      <c r="O110" t="s">
        <v>350</v>
      </c>
      <c r="P110">
        <v>4.6519215932585289E-5</v>
      </c>
      <c r="Q110" t="s">
        <v>251</v>
      </c>
      <c r="S110" t="s">
        <v>420</v>
      </c>
      <c r="T110" t="s">
        <v>350</v>
      </c>
      <c r="U110">
        <v>1.2515038510139999E-4</v>
      </c>
      <c r="V110" t="s">
        <v>251</v>
      </c>
      <c r="X110">
        <v>1.1415525114155251E-4</v>
      </c>
      <c r="Y110">
        <v>1.4585353321897093E-5</v>
      </c>
      <c r="Z110" t="s">
        <v>350</v>
      </c>
      <c r="AA110" t="s">
        <v>25</v>
      </c>
      <c r="AC110" t="s">
        <v>22</v>
      </c>
      <c r="AD110" t="s">
        <v>350</v>
      </c>
      <c r="AE110">
        <v>1.0378838098847385E-4</v>
      </c>
      <c r="AG110" t="s">
        <v>99</v>
      </c>
      <c r="AH110" t="s">
        <v>350</v>
      </c>
      <c r="AI110">
        <v>0</v>
      </c>
    </row>
    <row r="111" spans="9:35" x14ac:dyDescent="0.45">
      <c r="I111" t="s">
        <v>249</v>
      </c>
      <c r="J111" t="s">
        <v>351</v>
      </c>
      <c r="K111">
        <v>0</v>
      </c>
      <c r="L111" t="s">
        <v>251</v>
      </c>
      <c r="N111" t="s">
        <v>419</v>
      </c>
      <c r="O111" t="s">
        <v>351</v>
      </c>
      <c r="P111">
        <v>4.5623875575217107E-5</v>
      </c>
      <c r="Q111" t="s">
        <v>251</v>
      </c>
      <c r="S111" t="s">
        <v>420</v>
      </c>
      <c r="T111" t="s">
        <v>351</v>
      </c>
      <c r="U111">
        <v>1.158400227367E-4</v>
      </c>
      <c r="V111" t="s">
        <v>251</v>
      </c>
      <c r="X111">
        <v>1.1415525114155251E-4</v>
      </c>
      <c r="Y111">
        <v>2.1215059377304864E-5</v>
      </c>
      <c r="Z111" t="s">
        <v>351</v>
      </c>
      <c r="AA111" t="s">
        <v>25</v>
      </c>
      <c r="AC111" t="s">
        <v>22</v>
      </c>
      <c r="AD111" t="s">
        <v>351</v>
      </c>
      <c r="AE111">
        <v>1.0378838098847385E-4</v>
      </c>
      <c r="AG111" t="s">
        <v>99</v>
      </c>
      <c r="AH111" t="s">
        <v>351</v>
      </c>
      <c r="AI111">
        <v>0</v>
      </c>
    </row>
    <row r="112" spans="9:35" x14ac:dyDescent="0.45">
      <c r="I112" t="s">
        <v>249</v>
      </c>
      <c r="J112" t="s">
        <v>352</v>
      </c>
      <c r="K112">
        <v>0</v>
      </c>
      <c r="L112" t="s">
        <v>251</v>
      </c>
      <c r="N112" t="s">
        <v>419</v>
      </c>
      <c r="O112" t="s">
        <v>352</v>
      </c>
      <c r="P112">
        <v>4.8585573063001122E-5</v>
      </c>
      <c r="Q112" t="s">
        <v>251</v>
      </c>
      <c r="S112" t="s">
        <v>420</v>
      </c>
      <c r="T112" t="s">
        <v>352</v>
      </c>
      <c r="U112">
        <v>1.005571956191E-4</v>
      </c>
      <c r="V112" t="s">
        <v>251</v>
      </c>
      <c r="X112">
        <v>1.1415525114155251E-4</v>
      </c>
      <c r="Y112">
        <v>5.7678442682047593E-5</v>
      </c>
      <c r="Z112" t="s">
        <v>352</v>
      </c>
      <c r="AA112" t="s">
        <v>25</v>
      </c>
      <c r="AC112" t="s">
        <v>22</v>
      </c>
      <c r="AD112" t="s">
        <v>352</v>
      </c>
      <c r="AE112">
        <v>1.0450914933365876E-4</v>
      </c>
      <c r="AG112" t="s">
        <v>99</v>
      </c>
      <c r="AH112" t="s">
        <v>352</v>
      </c>
      <c r="AI112">
        <v>0</v>
      </c>
    </row>
    <row r="113" spans="9:35" x14ac:dyDescent="0.45">
      <c r="I113" t="s">
        <v>249</v>
      </c>
      <c r="J113" t="s">
        <v>353</v>
      </c>
      <c r="K113">
        <v>4.3343647314013923E-5</v>
      </c>
      <c r="L113" t="s">
        <v>251</v>
      </c>
      <c r="N113" t="s">
        <v>419</v>
      </c>
      <c r="O113" t="s">
        <v>353</v>
      </c>
      <c r="P113">
        <v>5.0512587091239339E-5</v>
      </c>
      <c r="Q113" t="s">
        <v>251</v>
      </c>
      <c r="S113" t="s">
        <v>420</v>
      </c>
      <c r="T113" t="s">
        <v>353</v>
      </c>
      <c r="U113">
        <v>8.9310099965267818E-5</v>
      </c>
      <c r="V113" t="s">
        <v>251</v>
      </c>
      <c r="X113">
        <v>1.1415525114155251E-4</v>
      </c>
      <c r="Y113">
        <v>1.6905750441289813E-4</v>
      </c>
      <c r="Z113" t="s">
        <v>353</v>
      </c>
      <c r="AA113" t="s">
        <v>25</v>
      </c>
      <c r="AC113" t="s">
        <v>22</v>
      </c>
      <c r="AD113" t="s">
        <v>353</v>
      </c>
      <c r="AE113">
        <v>1.051465229942768E-4</v>
      </c>
      <c r="AG113" t="s">
        <v>99</v>
      </c>
      <c r="AH113" t="s">
        <v>353</v>
      </c>
      <c r="AI113">
        <v>0</v>
      </c>
    </row>
    <row r="114" spans="9:35" x14ac:dyDescent="0.45">
      <c r="I114" t="s">
        <v>249</v>
      </c>
      <c r="J114" t="s">
        <v>354</v>
      </c>
      <c r="K114">
        <v>1.9776507746789999E-4</v>
      </c>
      <c r="L114" t="s">
        <v>251</v>
      </c>
      <c r="N114" t="s">
        <v>419</v>
      </c>
      <c r="O114" t="s">
        <v>354</v>
      </c>
      <c r="P114">
        <v>4.7071615239422888E-5</v>
      </c>
      <c r="Q114" t="s">
        <v>251</v>
      </c>
      <c r="S114" t="s">
        <v>420</v>
      </c>
      <c r="T114" t="s">
        <v>354</v>
      </c>
      <c r="U114">
        <v>8.0147778219673982E-5</v>
      </c>
      <c r="V114" t="s">
        <v>251</v>
      </c>
      <c r="X114">
        <v>1.1415525114155251E-4</v>
      </c>
      <c r="Y114">
        <v>1.9060404909297337E-4</v>
      </c>
      <c r="Z114" t="s">
        <v>354</v>
      </c>
      <c r="AA114" t="s">
        <v>25</v>
      </c>
      <c r="AC114" t="s">
        <v>22</v>
      </c>
      <c r="AD114" t="s">
        <v>354</v>
      </c>
      <c r="AE114">
        <v>1.0730287126664814E-4</v>
      </c>
      <c r="AG114" t="s">
        <v>99</v>
      </c>
      <c r="AH114" t="s">
        <v>354</v>
      </c>
      <c r="AI114">
        <v>0</v>
      </c>
    </row>
    <row r="115" spans="9:35" x14ac:dyDescent="0.45">
      <c r="I115" t="s">
        <v>249</v>
      </c>
      <c r="J115" t="s">
        <v>355</v>
      </c>
      <c r="K115">
        <v>2.6776278122320001E-4</v>
      </c>
      <c r="L115" t="s">
        <v>251</v>
      </c>
      <c r="N115" t="s">
        <v>419</v>
      </c>
      <c r="O115" t="s">
        <v>355</v>
      </c>
      <c r="P115">
        <v>2.4008180333964915E-5</v>
      </c>
      <c r="Q115" t="s">
        <v>251</v>
      </c>
      <c r="S115" t="s">
        <v>420</v>
      </c>
      <c r="T115" t="s">
        <v>355</v>
      </c>
      <c r="U115">
        <v>6.7013085008220627E-5</v>
      </c>
      <c r="V115" t="s">
        <v>251</v>
      </c>
      <c r="X115">
        <v>1.1415525114155251E-4</v>
      </c>
      <c r="Y115">
        <v>1.4585353321897094E-4</v>
      </c>
      <c r="Z115" t="s">
        <v>355</v>
      </c>
      <c r="AA115" t="s">
        <v>25</v>
      </c>
      <c r="AC115" t="s">
        <v>22</v>
      </c>
      <c r="AD115" t="s">
        <v>355</v>
      </c>
      <c r="AE115">
        <v>1.1018594464738771E-4</v>
      </c>
      <c r="AG115" t="s">
        <v>99</v>
      </c>
      <c r="AH115" t="s">
        <v>355</v>
      </c>
      <c r="AI115">
        <v>0</v>
      </c>
    </row>
    <row r="116" spans="9:35" x14ac:dyDescent="0.45">
      <c r="I116" t="s">
        <v>249</v>
      </c>
      <c r="J116" t="s">
        <v>356</v>
      </c>
      <c r="K116">
        <v>2.9044294021140002E-4</v>
      </c>
      <c r="L116" t="s">
        <v>251</v>
      </c>
      <c r="N116" t="s">
        <v>419</v>
      </c>
      <c r="O116" t="s">
        <v>356</v>
      </c>
      <c r="P116">
        <v>2.1525875078393165E-5</v>
      </c>
      <c r="Q116" t="s">
        <v>251</v>
      </c>
      <c r="S116" t="s">
        <v>420</v>
      </c>
      <c r="T116" t="s">
        <v>356</v>
      </c>
      <c r="U116">
        <v>6.9805460221153111E-5</v>
      </c>
      <c r="V116" t="s">
        <v>251</v>
      </c>
      <c r="X116">
        <v>1.1415525114155251E-4</v>
      </c>
      <c r="Y116">
        <v>1.4452759200788939E-4</v>
      </c>
      <c r="Z116" t="s">
        <v>356</v>
      </c>
      <c r="AA116" t="s">
        <v>25</v>
      </c>
      <c r="AC116" t="s">
        <v>22</v>
      </c>
      <c r="AD116" t="s">
        <v>356</v>
      </c>
      <c r="AE116">
        <v>1.1066248570205542E-4</v>
      </c>
      <c r="AG116" t="s">
        <v>99</v>
      </c>
      <c r="AH116" t="s">
        <v>356</v>
      </c>
      <c r="AI116">
        <v>0</v>
      </c>
    </row>
    <row r="117" spans="9:35" x14ac:dyDescent="0.45">
      <c r="I117" t="s">
        <v>249</v>
      </c>
      <c r="J117" t="s">
        <v>357</v>
      </c>
      <c r="K117">
        <v>3.0268375677049999E-4</v>
      </c>
      <c r="L117" t="s">
        <v>251</v>
      </c>
      <c r="N117" t="s">
        <v>419</v>
      </c>
      <c r="O117" t="s">
        <v>357</v>
      </c>
      <c r="P117">
        <v>2.2018416554217533E-5</v>
      </c>
      <c r="Q117" t="s">
        <v>251</v>
      </c>
      <c r="S117" t="s">
        <v>420</v>
      </c>
      <c r="T117" t="s">
        <v>357</v>
      </c>
      <c r="U117">
        <v>8.4879809284477768E-5</v>
      </c>
      <c r="V117" t="s">
        <v>251</v>
      </c>
      <c r="X117">
        <v>1.1415525114155251E-4</v>
      </c>
      <c r="Y117">
        <v>1.408812536774151E-4</v>
      </c>
      <c r="Z117" t="s">
        <v>357</v>
      </c>
      <c r="AA117" t="s">
        <v>25</v>
      </c>
      <c r="AC117" t="s">
        <v>22</v>
      </c>
      <c r="AD117" t="s">
        <v>357</v>
      </c>
      <c r="AE117">
        <v>1.1443907356029693E-4</v>
      </c>
      <c r="AG117" t="s">
        <v>99</v>
      </c>
      <c r="AH117" t="s">
        <v>357</v>
      </c>
      <c r="AI117">
        <v>0</v>
      </c>
    </row>
    <row r="118" spans="9:35" x14ac:dyDescent="0.45">
      <c r="I118" t="s">
        <v>249</v>
      </c>
      <c r="J118" t="s">
        <v>358</v>
      </c>
      <c r="K118">
        <v>3.1976674527339999E-4</v>
      </c>
      <c r="L118" t="s">
        <v>251</v>
      </c>
      <c r="N118" t="s">
        <v>419</v>
      </c>
      <c r="O118" t="s">
        <v>358</v>
      </c>
      <c r="P118">
        <v>1.9391570221733368E-5</v>
      </c>
      <c r="Q118" t="s">
        <v>251</v>
      </c>
      <c r="S118" t="s">
        <v>420</v>
      </c>
      <c r="T118" t="s">
        <v>358</v>
      </c>
      <c r="U118">
        <v>9.6107238907283327E-5</v>
      </c>
      <c r="V118" t="s">
        <v>251</v>
      </c>
      <c r="X118">
        <v>1.1415525114155251E-4</v>
      </c>
      <c r="Y118">
        <v>1.4054976837464471E-4</v>
      </c>
      <c r="Z118" t="s">
        <v>358</v>
      </c>
      <c r="AA118" t="s">
        <v>25</v>
      </c>
      <c r="AC118" t="s">
        <v>22</v>
      </c>
      <c r="AD118" t="s">
        <v>358</v>
      </c>
      <c r="AE118">
        <v>1.134323805823114E-4</v>
      </c>
      <c r="AG118" t="s">
        <v>99</v>
      </c>
      <c r="AH118" t="s">
        <v>358</v>
      </c>
      <c r="AI118">
        <v>0</v>
      </c>
    </row>
    <row r="119" spans="9:35" x14ac:dyDescent="0.45">
      <c r="I119" t="s">
        <v>249</v>
      </c>
      <c r="J119" t="s">
        <v>359</v>
      </c>
      <c r="K119">
        <v>3.3715613772420001E-4</v>
      </c>
      <c r="L119" t="s">
        <v>251</v>
      </c>
      <c r="N119" t="s">
        <v>419</v>
      </c>
      <c r="O119" t="s">
        <v>359</v>
      </c>
      <c r="P119">
        <v>2.0360181455642373E-5</v>
      </c>
      <c r="Q119" t="s">
        <v>251</v>
      </c>
      <c r="S119" t="s">
        <v>420</v>
      </c>
      <c r="T119" t="s">
        <v>359</v>
      </c>
      <c r="U119">
        <v>1.042247924967E-4</v>
      </c>
      <c r="V119" t="s">
        <v>251</v>
      </c>
      <c r="X119">
        <v>1.1415525114155251E-4</v>
      </c>
      <c r="Y119">
        <v>1.4253868019126702E-4</v>
      </c>
      <c r="Z119" t="s">
        <v>359</v>
      </c>
      <c r="AA119" t="s">
        <v>25</v>
      </c>
      <c r="AC119" t="s">
        <v>22</v>
      </c>
      <c r="AD119" t="s">
        <v>359</v>
      </c>
      <c r="AE119">
        <v>1.1062674512295536E-4</v>
      </c>
      <c r="AG119" t="s">
        <v>99</v>
      </c>
      <c r="AH119" t="s">
        <v>359</v>
      </c>
      <c r="AI119">
        <v>0</v>
      </c>
    </row>
    <row r="120" spans="9:35" x14ac:dyDescent="0.45">
      <c r="I120" t="s">
        <v>249</v>
      </c>
      <c r="J120" t="s">
        <v>360</v>
      </c>
      <c r="K120">
        <v>3.2477411449999998E-4</v>
      </c>
      <c r="L120" t="s">
        <v>251</v>
      </c>
      <c r="N120" t="s">
        <v>419</v>
      </c>
      <c r="O120" t="s">
        <v>360</v>
      </c>
      <c r="P120">
        <v>2.2232830278852703E-5</v>
      </c>
      <c r="Q120" t="s">
        <v>251</v>
      </c>
      <c r="S120" t="s">
        <v>420</v>
      </c>
      <c r="T120" t="s">
        <v>360</v>
      </c>
      <c r="U120">
        <v>1.1939203109250001E-4</v>
      </c>
      <c r="V120" t="s">
        <v>251</v>
      </c>
      <c r="X120">
        <v>1.1415525114155251E-4</v>
      </c>
      <c r="Y120">
        <v>1.4883690094390442E-4</v>
      </c>
      <c r="Z120" t="s">
        <v>360</v>
      </c>
      <c r="AA120" t="s">
        <v>25</v>
      </c>
      <c r="AC120" t="s">
        <v>22</v>
      </c>
      <c r="AD120" t="s">
        <v>360</v>
      </c>
      <c r="AE120">
        <v>1.0518226357337691E-4</v>
      </c>
      <c r="AG120" t="s">
        <v>99</v>
      </c>
      <c r="AH120" t="s">
        <v>360</v>
      </c>
      <c r="AI120">
        <v>0</v>
      </c>
    </row>
    <row r="121" spans="9:35" x14ac:dyDescent="0.45">
      <c r="I121" t="s">
        <v>249</v>
      </c>
      <c r="J121" t="s">
        <v>361</v>
      </c>
      <c r="K121">
        <v>3.0485805024190002E-4</v>
      </c>
      <c r="L121" t="s">
        <v>251</v>
      </c>
      <c r="N121" t="s">
        <v>419</v>
      </c>
      <c r="O121" t="s">
        <v>361</v>
      </c>
      <c r="P121">
        <v>2.5500817996674905E-5</v>
      </c>
      <c r="Q121" t="s">
        <v>251</v>
      </c>
      <c r="S121" t="s">
        <v>420</v>
      </c>
      <c r="T121" t="s">
        <v>361</v>
      </c>
      <c r="U121">
        <v>1.3397055298020001E-4</v>
      </c>
      <c r="V121" t="s">
        <v>251</v>
      </c>
      <c r="X121">
        <v>1.1415525114155251E-4</v>
      </c>
      <c r="Y121">
        <v>1.5049432745775637E-4</v>
      </c>
      <c r="Z121" t="s">
        <v>361</v>
      </c>
      <c r="AA121" t="s">
        <v>25</v>
      </c>
      <c r="AC121" t="s">
        <v>22</v>
      </c>
      <c r="AD121" t="s">
        <v>361</v>
      </c>
      <c r="AE121">
        <v>9.9463770917364511E-5</v>
      </c>
      <c r="AG121" t="s">
        <v>99</v>
      </c>
      <c r="AH121" t="s">
        <v>361</v>
      </c>
      <c r="AI121">
        <v>0</v>
      </c>
    </row>
    <row r="122" spans="9:35" x14ac:dyDescent="0.45">
      <c r="I122" t="s">
        <v>249</v>
      </c>
      <c r="J122" t="s">
        <v>362</v>
      </c>
      <c r="K122">
        <v>2.8898967811790002E-4</v>
      </c>
      <c r="L122" t="s">
        <v>251</v>
      </c>
      <c r="N122" t="s">
        <v>419</v>
      </c>
      <c r="O122" t="s">
        <v>362</v>
      </c>
      <c r="P122">
        <v>2.7093569254175769E-5</v>
      </c>
      <c r="Q122" t="s">
        <v>251</v>
      </c>
      <c r="S122" t="s">
        <v>420</v>
      </c>
      <c r="T122" t="s">
        <v>362</v>
      </c>
      <c r="U122">
        <v>1.3531398526900001E-4</v>
      </c>
      <c r="V122" t="s">
        <v>251</v>
      </c>
      <c r="X122">
        <v>1.1415525114155251E-4</v>
      </c>
      <c r="Y122">
        <v>1.7237235744060203E-4</v>
      </c>
      <c r="Z122" t="s">
        <v>362</v>
      </c>
      <c r="AA122" t="s">
        <v>25</v>
      </c>
      <c r="AC122" t="s">
        <v>22</v>
      </c>
      <c r="AD122" t="s">
        <v>362</v>
      </c>
      <c r="AE122">
        <v>8.5507074778784286E-5</v>
      </c>
      <c r="AG122" t="s">
        <v>99</v>
      </c>
      <c r="AH122" t="s">
        <v>362</v>
      </c>
      <c r="AI122">
        <v>0</v>
      </c>
    </row>
    <row r="123" spans="9:35" x14ac:dyDescent="0.45">
      <c r="I123" t="s">
        <v>249</v>
      </c>
      <c r="J123" t="s">
        <v>363</v>
      </c>
      <c r="K123">
        <v>2.7293707973909999E-4</v>
      </c>
      <c r="L123" t="s">
        <v>251</v>
      </c>
      <c r="N123" t="s">
        <v>419</v>
      </c>
      <c r="O123" t="s">
        <v>363</v>
      </c>
      <c r="P123">
        <v>3.0039889068030518E-5</v>
      </c>
      <c r="Q123" t="s">
        <v>251</v>
      </c>
      <c r="S123" t="s">
        <v>420</v>
      </c>
      <c r="T123" t="s">
        <v>363</v>
      </c>
      <c r="U123">
        <v>1.23835068992E-4</v>
      </c>
      <c r="V123" t="s">
        <v>251</v>
      </c>
      <c r="X123">
        <v>1.1415525114155251E-4</v>
      </c>
      <c r="Y123">
        <v>2.2209515285616027E-4</v>
      </c>
      <c r="Z123" t="s">
        <v>363</v>
      </c>
      <c r="AA123" t="s">
        <v>25</v>
      </c>
      <c r="AC123" t="s">
        <v>22</v>
      </c>
      <c r="AD123" t="s">
        <v>363</v>
      </c>
      <c r="AE123">
        <v>8.0551047810240232E-5</v>
      </c>
      <c r="AG123" t="s">
        <v>99</v>
      </c>
      <c r="AH123" t="s">
        <v>363</v>
      </c>
      <c r="AI123">
        <v>0</v>
      </c>
    </row>
    <row r="124" spans="9:35" x14ac:dyDescent="0.45">
      <c r="I124" t="s">
        <v>249</v>
      </c>
      <c r="J124" t="s">
        <v>364</v>
      </c>
      <c r="K124">
        <v>2.254420524114E-4</v>
      </c>
      <c r="L124" t="s">
        <v>251</v>
      </c>
      <c r="N124" t="s">
        <v>419</v>
      </c>
      <c r="O124" t="s">
        <v>364</v>
      </c>
      <c r="P124">
        <v>3.0782655516270738E-5</v>
      </c>
      <c r="Q124" t="s">
        <v>251</v>
      </c>
      <c r="S124" t="s">
        <v>420</v>
      </c>
      <c r="T124" t="s">
        <v>364</v>
      </c>
      <c r="U124">
        <v>1.0689758038470001E-4</v>
      </c>
      <c r="V124" t="s">
        <v>251</v>
      </c>
      <c r="X124">
        <v>1.1415525114155251E-4</v>
      </c>
      <c r="Y124">
        <v>2.2209515285616027E-4</v>
      </c>
      <c r="Z124" t="s">
        <v>364</v>
      </c>
      <c r="AA124" t="s">
        <v>25</v>
      </c>
      <c r="AC124" t="s">
        <v>22</v>
      </c>
      <c r="AD124" t="s">
        <v>364</v>
      </c>
      <c r="AE124">
        <v>7.5231658287512037E-5</v>
      </c>
      <c r="AG124" t="s">
        <v>99</v>
      </c>
      <c r="AH124" t="s">
        <v>364</v>
      </c>
      <c r="AI124">
        <v>0</v>
      </c>
    </row>
    <row r="125" spans="9:35" x14ac:dyDescent="0.45">
      <c r="I125" t="s">
        <v>249</v>
      </c>
      <c r="J125" t="s">
        <v>365</v>
      </c>
      <c r="K125">
        <v>9.3359402806149762E-5</v>
      </c>
      <c r="L125" t="s">
        <v>251</v>
      </c>
      <c r="N125" t="s">
        <v>419</v>
      </c>
      <c r="O125" t="s">
        <v>365</v>
      </c>
      <c r="P125">
        <v>3.695367324594916E-5</v>
      </c>
      <c r="Q125" t="s">
        <v>251</v>
      </c>
      <c r="S125" t="s">
        <v>420</v>
      </c>
      <c r="T125" t="s">
        <v>365</v>
      </c>
      <c r="U125">
        <v>9.2034044938064155E-5</v>
      </c>
      <c r="V125" t="s">
        <v>251</v>
      </c>
      <c r="X125">
        <v>1.1415525114155251E-4</v>
      </c>
      <c r="Y125">
        <v>1.7237235744060203E-4</v>
      </c>
      <c r="Z125" t="s">
        <v>365</v>
      </c>
      <c r="AA125" t="s">
        <v>25</v>
      </c>
      <c r="AC125" t="s">
        <v>22</v>
      </c>
      <c r="AD125" t="s">
        <v>365</v>
      </c>
      <c r="AE125">
        <v>7.5463972051662543E-5</v>
      </c>
      <c r="AG125" t="s">
        <v>99</v>
      </c>
      <c r="AH125" t="s">
        <v>365</v>
      </c>
      <c r="AI125">
        <v>0</v>
      </c>
    </row>
    <row r="126" spans="9:35" x14ac:dyDescent="0.45">
      <c r="I126" t="s">
        <v>249</v>
      </c>
      <c r="J126" t="s">
        <v>366</v>
      </c>
      <c r="K126">
        <v>0</v>
      </c>
      <c r="L126" t="s">
        <v>251</v>
      </c>
      <c r="N126" t="s">
        <v>419</v>
      </c>
      <c r="O126" t="s">
        <v>366</v>
      </c>
      <c r="P126">
        <v>4.0118769833130997E-5</v>
      </c>
      <c r="Q126" t="s">
        <v>251</v>
      </c>
      <c r="S126" t="s">
        <v>420</v>
      </c>
      <c r="T126" t="s">
        <v>366</v>
      </c>
      <c r="U126">
        <v>7.3246548246319555E-5</v>
      </c>
      <c r="V126" t="s">
        <v>251</v>
      </c>
      <c r="X126">
        <v>1.1415525114155251E-4</v>
      </c>
      <c r="Y126">
        <v>1.5579809230208258E-4</v>
      </c>
      <c r="Z126" t="s">
        <v>366</v>
      </c>
      <c r="AA126" t="s">
        <v>25</v>
      </c>
      <c r="AC126" t="s">
        <v>22</v>
      </c>
      <c r="AD126" t="s">
        <v>366</v>
      </c>
      <c r="AE126">
        <v>7.598221044861366E-5</v>
      </c>
      <c r="AG126" t="s">
        <v>99</v>
      </c>
      <c r="AH126" t="s">
        <v>366</v>
      </c>
      <c r="AI126">
        <v>0</v>
      </c>
    </row>
    <row r="127" spans="9:35" x14ac:dyDescent="0.45">
      <c r="I127" t="s">
        <v>249</v>
      </c>
      <c r="J127" t="s">
        <v>367</v>
      </c>
      <c r="K127">
        <v>0</v>
      </c>
      <c r="L127" t="s">
        <v>251</v>
      </c>
      <c r="N127" t="s">
        <v>419</v>
      </c>
      <c r="O127" t="s">
        <v>367</v>
      </c>
      <c r="P127">
        <v>4.6729203990118233E-5</v>
      </c>
      <c r="Q127" t="s">
        <v>251</v>
      </c>
      <c r="S127" t="s">
        <v>420</v>
      </c>
      <c r="T127" t="s">
        <v>367</v>
      </c>
      <c r="U127">
        <v>7.4369314966199869E-5</v>
      </c>
      <c r="V127" t="s">
        <v>251</v>
      </c>
      <c r="X127">
        <v>1.1415525114155251E-4</v>
      </c>
      <c r="Y127">
        <v>1.093901499142282E-4</v>
      </c>
      <c r="Z127" t="s">
        <v>367</v>
      </c>
      <c r="AA127" t="s">
        <v>25</v>
      </c>
      <c r="AC127" t="s">
        <v>22</v>
      </c>
      <c r="AD127" t="s">
        <v>367</v>
      </c>
      <c r="AE127">
        <v>8.1724530157359425E-5</v>
      </c>
      <c r="AG127" t="s">
        <v>99</v>
      </c>
      <c r="AH127" t="s">
        <v>367</v>
      </c>
      <c r="AI127">
        <v>0</v>
      </c>
    </row>
    <row r="128" spans="9:35" x14ac:dyDescent="0.45">
      <c r="I128" t="s">
        <v>249</v>
      </c>
      <c r="J128" t="s">
        <v>368</v>
      </c>
      <c r="K128">
        <v>0</v>
      </c>
      <c r="L128" t="s">
        <v>251</v>
      </c>
      <c r="N128" t="s">
        <v>419</v>
      </c>
      <c r="O128" t="s">
        <v>368</v>
      </c>
      <c r="P128">
        <v>5.4867949821239762E-5</v>
      </c>
      <c r="Q128" t="s">
        <v>251</v>
      </c>
      <c r="S128" t="s">
        <v>420</v>
      </c>
      <c r="T128" t="s">
        <v>368</v>
      </c>
      <c r="U128">
        <v>7.1405190812889725E-5</v>
      </c>
      <c r="V128" t="s">
        <v>251</v>
      </c>
      <c r="X128">
        <v>1.1415525114155251E-4</v>
      </c>
      <c r="Y128">
        <v>7.9556472664893237E-5</v>
      </c>
      <c r="Z128" t="s">
        <v>368</v>
      </c>
      <c r="AA128" t="s">
        <v>25</v>
      </c>
      <c r="AC128" t="s">
        <v>22</v>
      </c>
      <c r="AD128" t="s">
        <v>368</v>
      </c>
      <c r="AE128">
        <v>8.7788515078005876E-5</v>
      </c>
      <c r="AG128" t="s">
        <v>99</v>
      </c>
      <c r="AH128" t="s">
        <v>368</v>
      </c>
      <c r="AI128">
        <v>0</v>
      </c>
    </row>
    <row r="129" spans="9:35" x14ac:dyDescent="0.45">
      <c r="I129" t="s">
        <v>249</v>
      </c>
      <c r="J129" t="s">
        <v>369</v>
      </c>
      <c r="K129">
        <v>0</v>
      </c>
      <c r="L129" t="s">
        <v>251</v>
      </c>
      <c r="N129" t="s">
        <v>419</v>
      </c>
      <c r="O129" t="s">
        <v>369</v>
      </c>
      <c r="P129">
        <v>6.8770197054584883E-5</v>
      </c>
      <c r="Q129" t="s">
        <v>251</v>
      </c>
      <c r="S129" t="s">
        <v>420</v>
      </c>
      <c r="T129" t="s">
        <v>369</v>
      </c>
      <c r="U129">
        <v>6.1930348138479685E-5</v>
      </c>
      <c r="V129" t="s">
        <v>251</v>
      </c>
      <c r="X129">
        <v>1.1415525114155251E-4</v>
      </c>
      <c r="Y129">
        <v>5.6352501470966035E-5</v>
      </c>
      <c r="Z129" t="s">
        <v>369</v>
      </c>
      <c r="AA129" t="s">
        <v>25</v>
      </c>
      <c r="AC129" t="s">
        <v>22</v>
      </c>
      <c r="AD129" t="s">
        <v>369</v>
      </c>
      <c r="AE129">
        <v>9.6908319511708989E-5</v>
      </c>
      <c r="AG129" t="s">
        <v>99</v>
      </c>
      <c r="AH129" t="s">
        <v>369</v>
      </c>
      <c r="AI129">
        <v>0</v>
      </c>
    </row>
    <row r="130" spans="9:35" x14ac:dyDescent="0.45">
      <c r="I130" t="s">
        <v>249</v>
      </c>
      <c r="J130" t="s">
        <v>370</v>
      </c>
      <c r="K130">
        <v>0</v>
      </c>
      <c r="L130" t="s">
        <v>251</v>
      </c>
      <c r="N130" t="s">
        <v>419</v>
      </c>
      <c r="O130" t="s">
        <v>370</v>
      </c>
      <c r="P130">
        <v>8.197170466648859E-5</v>
      </c>
      <c r="Q130" t="s">
        <v>251</v>
      </c>
      <c r="S130" t="s">
        <v>420</v>
      </c>
      <c r="T130" t="s">
        <v>370</v>
      </c>
      <c r="U130">
        <v>6.1193126966661355E-5</v>
      </c>
      <c r="V130" t="s">
        <v>251</v>
      </c>
      <c r="X130">
        <v>1.1415525114155251E-4</v>
      </c>
      <c r="Y130">
        <v>2.9833677249334962E-5</v>
      </c>
      <c r="Z130" t="s">
        <v>370</v>
      </c>
      <c r="AA130" t="s">
        <v>25</v>
      </c>
      <c r="AC130" t="s">
        <v>22</v>
      </c>
      <c r="AD130" t="s">
        <v>370</v>
      </c>
      <c r="AE130">
        <v>1.0269233656273814E-4</v>
      </c>
      <c r="AG130" t="s">
        <v>99</v>
      </c>
      <c r="AH130" t="s">
        <v>370</v>
      </c>
      <c r="AI130">
        <v>0</v>
      </c>
    </row>
    <row r="131" spans="9:35" x14ac:dyDescent="0.45">
      <c r="I131" t="s">
        <v>249</v>
      </c>
      <c r="J131" t="s">
        <v>371</v>
      </c>
      <c r="K131">
        <v>0</v>
      </c>
      <c r="L131" t="s">
        <v>251</v>
      </c>
      <c r="N131" t="s">
        <v>419</v>
      </c>
      <c r="O131" t="s">
        <v>371</v>
      </c>
      <c r="P131">
        <v>2.3639833951319999E-4</v>
      </c>
      <c r="Q131" t="s">
        <v>251</v>
      </c>
      <c r="S131" t="s">
        <v>420</v>
      </c>
      <c r="T131" t="s">
        <v>371</v>
      </c>
      <c r="U131">
        <v>1.161454874279E-4</v>
      </c>
      <c r="V131" t="s">
        <v>251</v>
      </c>
      <c r="X131">
        <v>1.1415525114155251E-4</v>
      </c>
      <c r="Y131">
        <v>2.1546544680075254E-5</v>
      </c>
      <c r="Z131" t="s">
        <v>371</v>
      </c>
      <c r="AA131" t="s">
        <v>25</v>
      </c>
      <c r="AC131" t="s">
        <v>22</v>
      </c>
      <c r="AD131" t="s">
        <v>371</v>
      </c>
      <c r="AE131">
        <v>1.3158263800196735E-4</v>
      </c>
      <c r="AG131" t="s">
        <v>99</v>
      </c>
      <c r="AH131" t="s">
        <v>371</v>
      </c>
      <c r="AI131">
        <v>0</v>
      </c>
    </row>
    <row r="132" spans="9:35" x14ac:dyDescent="0.45">
      <c r="I132" t="s">
        <v>249</v>
      </c>
      <c r="J132" t="s">
        <v>372</v>
      </c>
      <c r="K132">
        <v>0</v>
      </c>
      <c r="L132" t="s">
        <v>251</v>
      </c>
      <c r="N132" t="s">
        <v>419</v>
      </c>
      <c r="O132" t="s">
        <v>372</v>
      </c>
      <c r="P132">
        <v>2.478622143669E-4</v>
      </c>
      <c r="Q132" t="s">
        <v>251</v>
      </c>
      <c r="S132" t="s">
        <v>420</v>
      </c>
      <c r="T132" t="s">
        <v>372</v>
      </c>
      <c r="U132">
        <v>1.416567454477E-4</v>
      </c>
      <c r="V132" t="s">
        <v>251</v>
      </c>
      <c r="X132">
        <v>1.1415525114155251E-4</v>
      </c>
      <c r="Y132">
        <v>1.4916838624667481E-5</v>
      </c>
      <c r="Z132" t="s">
        <v>372</v>
      </c>
      <c r="AA132" t="s">
        <v>25</v>
      </c>
      <c r="AC132" t="s">
        <v>22</v>
      </c>
      <c r="AD132" t="s">
        <v>372</v>
      </c>
      <c r="AE132">
        <v>1.2991474431063043E-4</v>
      </c>
      <c r="AG132" t="s">
        <v>99</v>
      </c>
      <c r="AH132" t="s">
        <v>372</v>
      </c>
      <c r="AI132">
        <v>0</v>
      </c>
    </row>
    <row r="133" spans="9:35" x14ac:dyDescent="0.45">
      <c r="I133" t="s">
        <v>249</v>
      </c>
      <c r="J133" t="s">
        <v>373</v>
      </c>
      <c r="K133">
        <v>0</v>
      </c>
      <c r="L133" t="s">
        <v>251</v>
      </c>
      <c r="N133" t="s">
        <v>419</v>
      </c>
      <c r="O133" t="s">
        <v>373</v>
      </c>
      <c r="P133">
        <v>2.523924050206E-4</v>
      </c>
      <c r="Q133" t="s">
        <v>251</v>
      </c>
      <c r="S133" t="s">
        <v>420</v>
      </c>
      <c r="T133" t="s">
        <v>373</v>
      </c>
      <c r="U133">
        <v>1.5360246256200001E-4</v>
      </c>
      <c r="V133" t="s">
        <v>251</v>
      </c>
      <c r="X133">
        <v>1.1415525114155251E-4</v>
      </c>
      <c r="Y133">
        <v>1.6574265138519424E-5</v>
      </c>
      <c r="Z133" t="s">
        <v>373</v>
      </c>
      <c r="AA133" t="s">
        <v>25</v>
      </c>
      <c r="AC133" t="s">
        <v>22</v>
      </c>
      <c r="AD133" t="s">
        <v>373</v>
      </c>
      <c r="AE133">
        <v>1.2998026870564728E-4</v>
      </c>
      <c r="AG133" t="s">
        <v>99</v>
      </c>
      <c r="AH133" t="s">
        <v>373</v>
      </c>
      <c r="AI133">
        <v>0</v>
      </c>
    </row>
    <row r="134" spans="9:35" x14ac:dyDescent="0.45">
      <c r="I134" t="s">
        <v>249</v>
      </c>
      <c r="J134" t="s">
        <v>374</v>
      </c>
      <c r="K134">
        <v>0</v>
      </c>
      <c r="L134" t="s">
        <v>251</v>
      </c>
      <c r="N134" t="s">
        <v>419</v>
      </c>
      <c r="O134" t="s">
        <v>374</v>
      </c>
      <c r="P134">
        <v>2.5569157415530002E-4</v>
      </c>
      <c r="Q134" t="s">
        <v>251</v>
      </c>
      <c r="S134" t="s">
        <v>420</v>
      </c>
      <c r="T134" t="s">
        <v>374</v>
      </c>
      <c r="U134">
        <v>1.591645524577E-4</v>
      </c>
      <c r="V134" t="s">
        <v>251</v>
      </c>
      <c r="X134">
        <v>1.1415525114155251E-4</v>
      </c>
      <c r="Y134">
        <v>1.4585353321897093E-5</v>
      </c>
      <c r="Z134" t="s">
        <v>374</v>
      </c>
      <c r="AA134" t="s">
        <v>25</v>
      </c>
      <c r="AC134" t="s">
        <v>22</v>
      </c>
      <c r="AD134" t="s">
        <v>374</v>
      </c>
      <c r="AE134">
        <v>1.2998026870564728E-4</v>
      </c>
      <c r="AG134" t="s">
        <v>99</v>
      </c>
      <c r="AH134" t="s">
        <v>374</v>
      </c>
      <c r="AI134">
        <v>0</v>
      </c>
    </row>
    <row r="135" spans="9:35" x14ac:dyDescent="0.45">
      <c r="I135" t="s">
        <v>249</v>
      </c>
      <c r="J135" t="s">
        <v>375</v>
      </c>
      <c r="K135">
        <v>0</v>
      </c>
      <c r="L135" t="s">
        <v>251</v>
      </c>
      <c r="N135" t="s">
        <v>419</v>
      </c>
      <c r="O135" t="s">
        <v>375</v>
      </c>
      <c r="P135">
        <v>2.5304480479629998E-4</v>
      </c>
      <c r="Q135" t="s">
        <v>251</v>
      </c>
      <c r="S135" t="s">
        <v>420</v>
      </c>
      <c r="T135" t="s">
        <v>375</v>
      </c>
      <c r="U135">
        <v>1.671230496459E-4</v>
      </c>
      <c r="V135" t="s">
        <v>251</v>
      </c>
      <c r="X135">
        <v>1.1415525114155251E-4</v>
      </c>
      <c r="Y135">
        <v>2.1215059377304864E-5</v>
      </c>
      <c r="Z135" t="s">
        <v>375</v>
      </c>
      <c r="AA135" t="s">
        <v>25</v>
      </c>
      <c r="AC135" t="s">
        <v>22</v>
      </c>
      <c r="AD135" t="s">
        <v>375</v>
      </c>
      <c r="AE135">
        <v>1.2984326315243028E-4</v>
      </c>
      <c r="AG135" t="s">
        <v>99</v>
      </c>
      <c r="AH135" t="s">
        <v>375</v>
      </c>
      <c r="AI135">
        <v>0</v>
      </c>
    </row>
    <row r="136" spans="9:35" x14ac:dyDescent="0.45">
      <c r="I136" t="s">
        <v>249</v>
      </c>
      <c r="J136" t="s">
        <v>376</v>
      </c>
      <c r="K136">
        <v>0</v>
      </c>
      <c r="L136" t="s">
        <v>251</v>
      </c>
      <c r="N136" t="s">
        <v>419</v>
      </c>
      <c r="O136" t="s">
        <v>376</v>
      </c>
      <c r="P136">
        <v>2.482646638311E-4</v>
      </c>
      <c r="Q136" t="s">
        <v>251</v>
      </c>
      <c r="S136" t="s">
        <v>420</v>
      </c>
      <c r="T136" t="s">
        <v>376</v>
      </c>
      <c r="U136">
        <v>1.715509371765E-4</v>
      </c>
      <c r="V136" t="s">
        <v>251</v>
      </c>
      <c r="X136">
        <v>1.1415525114155251E-4</v>
      </c>
      <c r="Y136">
        <v>5.7678442682047593E-5</v>
      </c>
      <c r="Z136" t="s">
        <v>376</v>
      </c>
      <c r="AA136" t="s">
        <v>25</v>
      </c>
      <c r="AC136" t="s">
        <v>22</v>
      </c>
      <c r="AD136" t="s">
        <v>376</v>
      </c>
      <c r="AE136">
        <v>1.2997431194246387E-4</v>
      </c>
      <c r="AG136" t="s">
        <v>99</v>
      </c>
      <c r="AH136" t="s">
        <v>376</v>
      </c>
      <c r="AI136">
        <v>0</v>
      </c>
    </row>
    <row r="137" spans="9:35" x14ac:dyDescent="0.45">
      <c r="I137" t="s">
        <v>249</v>
      </c>
      <c r="J137" t="s">
        <v>377</v>
      </c>
      <c r="K137">
        <v>4.4889140950900199E-5</v>
      </c>
      <c r="L137" t="s">
        <v>251</v>
      </c>
      <c r="N137" t="s">
        <v>419</v>
      </c>
      <c r="O137" t="s">
        <v>377</v>
      </c>
      <c r="P137">
        <v>2.40070792932E-4</v>
      </c>
      <c r="Q137" t="s">
        <v>251</v>
      </c>
      <c r="S137" t="s">
        <v>420</v>
      </c>
      <c r="T137" t="s">
        <v>377</v>
      </c>
      <c r="U137">
        <v>1.7472732000129999E-4</v>
      </c>
      <c r="V137" t="s">
        <v>251</v>
      </c>
      <c r="X137">
        <v>1.1415525114155251E-4</v>
      </c>
      <c r="Y137">
        <v>1.6905750441289813E-4</v>
      </c>
      <c r="Z137" t="s">
        <v>377</v>
      </c>
      <c r="AA137" t="s">
        <v>25</v>
      </c>
      <c r="AC137" t="s">
        <v>22</v>
      </c>
      <c r="AD137" t="s">
        <v>377</v>
      </c>
      <c r="AE137">
        <v>1.3031384744391461E-4</v>
      </c>
      <c r="AG137" t="s">
        <v>99</v>
      </c>
      <c r="AH137" t="s">
        <v>377</v>
      </c>
      <c r="AI137">
        <v>0</v>
      </c>
    </row>
    <row r="138" spans="9:35" x14ac:dyDescent="0.45">
      <c r="I138" t="s">
        <v>249</v>
      </c>
      <c r="J138" t="s">
        <v>378</v>
      </c>
      <c r="K138">
        <v>1.8412409618130001E-4</v>
      </c>
      <c r="L138" t="s">
        <v>251</v>
      </c>
      <c r="N138" t="s">
        <v>419</v>
      </c>
      <c r="O138" t="s">
        <v>378</v>
      </c>
      <c r="P138">
        <v>2.280112480073E-4</v>
      </c>
      <c r="Q138" t="s">
        <v>251</v>
      </c>
      <c r="S138" t="s">
        <v>420</v>
      </c>
      <c r="T138" t="s">
        <v>378</v>
      </c>
      <c r="U138">
        <v>1.7728009904080001E-4</v>
      </c>
      <c r="V138" t="s">
        <v>251</v>
      </c>
      <c r="X138">
        <v>1.1415525114155251E-4</v>
      </c>
      <c r="Y138">
        <v>1.9060404909297337E-4</v>
      </c>
      <c r="Z138" t="s">
        <v>378</v>
      </c>
      <c r="AA138" t="s">
        <v>25</v>
      </c>
      <c r="AC138" t="s">
        <v>22</v>
      </c>
      <c r="AD138" t="s">
        <v>378</v>
      </c>
      <c r="AE138">
        <v>1.3112396723684972E-4</v>
      </c>
      <c r="AG138" t="s">
        <v>99</v>
      </c>
      <c r="AH138" t="s">
        <v>378</v>
      </c>
      <c r="AI138">
        <v>0</v>
      </c>
    </row>
    <row r="139" spans="9:35" x14ac:dyDescent="0.45">
      <c r="I139" t="s">
        <v>249</v>
      </c>
      <c r="J139" t="s">
        <v>379</v>
      </c>
      <c r="K139">
        <v>2.5389258056410002E-4</v>
      </c>
      <c r="L139" t="s">
        <v>251</v>
      </c>
      <c r="N139" t="s">
        <v>419</v>
      </c>
      <c r="O139" t="s">
        <v>379</v>
      </c>
      <c r="P139">
        <v>2.3516218373739999E-4</v>
      </c>
      <c r="Q139" t="s">
        <v>251</v>
      </c>
      <c r="S139" t="s">
        <v>420</v>
      </c>
      <c r="T139" t="s">
        <v>379</v>
      </c>
      <c r="U139">
        <v>1.7848559486650001E-4</v>
      </c>
      <c r="V139" t="s">
        <v>251</v>
      </c>
      <c r="X139">
        <v>1.1415525114155251E-4</v>
      </c>
      <c r="Y139">
        <v>1.4585353321897094E-4</v>
      </c>
      <c r="Z139" t="s">
        <v>379</v>
      </c>
      <c r="AA139" t="s">
        <v>25</v>
      </c>
      <c r="AC139" t="s">
        <v>22</v>
      </c>
      <c r="AD139" t="s">
        <v>379</v>
      </c>
      <c r="AE139">
        <v>1.3145158921193373E-4</v>
      </c>
      <c r="AG139" t="s">
        <v>99</v>
      </c>
      <c r="AH139" t="s">
        <v>379</v>
      </c>
      <c r="AI139">
        <v>0</v>
      </c>
    </row>
    <row r="140" spans="9:35" x14ac:dyDescent="0.45">
      <c r="I140" t="s">
        <v>249</v>
      </c>
      <c r="J140" t="s">
        <v>380</v>
      </c>
      <c r="K140">
        <v>2.8311240212379999E-4</v>
      </c>
      <c r="L140" t="s">
        <v>251</v>
      </c>
      <c r="N140" t="s">
        <v>419</v>
      </c>
      <c r="O140" t="s">
        <v>380</v>
      </c>
      <c r="P140">
        <v>2.36554265482E-4</v>
      </c>
      <c r="Q140" t="s">
        <v>251</v>
      </c>
      <c r="S140" t="s">
        <v>420</v>
      </c>
      <c r="T140" t="s">
        <v>380</v>
      </c>
      <c r="U140">
        <v>1.773526201074E-4</v>
      </c>
      <c r="V140" t="s">
        <v>251</v>
      </c>
      <c r="X140">
        <v>1.1415525114155251E-4</v>
      </c>
      <c r="Y140">
        <v>1.4452759200788939E-4</v>
      </c>
      <c r="Z140" t="s">
        <v>380</v>
      </c>
      <c r="AA140" t="s">
        <v>25</v>
      </c>
      <c r="AC140" t="s">
        <v>22</v>
      </c>
      <c r="AD140" t="s">
        <v>380</v>
      </c>
      <c r="AE140">
        <v>1.3238680103171913E-4</v>
      </c>
      <c r="AG140" t="s">
        <v>99</v>
      </c>
      <c r="AH140" t="s">
        <v>380</v>
      </c>
      <c r="AI140">
        <v>0</v>
      </c>
    </row>
    <row r="141" spans="9:35" x14ac:dyDescent="0.45">
      <c r="I141" t="s">
        <v>249</v>
      </c>
      <c r="J141" t="s">
        <v>381</v>
      </c>
      <c r="K141">
        <v>2.9856160714240003E-4</v>
      </c>
      <c r="L141" t="s">
        <v>251</v>
      </c>
      <c r="N141" t="s">
        <v>419</v>
      </c>
      <c r="O141" t="s">
        <v>381</v>
      </c>
      <c r="P141">
        <v>2.418117477248E-4</v>
      </c>
      <c r="Q141" t="s">
        <v>251</v>
      </c>
      <c r="S141" t="s">
        <v>420</v>
      </c>
      <c r="T141" t="s">
        <v>381</v>
      </c>
      <c r="U141">
        <v>1.7625413503E-4</v>
      </c>
      <c r="V141" t="s">
        <v>251</v>
      </c>
      <c r="X141">
        <v>1.1415525114155251E-4</v>
      </c>
      <c r="Y141">
        <v>1.408812536774151E-4</v>
      </c>
      <c r="Z141" t="s">
        <v>381</v>
      </c>
      <c r="AA141" t="s">
        <v>25</v>
      </c>
      <c r="AC141" t="s">
        <v>22</v>
      </c>
      <c r="AD141" t="s">
        <v>381</v>
      </c>
      <c r="AE141">
        <v>1.3137415129055028E-4</v>
      </c>
      <c r="AG141" t="s">
        <v>99</v>
      </c>
      <c r="AH141" t="s">
        <v>381</v>
      </c>
      <c r="AI141">
        <v>0</v>
      </c>
    </row>
    <row r="142" spans="9:35" x14ac:dyDescent="0.45">
      <c r="I142" t="s">
        <v>249</v>
      </c>
      <c r="J142" t="s">
        <v>382</v>
      </c>
      <c r="K142">
        <v>3.1763977802929999E-4</v>
      </c>
      <c r="L142" t="s">
        <v>251</v>
      </c>
      <c r="N142" t="s">
        <v>419</v>
      </c>
      <c r="O142" t="s">
        <v>382</v>
      </c>
      <c r="P142">
        <v>2.485351427174E-4</v>
      </c>
      <c r="Q142" t="s">
        <v>251</v>
      </c>
      <c r="S142" t="s">
        <v>420</v>
      </c>
      <c r="T142" t="s">
        <v>382</v>
      </c>
      <c r="U142">
        <v>1.7454170401550001E-4</v>
      </c>
      <c r="V142" t="s">
        <v>251</v>
      </c>
      <c r="X142">
        <v>1.1415525114155251E-4</v>
      </c>
      <c r="Y142">
        <v>1.4054976837464471E-4</v>
      </c>
      <c r="Z142" t="s">
        <v>382</v>
      </c>
      <c r="AA142" t="s">
        <v>25</v>
      </c>
      <c r="AC142" t="s">
        <v>22</v>
      </c>
      <c r="AD142" t="s">
        <v>382</v>
      </c>
      <c r="AE142">
        <v>1.2830046148794359E-4</v>
      </c>
      <c r="AG142" t="s">
        <v>99</v>
      </c>
      <c r="AH142" t="s">
        <v>382</v>
      </c>
      <c r="AI142">
        <v>0</v>
      </c>
    </row>
    <row r="143" spans="9:35" x14ac:dyDescent="0.45">
      <c r="I143" t="s">
        <v>249</v>
      </c>
      <c r="J143" t="s">
        <v>383</v>
      </c>
      <c r="K143">
        <v>3.3370764331769998E-4</v>
      </c>
      <c r="L143" t="s">
        <v>251</v>
      </c>
      <c r="N143" t="s">
        <v>419</v>
      </c>
      <c r="O143" t="s">
        <v>383</v>
      </c>
      <c r="P143">
        <v>2.4895624962509999E-4</v>
      </c>
      <c r="Q143" t="s">
        <v>251</v>
      </c>
      <c r="S143" t="s">
        <v>420</v>
      </c>
      <c r="T143" t="s">
        <v>383</v>
      </c>
      <c r="U143">
        <v>1.736912042774E-4</v>
      </c>
      <c r="V143" t="s">
        <v>251</v>
      </c>
      <c r="X143">
        <v>1.1415525114155251E-4</v>
      </c>
      <c r="Y143">
        <v>1.4253868019126702E-4</v>
      </c>
      <c r="Z143" t="s">
        <v>383</v>
      </c>
      <c r="AA143" t="s">
        <v>25</v>
      </c>
      <c r="AC143" t="s">
        <v>22</v>
      </c>
      <c r="AD143" t="s">
        <v>383</v>
      </c>
      <c r="AE143">
        <v>1.2435112749738505E-4</v>
      </c>
      <c r="AG143" t="s">
        <v>99</v>
      </c>
      <c r="AH143" t="s">
        <v>383</v>
      </c>
      <c r="AI143">
        <v>0</v>
      </c>
    </row>
    <row r="144" spans="9:35" x14ac:dyDescent="0.45">
      <c r="I144" t="s">
        <v>249</v>
      </c>
      <c r="J144" t="s">
        <v>384</v>
      </c>
      <c r="K144">
        <v>3.220774010033E-4</v>
      </c>
      <c r="L144" t="s">
        <v>251</v>
      </c>
      <c r="N144" t="s">
        <v>419</v>
      </c>
      <c r="O144" t="s">
        <v>384</v>
      </c>
      <c r="P144">
        <v>2.5116313975480001E-4</v>
      </c>
      <c r="Q144" t="s">
        <v>251</v>
      </c>
      <c r="S144" t="s">
        <v>420</v>
      </c>
      <c r="T144" t="s">
        <v>384</v>
      </c>
      <c r="U144">
        <v>1.735624153702E-4</v>
      </c>
      <c r="V144" t="s">
        <v>251</v>
      </c>
      <c r="X144">
        <v>1.1415525114155251E-4</v>
      </c>
      <c r="Y144">
        <v>1.4883690094390442E-4</v>
      </c>
      <c r="Z144" t="s">
        <v>384</v>
      </c>
      <c r="AA144" t="s">
        <v>25</v>
      </c>
      <c r="AC144" t="s">
        <v>22</v>
      </c>
      <c r="AD144" t="s">
        <v>384</v>
      </c>
      <c r="AE144">
        <v>1.1183001128599127E-4</v>
      </c>
      <c r="AG144" t="s">
        <v>99</v>
      </c>
      <c r="AH144" t="s">
        <v>384</v>
      </c>
      <c r="AI144">
        <v>0</v>
      </c>
    </row>
    <row r="145" spans="9:35" x14ac:dyDescent="0.45">
      <c r="I145" t="s">
        <v>249</v>
      </c>
      <c r="J145" t="s">
        <v>385</v>
      </c>
      <c r="K145">
        <v>3.0415900638710002E-4</v>
      </c>
      <c r="L145" t="s">
        <v>251</v>
      </c>
      <c r="N145" t="s">
        <v>419</v>
      </c>
      <c r="O145" t="s">
        <v>385</v>
      </c>
      <c r="P145">
        <v>2.52329082799E-4</v>
      </c>
      <c r="Q145" t="s">
        <v>251</v>
      </c>
      <c r="S145" t="s">
        <v>420</v>
      </c>
      <c r="T145" t="s">
        <v>385</v>
      </c>
      <c r="U145">
        <v>1.7402312297E-4</v>
      </c>
      <c r="V145" t="s">
        <v>251</v>
      </c>
      <c r="X145">
        <v>1.1415525114155251E-4</v>
      </c>
      <c r="Y145">
        <v>1.5049432745775637E-4</v>
      </c>
      <c r="Z145" t="s">
        <v>385</v>
      </c>
      <c r="AA145" t="s">
        <v>25</v>
      </c>
      <c r="AC145" t="s">
        <v>22</v>
      </c>
      <c r="AD145" t="s">
        <v>385</v>
      </c>
      <c r="AE145">
        <v>1.0455680343912551E-4</v>
      </c>
      <c r="AG145" t="s">
        <v>99</v>
      </c>
      <c r="AH145" t="s">
        <v>385</v>
      </c>
      <c r="AI145">
        <v>0</v>
      </c>
    </row>
    <row r="146" spans="9:35" x14ac:dyDescent="0.45">
      <c r="I146" t="s">
        <v>249</v>
      </c>
      <c r="J146" t="s">
        <v>386</v>
      </c>
      <c r="K146">
        <v>2.8760647941680002E-4</v>
      </c>
      <c r="L146" t="s">
        <v>251</v>
      </c>
      <c r="N146" t="s">
        <v>419</v>
      </c>
      <c r="O146" t="s">
        <v>386</v>
      </c>
      <c r="P146">
        <v>2.5291185693890003E-4</v>
      </c>
      <c r="Q146" t="s">
        <v>251</v>
      </c>
      <c r="S146" t="s">
        <v>420</v>
      </c>
      <c r="T146" t="s">
        <v>386</v>
      </c>
      <c r="U146">
        <v>1.737972906695E-4</v>
      </c>
      <c r="V146" t="s">
        <v>251</v>
      </c>
      <c r="X146">
        <v>1.1415525114155251E-4</v>
      </c>
      <c r="Y146">
        <v>1.7237235744060203E-4</v>
      </c>
      <c r="Z146" t="s">
        <v>386</v>
      </c>
      <c r="AA146" t="s">
        <v>25</v>
      </c>
      <c r="AC146" t="s">
        <v>22</v>
      </c>
      <c r="AD146" t="s">
        <v>386</v>
      </c>
      <c r="AE146">
        <v>8.8080396473989853E-5</v>
      </c>
      <c r="AG146" t="s">
        <v>99</v>
      </c>
      <c r="AH146" t="s">
        <v>386</v>
      </c>
      <c r="AI146">
        <v>0</v>
      </c>
    </row>
    <row r="147" spans="9:35" x14ac:dyDescent="0.45">
      <c r="I147" t="s">
        <v>249</v>
      </c>
      <c r="J147" t="s">
        <v>387</v>
      </c>
      <c r="K147">
        <v>2.6531558678480002E-4</v>
      </c>
      <c r="L147" t="s">
        <v>251</v>
      </c>
      <c r="N147" t="s">
        <v>419</v>
      </c>
      <c r="O147" t="s">
        <v>387</v>
      </c>
      <c r="P147">
        <v>2.5173640861899998E-4</v>
      </c>
      <c r="Q147" t="s">
        <v>251</v>
      </c>
      <c r="S147" t="s">
        <v>420</v>
      </c>
      <c r="T147" t="s">
        <v>387</v>
      </c>
      <c r="U147">
        <v>1.7502025254330001E-4</v>
      </c>
      <c r="V147" t="s">
        <v>251</v>
      </c>
      <c r="X147">
        <v>1.1415525114155251E-4</v>
      </c>
      <c r="Y147">
        <v>2.2209515285616027E-4</v>
      </c>
      <c r="Z147" t="s">
        <v>387</v>
      </c>
      <c r="AA147" t="s">
        <v>25</v>
      </c>
      <c r="AC147" t="s">
        <v>22</v>
      </c>
      <c r="AD147" t="s">
        <v>387</v>
      </c>
      <c r="AE147">
        <v>8.4244240983914886E-5</v>
      </c>
      <c r="AG147" t="s">
        <v>99</v>
      </c>
      <c r="AH147" t="s">
        <v>387</v>
      </c>
      <c r="AI147">
        <v>0</v>
      </c>
    </row>
    <row r="148" spans="9:35" x14ac:dyDescent="0.45">
      <c r="I148" t="s">
        <v>249</v>
      </c>
      <c r="J148" t="s">
        <v>388</v>
      </c>
      <c r="K148">
        <v>2.130299183723E-4</v>
      </c>
      <c r="L148" t="s">
        <v>251</v>
      </c>
      <c r="N148" t="s">
        <v>419</v>
      </c>
      <c r="O148" t="s">
        <v>388</v>
      </c>
      <c r="P148">
        <v>2.4636790067639999E-4</v>
      </c>
      <c r="Q148" t="s">
        <v>251</v>
      </c>
      <c r="S148" t="s">
        <v>420</v>
      </c>
      <c r="T148" t="s">
        <v>388</v>
      </c>
      <c r="U148">
        <v>1.7647419503900001E-4</v>
      </c>
      <c r="V148" t="s">
        <v>251</v>
      </c>
      <c r="X148">
        <v>1.1415525114155251E-4</v>
      </c>
      <c r="Y148">
        <v>2.2209515285616027E-4</v>
      </c>
      <c r="Z148" t="s">
        <v>388</v>
      </c>
      <c r="AA148" t="s">
        <v>25</v>
      </c>
      <c r="AC148" t="s">
        <v>22</v>
      </c>
      <c r="AD148" t="s">
        <v>388</v>
      </c>
      <c r="AE148">
        <v>8.0259166414256255E-5</v>
      </c>
      <c r="AG148" t="s">
        <v>99</v>
      </c>
      <c r="AH148" t="s">
        <v>388</v>
      </c>
      <c r="AI148">
        <v>0</v>
      </c>
    </row>
    <row r="149" spans="9:35" x14ac:dyDescent="0.45">
      <c r="I149" t="s">
        <v>249</v>
      </c>
      <c r="J149" t="s">
        <v>389</v>
      </c>
      <c r="K149">
        <v>9.4496314342162595E-5</v>
      </c>
      <c r="L149" t="s">
        <v>251</v>
      </c>
      <c r="N149" t="s">
        <v>419</v>
      </c>
      <c r="O149" t="s">
        <v>389</v>
      </c>
      <c r="P149">
        <v>2.3029239233220001E-4</v>
      </c>
      <c r="Q149" t="s">
        <v>251</v>
      </c>
      <c r="S149" t="s">
        <v>420</v>
      </c>
      <c r="T149" t="s">
        <v>389</v>
      </c>
      <c r="U149">
        <v>1.782573783624E-4</v>
      </c>
      <c r="V149" t="s">
        <v>251</v>
      </c>
      <c r="X149">
        <v>1.1415525114155251E-4</v>
      </c>
      <c r="Y149">
        <v>1.7237235744060203E-4</v>
      </c>
      <c r="Z149" t="s">
        <v>389</v>
      </c>
      <c r="AA149" t="s">
        <v>25</v>
      </c>
      <c r="AC149" t="s">
        <v>22</v>
      </c>
      <c r="AD149" t="s">
        <v>389</v>
      </c>
      <c r="AE149">
        <v>8.1474346103658889E-5</v>
      </c>
      <c r="AG149" t="s">
        <v>99</v>
      </c>
      <c r="AH149" t="s">
        <v>389</v>
      </c>
      <c r="AI149">
        <v>0</v>
      </c>
    </row>
    <row r="150" spans="9:35" x14ac:dyDescent="0.45">
      <c r="I150" t="s">
        <v>249</v>
      </c>
      <c r="J150" t="s">
        <v>390</v>
      </c>
      <c r="K150">
        <v>0</v>
      </c>
      <c r="L150" t="s">
        <v>251</v>
      </c>
      <c r="N150" t="s">
        <v>419</v>
      </c>
      <c r="O150" t="s">
        <v>390</v>
      </c>
      <c r="P150">
        <v>2.231079517285E-4</v>
      </c>
      <c r="Q150" t="s">
        <v>251</v>
      </c>
      <c r="S150" t="s">
        <v>420</v>
      </c>
      <c r="T150" t="s">
        <v>390</v>
      </c>
      <c r="U150">
        <v>1.8003537509460001E-4</v>
      </c>
      <c r="V150" t="s">
        <v>251</v>
      </c>
      <c r="X150">
        <v>1.1415525114155251E-4</v>
      </c>
      <c r="Y150">
        <v>1.5579809230208258E-4</v>
      </c>
      <c r="Z150" t="s">
        <v>390</v>
      </c>
      <c r="AA150" t="s">
        <v>25</v>
      </c>
      <c r="AC150" t="s">
        <v>22</v>
      </c>
      <c r="AD150" t="s">
        <v>390</v>
      </c>
      <c r="AE150">
        <v>8.2207027975210467E-5</v>
      </c>
      <c r="AG150" t="s">
        <v>99</v>
      </c>
      <c r="AH150" t="s">
        <v>390</v>
      </c>
      <c r="AI150">
        <v>0</v>
      </c>
    </row>
    <row r="151" spans="9:35" x14ac:dyDescent="0.45">
      <c r="I151" t="s">
        <v>249</v>
      </c>
      <c r="J151" t="s">
        <v>391</v>
      </c>
      <c r="K151">
        <v>0</v>
      </c>
      <c r="L151" t="s">
        <v>251</v>
      </c>
      <c r="N151" t="s">
        <v>419</v>
      </c>
      <c r="O151" t="s">
        <v>391</v>
      </c>
      <c r="P151">
        <v>2.1894274108660001E-4</v>
      </c>
      <c r="Q151" t="s">
        <v>251</v>
      </c>
      <c r="S151" t="s">
        <v>420</v>
      </c>
      <c r="T151" t="s">
        <v>391</v>
      </c>
      <c r="U151">
        <v>1.746434383443E-4</v>
      </c>
      <c r="V151" t="s">
        <v>251</v>
      </c>
      <c r="X151">
        <v>1.1415525114155251E-4</v>
      </c>
      <c r="Y151">
        <v>1.093901499142282E-4</v>
      </c>
      <c r="Z151" t="s">
        <v>391</v>
      </c>
      <c r="AA151" t="s">
        <v>25</v>
      </c>
      <c r="AC151" t="s">
        <v>22</v>
      </c>
      <c r="AD151" t="s">
        <v>391</v>
      </c>
      <c r="AE151">
        <v>9.6294772903824299E-5</v>
      </c>
      <c r="AG151" t="s">
        <v>99</v>
      </c>
      <c r="AH151" t="s">
        <v>391</v>
      </c>
      <c r="AI151">
        <v>0</v>
      </c>
    </row>
    <row r="152" spans="9:35" x14ac:dyDescent="0.45">
      <c r="I152" t="s">
        <v>249</v>
      </c>
      <c r="J152" t="s">
        <v>392</v>
      </c>
      <c r="K152">
        <v>0</v>
      </c>
      <c r="L152" t="s">
        <v>251</v>
      </c>
      <c r="N152" t="s">
        <v>419</v>
      </c>
      <c r="O152" t="s">
        <v>392</v>
      </c>
      <c r="P152">
        <v>2.119913293562E-4</v>
      </c>
      <c r="Q152" t="s">
        <v>251</v>
      </c>
      <c r="S152" t="s">
        <v>420</v>
      </c>
      <c r="T152" t="s">
        <v>392</v>
      </c>
      <c r="U152">
        <v>1.732919921084E-4</v>
      </c>
      <c r="V152" t="s">
        <v>251</v>
      </c>
      <c r="X152">
        <v>1.1415525114155251E-4</v>
      </c>
      <c r="Y152">
        <v>7.9556472664893237E-5</v>
      </c>
      <c r="Z152" t="s">
        <v>392</v>
      </c>
      <c r="AA152" t="s">
        <v>25</v>
      </c>
      <c r="AC152" t="s">
        <v>22</v>
      </c>
      <c r="AD152" t="s">
        <v>392</v>
      </c>
      <c r="AE152">
        <v>1.0979279827728684E-4</v>
      </c>
      <c r="AG152" t="s">
        <v>99</v>
      </c>
      <c r="AH152" t="s">
        <v>392</v>
      </c>
      <c r="AI152">
        <v>0</v>
      </c>
    </row>
    <row r="153" spans="9:35" x14ac:dyDescent="0.45">
      <c r="I153" t="s">
        <v>249</v>
      </c>
      <c r="J153" t="s">
        <v>393</v>
      </c>
      <c r="K153">
        <v>0</v>
      </c>
      <c r="L153" t="s">
        <v>251</v>
      </c>
      <c r="N153" t="s">
        <v>419</v>
      </c>
      <c r="O153" t="s">
        <v>393</v>
      </c>
      <c r="P153">
        <v>1.988367593883E-4</v>
      </c>
      <c r="Q153" t="s">
        <v>251</v>
      </c>
      <c r="S153" t="s">
        <v>420</v>
      </c>
      <c r="T153" t="s">
        <v>393</v>
      </c>
      <c r="U153">
        <v>1.7198316382929999E-4</v>
      </c>
      <c r="V153" t="s">
        <v>251</v>
      </c>
      <c r="X153">
        <v>1.1415525114155251E-4</v>
      </c>
      <c r="Y153">
        <v>5.6352501470966035E-5</v>
      </c>
      <c r="Z153" t="s">
        <v>393</v>
      </c>
      <c r="AA153" t="s">
        <v>25</v>
      </c>
      <c r="AC153" t="s">
        <v>22</v>
      </c>
      <c r="AD153" t="s">
        <v>393</v>
      </c>
      <c r="AE153">
        <v>1.1856711044635586E-4</v>
      </c>
      <c r="AG153" t="s">
        <v>99</v>
      </c>
      <c r="AH153" t="s">
        <v>393</v>
      </c>
      <c r="AI153">
        <v>0</v>
      </c>
    </row>
    <row r="154" spans="9:35" x14ac:dyDescent="0.45">
      <c r="I154" t="s">
        <v>249</v>
      </c>
      <c r="J154" t="s">
        <v>394</v>
      </c>
      <c r="K154">
        <v>0</v>
      </c>
      <c r="L154" t="s">
        <v>251</v>
      </c>
      <c r="N154" t="s">
        <v>419</v>
      </c>
      <c r="O154" t="s">
        <v>394</v>
      </c>
      <c r="P154">
        <v>1.8173274602579999E-4</v>
      </c>
      <c r="Q154" t="s">
        <v>251</v>
      </c>
      <c r="S154" t="s">
        <v>420</v>
      </c>
      <c r="T154" t="s">
        <v>394</v>
      </c>
      <c r="U154">
        <v>1.6783960246689999E-4</v>
      </c>
      <c r="V154" t="s">
        <v>251</v>
      </c>
      <c r="X154">
        <v>1.1415525114155251E-4</v>
      </c>
      <c r="Y154">
        <v>2.9833677249334962E-5</v>
      </c>
      <c r="Z154" t="s">
        <v>394</v>
      </c>
      <c r="AA154" t="s">
        <v>25</v>
      </c>
      <c r="AC154" t="s">
        <v>22</v>
      </c>
      <c r="AD154" t="s">
        <v>394</v>
      </c>
      <c r="AE154">
        <v>1.290331433594952E-4</v>
      </c>
      <c r="AG154" t="s">
        <v>99</v>
      </c>
      <c r="AH154" t="s">
        <v>394</v>
      </c>
      <c r="AI154">
        <v>0</v>
      </c>
    </row>
    <row r="155" spans="9:35" x14ac:dyDescent="0.45">
      <c r="I155" t="s">
        <v>249</v>
      </c>
      <c r="J155" t="s">
        <v>395</v>
      </c>
      <c r="K155">
        <v>0</v>
      </c>
      <c r="L155" t="s">
        <v>251</v>
      </c>
      <c r="N155" t="s">
        <v>419</v>
      </c>
      <c r="O155" t="s">
        <v>395</v>
      </c>
      <c r="P155">
        <v>3.1604979644208234E-2</v>
      </c>
      <c r="Q155" t="s">
        <v>251</v>
      </c>
      <c r="S155" t="s">
        <v>420</v>
      </c>
      <c r="T155" t="s">
        <v>395</v>
      </c>
      <c r="U155">
        <v>2.6334333439879402E-2</v>
      </c>
      <c r="V155" t="s">
        <v>251</v>
      </c>
      <c r="X155">
        <v>2.1232876712328767E-2</v>
      </c>
      <c r="Y155">
        <v>4.5420116185598634E-3</v>
      </c>
      <c r="Z155" t="s">
        <v>395</v>
      </c>
      <c r="AA155" t="s">
        <v>25</v>
      </c>
      <c r="AC155" t="s">
        <v>22</v>
      </c>
      <c r="AD155" t="s">
        <v>395</v>
      </c>
      <c r="AE155">
        <v>2.3158382109251394E-2</v>
      </c>
      <c r="AG155" t="s">
        <v>99</v>
      </c>
      <c r="AH155" t="s">
        <v>395</v>
      </c>
      <c r="AI155">
        <v>4.9670348256209529E-2</v>
      </c>
    </row>
    <row r="156" spans="9:35" x14ac:dyDescent="0.45">
      <c r="I156" t="s">
        <v>249</v>
      </c>
      <c r="J156" t="s">
        <v>396</v>
      </c>
      <c r="K156">
        <v>2.7469659482650798E-3</v>
      </c>
      <c r="L156" t="s">
        <v>251</v>
      </c>
      <c r="N156" t="s">
        <v>419</v>
      </c>
      <c r="O156" t="s">
        <v>396</v>
      </c>
      <c r="P156">
        <v>4.8897833570646634E-3</v>
      </c>
      <c r="Q156" t="s">
        <v>251</v>
      </c>
      <c r="S156" t="s">
        <v>420</v>
      </c>
      <c r="T156" t="s">
        <v>396</v>
      </c>
      <c r="U156">
        <v>4.2693770340923535E-3</v>
      </c>
      <c r="V156" t="s">
        <v>251</v>
      </c>
      <c r="X156">
        <v>3.5388127853881279E-3</v>
      </c>
      <c r="Y156">
        <v>5.240782636799844E-3</v>
      </c>
      <c r="Z156" t="s">
        <v>396</v>
      </c>
      <c r="AA156" t="s">
        <v>25</v>
      </c>
      <c r="AC156" t="s">
        <v>22</v>
      </c>
      <c r="AD156" t="s">
        <v>396</v>
      </c>
      <c r="AE156">
        <v>3.8998094398271796E-3</v>
      </c>
      <c r="AG156" t="s">
        <v>99</v>
      </c>
      <c r="AH156" t="s">
        <v>396</v>
      </c>
      <c r="AI156">
        <v>4.3802258938045124E-2</v>
      </c>
    </row>
    <row r="157" spans="9:35" x14ac:dyDescent="0.45">
      <c r="I157" t="s">
        <v>249</v>
      </c>
      <c r="J157" t="s">
        <v>397</v>
      </c>
      <c r="K157">
        <v>6.9655571424994001E-3</v>
      </c>
      <c r="L157" t="s">
        <v>251</v>
      </c>
      <c r="N157" t="s">
        <v>419</v>
      </c>
      <c r="O157" t="s">
        <v>397</v>
      </c>
      <c r="P157">
        <v>4.3399142751513794E-3</v>
      </c>
      <c r="Q157" t="s">
        <v>251</v>
      </c>
      <c r="S157" t="s">
        <v>420</v>
      </c>
      <c r="T157" t="s">
        <v>397</v>
      </c>
      <c r="U157">
        <v>4.3285178914231033E-3</v>
      </c>
      <c r="V157" t="s">
        <v>251</v>
      </c>
      <c r="X157">
        <v>3.5388127853881279E-3</v>
      </c>
      <c r="Y157">
        <v>5.9087255218821738E-3</v>
      </c>
      <c r="Z157" t="s">
        <v>397</v>
      </c>
      <c r="AA157" t="s">
        <v>25</v>
      </c>
      <c r="AC157" t="s">
        <v>22</v>
      </c>
      <c r="AD157" t="s">
        <v>397</v>
      </c>
      <c r="AE157">
        <v>3.9164347658718996E-3</v>
      </c>
      <c r="AG157" t="s">
        <v>99</v>
      </c>
      <c r="AH157" t="s">
        <v>397</v>
      </c>
      <c r="AI157">
        <v>3.8104371110900148E-2</v>
      </c>
    </row>
    <row r="158" spans="9:35" x14ac:dyDescent="0.45">
      <c r="I158" t="s">
        <v>249</v>
      </c>
      <c r="J158" t="s">
        <v>398</v>
      </c>
      <c r="K158">
        <v>5.9164672408411202E-2</v>
      </c>
      <c r="L158" t="s">
        <v>251</v>
      </c>
      <c r="N158" t="s">
        <v>419</v>
      </c>
      <c r="O158" t="s">
        <v>398</v>
      </c>
      <c r="P158">
        <v>2.1258464383924217E-2</v>
      </c>
      <c r="Q158" t="s">
        <v>251</v>
      </c>
      <c r="S158" t="s">
        <v>420</v>
      </c>
      <c r="T158" t="s">
        <v>398</v>
      </c>
      <c r="U158">
        <v>2.6684394480533041E-2</v>
      </c>
      <c r="V158" t="s">
        <v>251</v>
      </c>
      <c r="X158">
        <v>2.1232876712328767E-2</v>
      </c>
      <c r="Y158">
        <v>2.6758819580836844E-2</v>
      </c>
      <c r="Z158" t="s">
        <v>398</v>
      </c>
      <c r="AA158" t="s">
        <v>25</v>
      </c>
      <c r="AC158" t="s">
        <v>22</v>
      </c>
      <c r="AD158" t="s">
        <v>398</v>
      </c>
      <c r="AE158">
        <v>2.2062206634725651E-2</v>
      </c>
      <c r="AG158" t="s">
        <v>99</v>
      </c>
      <c r="AH158" t="s">
        <v>398</v>
      </c>
      <c r="AI158">
        <v>8.9535273386137204E-2</v>
      </c>
    </row>
    <row r="159" spans="9:35" x14ac:dyDescent="0.45">
      <c r="I159" t="s">
        <v>249</v>
      </c>
      <c r="J159" t="s">
        <v>399</v>
      </c>
      <c r="K159">
        <v>2.7107973361631101E-2</v>
      </c>
      <c r="L159" t="s">
        <v>251</v>
      </c>
      <c r="N159" t="s">
        <v>419</v>
      </c>
      <c r="O159" t="s">
        <v>399</v>
      </c>
      <c r="P159">
        <v>9.9256230520117783E-3</v>
      </c>
      <c r="Q159" t="s">
        <v>251</v>
      </c>
      <c r="S159" t="s">
        <v>420</v>
      </c>
      <c r="T159" t="s">
        <v>399</v>
      </c>
      <c r="U159">
        <v>1.3824183433971035E-2</v>
      </c>
      <c r="V159" t="s">
        <v>251</v>
      </c>
      <c r="X159">
        <v>1.0616438356164383E-2</v>
      </c>
      <c r="Y159">
        <v>1.6893816970390073E-2</v>
      </c>
      <c r="Z159" t="s">
        <v>399</v>
      </c>
      <c r="AA159" t="s">
        <v>25</v>
      </c>
      <c r="AC159" t="s">
        <v>22</v>
      </c>
      <c r="AD159" t="s">
        <v>399</v>
      </c>
      <c r="AE159">
        <v>7.8424718123703205E-3</v>
      </c>
      <c r="AG159" t="s">
        <v>99</v>
      </c>
      <c r="AH159" t="s">
        <v>399</v>
      </c>
      <c r="AI159">
        <v>0.14130909263031666</v>
      </c>
    </row>
    <row r="160" spans="9:35" x14ac:dyDescent="0.45">
      <c r="I160" t="s">
        <v>249</v>
      </c>
      <c r="J160" t="s">
        <v>400</v>
      </c>
      <c r="K160">
        <v>6.7472037228036002E-3</v>
      </c>
      <c r="L160" t="s">
        <v>251</v>
      </c>
      <c r="N160" t="s">
        <v>419</v>
      </c>
      <c r="O160" t="s">
        <v>400</v>
      </c>
      <c r="P160">
        <v>3.3854228657409341E-3</v>
      </c>
      <c r="Q160" t="s">
        <v>251</v>
      </c>
      <c r="S160" t="s">
        <v>420</v>
      </c>
      <c r="T160" t="s">
        <v>400</v>
      </c>
      <c r="U160">
        <v>4.5468101976986492E-3</v>
      </c>
      <c r="V160" t="s">
        <v>251</v>
      </c>
      <c r="X160">
        <v>3.5388127853881279E-3</v>
      </c>
      <c r="Y160">
        <v>6.8849497385409693E-3</v>
      </c>
      <c r="Z160" t="s">
        <v>400</v>
      </c>
      <c r="AA160" t="s">
        <v>25</v>
      </c>
      <c r="AC160" t="s">
        <v>22</v>
      </c>
      <c r="AD160" t="s">
        <v>400</v>
      </c>
      <c r="AE160">
        <v>2.4504336491081081E-3</v>
      </c>
      <c r="AG160" t="s">
        <v>99</v>
      </c>
      <c r="AH160" t="s">
        <v>400</v>
      </c>
      <c r="AI160">
        <v>1.275045288866572E-2</v>
      </c>
    </row>
    <row r="161" spans="9:35" x14ac:dyDescent="0.45">
      <c r="I161" t="s">
        <v>249</v>
      </c>
      <c r="J161" t="s">
        <v>401</v>
      </c>
      <c r="K161">
        <v>3.33787801656058E-3</v>
      </c>
      <c r="L161" t="s">
        <v>251</v>
      </c>
      <c r="N161" t="s">
        <v>419</v>
      </c>
      <c r="O161" t="s">
        <v>401</v>
      </c>
      <c r="P161">
        <v>3.3555196844821181E-3</v>
      </c>
      <c r="Q161" t="s">
        <v>251</v>
      </c>
      <c r="S161" t="s">
        <v>420</v>
      </c>
      <c r="T161" t="s">
        <v>401</v>
      </c>
      <c r="U161">
        <v>4.4926407508333321E-3</v>
      </c>
      <c r="V161" t="s">
        <v>251</v>
      </c>
      <c r="X161">
        <v>3.5388127853881279E-3</v>
      </c>
      <c r="Y161">
        <v>5.3435430806586613E-3</v>
      </c>
      <c r="Z161" t="s">
        <v>401</v>
      </c>
      <c r="AA161" t="s">
        <v>25</v>
      </c>
      <c r="AC161" t="s">
        <v>22</v>
      </c>
      <c r="AD161" t="s">
        <v>401</v>
      </c>
      <c r="AE161">
        <v>2.4725451540446898E-3</v>
      </c>
      <c r="AG161" t="s">
        <v>99</v>
      </c>
      <c r="AH161" t="s">
        <v>401</v>
      </c>
      <c r="AI161">
        <v>1.2781222176377227E-2</v>
      </c>
    </row>
    <row r="162" spans="9:35" x14ac:dyDescent="0.45">
      <c r="I162" t="s">
        <v>249</v>
      </c>
      <c r="J162" t="s">
        <v>402</v>
      </c>
      <c r="K162">
        <v>0</v>
      </c>
      <c r="L162" t="s">
        <v>251</v>
      </c>
      <c r="N162" t="s">
        <v>419</v>
      </c>
      <c r="O162" t="s">
        <v>402</v>
      </c>
      <c r="P162">
        <v>2.2334848560211083E-2</v>
      </c>
      <c r="Q162" t="s">
        <v>251</v>
      </c>
      <c r="S162" t="s">
        <v>420</v>
      </c>
      <c r="T162" t="s">
        <v>402</v>
      </c>
      <c r="U162">
        <v>2.2138222080821418E-2</v>
      </c>
      <c r="V162" t="s">
        <v>251</v>
      </c>
      <c r="X162">
        <v>1.7694063926940638E-2</v>
      </c>
      <c r="Y162">
        <v>1.3358857701646654E-2</v>
      </c>
      <c r="Z162" t="s">
        <v>402</v>
      </c>
      <c r="AA162" t="s">
        <v>25</v>
      </c>
      <c r="AC162" t="s">
        <v>22</v>
      </c>
      <c r="AD162" t="s">
        <v>402</v>
      </c>
      <c r="AE162">
        <v>1.7089798589052418E-2</v>
      </c>
      <c r="AG162" t="s">
        <v>99</v>
      </c>
      <c r="AH162" t="s">
        <v>402</v>
      </c>
      <c r="AI162">
        <v>0.1337282277278935</v>
      </c>
    </row>
    <row r="163" spans="9:35" x14ac:dyDescent="0.45">
      <c r="I163" t="s">
        <v>249</v>
      </c>
      <c r="J163" t="s">
        <v>403</v>
      </c>
      <c r="K163">
        <v>3.8090221314169098E-6</v>
      </c>
      <c r="L163" t="s">
        <v>251</v>
      </c>
      <c r="N163" t="s">
        <v>419</v>
      </c>
      <c r="O163" t="s">
        <v>403</v>
      </c>
      <c r="P163">
        <v>3.009277985070876E-2</v>
      </c>
      <c r="Q163" t="s">
        <v>251</v>
      </c>
      <c r="S163" t="s">
        <v>420</v>
      </c>
      <c r="T163" t="s">
        <v>403</v>
      </c>
      <c r="U163">
        <v>1.8828910873338951E-2</v>
      </c>
      <c r="V163" t="s">
        <v>251</v>
      </c>
      <c r="X163">
        <v>2.0547945205479451E-2</v>
      </c>
      <c r="Y163">
        <v>4.3954951147353507E-3</v>
      </c>
      <c r="Z163" t="s">
        <v>403</v>
      </c>
      <c r="AA163" t="s">
        <v>25</v>
      </c>
      <c r="AC163" t="s">
        <v>22</v>
      </c>
      <c r="AD163" t="s">
        <v>403</v>
      </c>
      <c r="AE163">
        <v>2.2260433007780876E-2</v>
      </c>
      <c r="AG163" t="s">
        <v>99</v>
      </c>
      <c r="AH163" t="s">
        <v>403</v>
      </c>
      <c r="AI163">
        <v>6.8438377491133906E-2</v>
      </c>
    </row>
    <row r="164" spans="9:35" x14ac:dyDescent="0.45">
      <c r="I164" t="s">
        <v>249</v>
      </c>
      <c r="J164" t="s">
        <v>404</v>
      </c>
      <c r="K164">
        <v>4.2174220768100264E-3</v>
      </c>
      <c r="L164" t="s">
        <v>251</v>
      </c>
      <c r="N164" t="s">
        <v>419</v>
      </c>
      <c r="O164" t="s">
        <v>404</v>
      </c>
      <c r="P164">
        <v>4.2806558018010097E-3</v>
      </c>
      <c r="Q164" t="s">
        <v>251</v>
      </c>
      <c r="S164" t="s">
        <v>420</v>
      </c>
      <c r="T164" t="s">
        <v>404</v>
      </c>
      <c r="U164">
        <v>3.0236851410871714E-3</v>
      </c>
      <c r="V164" t="s">
        <v>251</v>
      </c>
      <c r="X164">
        <v>3.4246575342465752E-3</v>
      </c>
      <c r="Y164">
        <v>5.0717251323869452E-3</v>
      </c>
      <c r="Z164" t="s">
        <v>404</v>
      </c>
      <c r="AA164" t="s">
        <v>25</v>
      </c>
      <c r="AC164" t="s">
        <v>22</v>
      </c>
      <c r="AD164" t="s">
        <v>404</v>
      </c>
      <c r="AE164">
        <v>3.7478698159495389E-3</v>
      </c>
      <c r="AG164" t="s">
        <v>99</v>
      </c>
      <c r="AH164" t="s">
        <v>404</v>
      </c>
      <c r="AI164">
        <v>5.810617310985644E-2</v>
      </c>
    </row>
    <row r="165" spans="9:35" x14ac:dyDescent="0.45">
      <c r="I165" t="s">
        <v>249</v>
      </c>
      <c r="J165" t="s">
        <v>405</v>
      </c>
      <c r="K165">
        <v>7.2308135574651999E-3</v>
      </c>
      <c r="L165" t="s">
        <v>251</v>
      </c>
      <c r="N165" t="s">
        <v>419</v>
      </c>
      <c r="O165" t="s">
        <v>405</v>
      </c>
      <c r="P165">
        <v>3.8538588286688457E-3</v>
      </c>
      <c r="Q165" t="s">
        <v>251</v>
      </c>
      <c r="S165" t="s">
        <v>420</v>
      </c>
      <c r="T165" t="s">
        <v>405</v>
      </c>
      <c r="U165">
        <v>2.9603012804413288E-3</v>
      </c>
      <c r="V165" t="s">
        <v>251</v>
      </c>
      <c r="X165">
        <v>3.4246575342465752E-3</v>
      </c>
      <c r="Y165">
        <v>5.7181214727892006E-3</v>
      </c>
      <c r="Z165" t="s">
        <v>405</v>
      </c>
      <c r="AA165" t="s">
        <v>25</v>
      </c>
      <c r="AC165" t="s">
        <v>22</v>
      </c>
      <c r="AD165" t="s">
        <v>405</v>
      </c>
      <c r="AE165">
        <v>3.7621481773000192E-3</v>
      </c>
      <c r="AG165" t="s">
        <v>99</v>
      </c>
      <c r="AH165" t="s">
        <v>405</v>
      </c>
      <c r="AI165">
        <v>5.5035171020012763E-2</v>
      </c>
    </row>
    <row r="166" spans="9:35" x14ac:dyDescent="0.45">
      <c r="I166" t="s">
        <v>249</v>
      </c>
      <c r="J166" t="s">
        <v>406</v>
      </c>
      <c r="K166">
        <v>6.0288203719271301E-2</v>
      </c>
      <c r="L166" t="s">
        <v>251</v>
      </c>
      <c r="N166" t="s">
        <v>419</v>
      </c>
      <c r="O166" t="s">
        <v>406</v>
      </c>
      <c r="P166">
        <v>1.7014136309921917E-2</v>
      </c>
      <c r="Q166" t="s">
        <v>251</v>
      </c>
      <c r="S166" t="s">
        <v>420</v>
      </c>
      <c r="T166" t="s">
        <v>406</v>
      </c>
      <c r="U166">
        <v>1.8352404363144538E-2</v>
      </c>
      <c r="V166" t="s">
        <v>251</v>
      </c>
      <c r="X166">
        <v>2.0547945205479451E-2</v>
      </c>
      <c r="Y166">
        <v>2.5895631852422749E-2</v>
      </c>
      <c r="Z166" t="s">
        <v>406</v>
      </c>
      <c r="AA166" t="s">
        <v>25</v>
      </c>
      <c r="AC166" t="s">
        <v>22</v>
      </c>
      <c r="AD166" t="s">
        <v>406</v>
      </c>
      <c r="AE166">
        <v>2.1069580739219031E-2</v>
      </c>
      <c r="AG166" t="s">
        <v>99</v>
      </c>
      <c r="AH166" t="s">
        <v>406</v>
      </c>
      <c r="AI166">
        <v>0.10874677642572528</v>
      </c>
    </row>
    <row r="167" spans="9:35" x14ac:dyDescent="0.45">
      <c r="I167" t="s">
        <v>249</v>
      </c>
      <c r="J167" t="s">
        <v>407</v>
      </c>
      <c r="K167">
        <v>2.7882090840113501E-2</v>
      </c>
      <c r="L167" t="s">
        <v>251</v>
      </c>
      <c r="N167" t="s">
        <v>419</v>
      </c>
      <c r="O167" t="s">
        <v>407</v>
      </c>
      <c r="P167">
        <v>7.5583101296307093E-3</v>
      </c>
      <c r="Q167" t="s">
        <v>251</v>
      </c>
      <c r="S167" t="s">
        <v>420</v>
      </c>
      <c r="T167" t="s">
        <v>407</v>
      </c>
      <c r="U167">
        <v>9.7236148432749466E-3</v>
      </c>
      <c r="V167" t="s">
        <v>251</v>
      </c>
      <c r="X167">
        <v>1.0273972602739725E-2</v>
      </c>
      <c r="Y167">
        <v>1.6348855132635558E-2</v>
      </c>
      <c r="Z167" t="s">
        <v>407</v>
      </c>
      <c r="AA167" t="s">
        <v>25</v>
      </c>
      <c r="AC167" t="s">
        <v>22</v>
      </c>
      <c r="AD167" t="s">
        <v>407</v>
      </c>
      <c r="AE167">
        <v>7.4430039204518537E-3</v>
      </c>
      <c r="AG167" t="s">
        <v>99</v>
      </c>
      <c r="AH167" t="s">
        <v>407</v>
      </c>
      <c r="AI167">
        <v>5.4528305774245167E-2</v>
      </c>
    </row>
    <row r="168" spans="9:35" x14ac:dyDescent="0.45">
      <c r="I168" t="s">
        <v>249</v>
      </c>
      <c r="J168" t="s">
        <v>408</v>
      </c>
      <c r="K168">
        <v>7.0415792442286998E-3</v>
      </c>
      <c r="L168" t="s">
        <v>251</v>
      </c>
      <c r="N168" t="s">
        <v>419</v>
      </c>
      <c r="O168" t="s">
        <v>408</v>
      </c>
      <c r="P168">
        <v>2.9598672303039887E-3</v>
      </c>
      <c r="Q168" t="s">
        <v>251</v>
      </c>
      <c r="S168" t="s">
        <v>420</v>
      </c>
      <c r="T168" t="s">
        <v>408</v>
      </c>
      <c r="U168">
        <v>3.2563955971113821E-3</v>
      </c>
      <c r="V168" t="s">
        <v>251</v>
      </c>
      <c r="X168">
        <v>3.4246575342465752E-3</v>
      </c>
      <c r="Y168">
        <v>6.662854585684809E-3</v>
      </c>
      <c r="Z168" t="s">
        <v>408</v>
      </c>
      <c r="AA168" t="s">
        <v>25</v>
      </c>
      <c r="AC168" t="s">
        <v>22</v>
      </c>
      <c r="AD168" t="s">
        <v>408</v>
      </c>
      <c r="AE168">
        <v>2.3591696150160315E-3</v>
      </c>
      <c r="AG168" t="s">
        <v>99</v>
      </c>
      <c r="AH168" t="s">
        <v>408</v>
      </c>
      <c r="AI168">
        <v>2.5864249786949456E-2</v>
      </c>
    </row>
    <row r="169" spans="9:35" x14ac:dyDescent="0.45">
      <c r="I169" t="s">
        <v>249</v>
      </c>
      <c r="J169" t="s">
        <v>409</v>
      </c>
      <c r="K169">
        <v>4.1807614240014232E-3</v>
      </c>
      <c r="L169" t="s">
        <v>251</v>
      </c>
      <c r="N169" t="s">
        <v>419</v>
      </c>
      <c r="O169" t="s">
        <v>409</v>
      </c>
      <c r="P169">
        <v>3.3455294891401029E-3</v>
      </c>
      <c r="Q169" t="s">
        <v>251</v>
      </c>
      <c r="S169" t="s">
        <v>420</v>
      </c>
      <c r="T169" t="s">
        <v>409</v>
      </c>
      <c r="U169">
        <v>3.238425197695286E-3</v>
      </c>
      <c r="V169" t="s">
        <v>251</v>
      </c>
      <c r="X169">
        <v>3.4246575342465752E-3</v>
      </c>
      <c r="Y169">
        <v>5.1711707232180593E-3</v>
      </c>
      <c r="Z169" t="s">
        <v>409</v>
      </c>
      <c r="AA169" t="s">
        <v>25</v>
      </c>
      <c r="AC169" t="s">
        <v>22</v>
      </c>
      <c r="AD169" t="s">
        <v>409</v>
      </c>
      <c r="AE169">
        <v>2.3797859723935933E-3</v>
      </c>
      <c r="AG169" t="s">
        <v>99</v>
      </c>
      <c r="AH169" t="s">
        <v>409</v>
      </c>
      <c r="AI169">
        <v>2.7494936993699426E-2</v>
      </c>
    </row>
    <row r="170" spans="9:35" x14ac:dyDescent="0.45">
      <c r="I170" t="s">
        <v>249</v>
      </c>
      <c r="J170" t="s">
        <v>410</v>
      </c>
      <c r="K170">
        <v>5.9271588075933296E-5</v>
      </c>
      <c r="L170" t="s">
        <v>251</v>
      </c>
      <c r="N170" t="s">
        <v>419</v>
      </c>
      <c r="O170" t="s">
        <v>410</v>
      </c>
      <c r="P170">
        <v>2.3746828472602736E-2</v>
      </c>
      <c r="Q170" t="s">
        <v>251</v>
      </c>
      <c r="S170" t="s">
        <v>420</v>
      </c>
      <c r="T170" t="s">
        <v>410</v>
      </c>
      <c r="U170">
        <v>1.5881674826197154E-2</v>
      </c>
      <c r="V170" t="s">
        <v>251</v>
      </c>
      <c r="X170">
        <v>1.7123287671232876E-2</v>
      </c>
      <c r="Y170">
        <v>1.2927926808045149E-2</v>
      </c>
      <c r="Z170" t="s">
        <v>410</v>
      </c>
      <c r="AA170" t="s">
        <v>25</v>
      </c>
      <c r="AC170" t="s">
        <v>22</v>
      </c>
      <c r="AD170" t="s">
        <v>410</v>
      </c>
      <c r="AE170">
        <v>1.6329373744555842E-2</v>
      </c>
      <c r="AG170" t="s">
        <v>99</v>
      </c>
      <c r="AH170" t="s">
        <v>410</v>
      </c>
      <c r="AI170">
        <v>0.14805486992572869</v>
      </c>
    </row>
    <row r="171" spans="9:35" x14ac:dyDescent="0.45">
      <c r="I171" t="s">
        <v>249</v>
      </c>
      <c r="J171" t="s">
        <v>411</v>
      </c>
      <c r="K171">
        <v>7.8154013398572715E-6</v>
      </c>
      <c r="L171" t="s">
        <v>251</v>
      </c>
      <c r="N171" t="s">
        <v>419</v>
      </c>
      <c r="O171" t="s">
        <v>411</v>
      </c>
      <c r="P171">
        <v>2.9783315040227628E-2</v>
      </c>
      <c r="Q171" t="s">
        <v>251</v>
      </c>
      <c r="S171" t="s">
        <v>420</v>
      </c>
      <c r="T171" t="s">
        <v>411</v>
      </c>
      <c r="U171">
        <v>2.0587673359039552E-2</v>
      </c>
      <c r="V171" t="s">
        <v>251</v>
      </c>
      <c r="X171">
        <v>2.1232876712328767E-2</v>
      </c>
      <c r="Y171">
        <v>4.5420116185598634E-3</v>
      </c>
      <c r="Z171" t="s">
        <v>411</v>
      </c>
      <c r="AA171" t="s">
        <v>25</v>
      </c>
      <c r="AC171" t="s">
        <v>22</v>
      </c>
      <c r="AD171" t="s">
        <v>411</v>
      </c>
      <c r="AE171">
        <v>2.3543483033091887E-2</v>
      </c>
      <c r="AG171" t="s">
        <v>99</v>
      </c>
      <c r="AH171" t="s">
        <v>411</v>
      </c>
      <c r="AI171">
        <v>0.11023422030113306</v>
      </c>
    </row>
    <row r="172" spans="9:35" x14ac:dyDescent="0.45">
      <c r="I172" t="s">
        <v>249</v>
      </c>
      <c r="J172" t="s">
        <v>412</v>
      </c>
      <c r="K172">
        <v>3.3569483176486771E-3</v>
      </c>
      <c r="L172" t="s">
        <v>251</v>
      </c>
      <c r="N172" t="s">
        <v>419</v>
      </c>
      <c r="O172" t="s">
        <v>412</v>
      </c>
      <c r="P172">
        <v>4.3790628797977845E-3</v>
      </c>
      <c r="Q172" t="s">
        <v>251</v>
      </c>
      <c r="S172" t="s">
        <v>420</v>
      </c>
      <c r="T172" t="s">
        <v>412</v>
      </c>
      <c r="U172">
        <v>3.4986673592877107E-3</v>
      </c>
      <c r="V172" t="s">
        <v>251</v>
      </c>
      <c r="X172">
        <v>3.5388127853881279E-3</v>
      </c>
      <c r="Y172">
        <v>5.240782636799844E-3</v>
      </c>
      <c r="Z172" t="s">
        <v>412</v>
      </c>
      <c r="AA172" t="s">
        <v>25</v>
      </c>
      <c r="AC172" t="s">
        <v>22</v>
      </c>
      <c r="AD172" t="s">
        <v>412</v>
      </c>
      <c r="AE172">
        <v>3.9673982100870749E-3</v>
      </c>
      <c r="AG172" t="s">
        <v>99</v>
      </c>
      <c r="AH172" t="s">
        <v>412</v>
      </c>
      <c r="AI172">
        <v>0.10400483630387303</v>
      </c>
    </row>
    <row r="173" spans="9:35" x14ac:dyDescent="0.45">
      <c r="I173" t="s">
        <v>249</v>
      </c>
      <c r="J173" t="s">
        <v>413</v>
      </c>
      <c r="K173">
        <v>6.4302276041504E-3</v>
      </c>
      <c r="L173" t="s">
        <v>251</v>
      </c>
      <c r="N173" t="s">
        <v>419</v>
      </c>
      <c r="O173" t="s">
        <v>413</v>
      </c>
      <c r="P173">
        <v>3.7729951204138229E-3</v>
      </c>
      <c r="Q173" t="s">
        <v>251</v>
      </c>
      <c r="S173" t="s">
        <v>420</v>
      </c>
      <c r="T173" t="s">
        <v>413</v>
      </c>
      <c r="U173">
        <v>3.4928716870599335E-3</v>
      </c>
      <c r="V173" t="s">
        <v>251</v>
      </c>
      <c r="X173">
        <v>3.5388127853881279E-3</v>
      </c>
      <c r="Y173">
        <v>5.9087255218821738E-3</v>
      </c>
      <c r="Z173" t="s">
        <v>413</v>
      </c>
      <c r="AA173" t="s">
        <v>25</v>
      </c>
      <c r="AC173" t="s">
        <v>22</v>
      </c>
      <c r="AD173" t="s">
        <v>413</v>
      </c>
      <c r="AE173">
        <v>3.9633952652278663E-3</v>
      </c>
      <c r="AG173" t="s">
        <v>99</v>
      </c>
      <c r="AH173" t="s">
        <v>413</v>
      </c>
      <c r="AI173">
        <v>7.4066305318186254E-2</v>
      </c>
    </row>
    <row r="174" spans="9:35" x14ac:dyDescent="0.45">
      <c r="I174" t="s">
        <v>249</v>
      </c>
      <c r="J174" t="s">
        <v>414</v>
      </c>
      <c r="K174">
        <v>5.8339775957822602E-2</v>
      </c>
      <c r="L174" t="s">
        <v>251</v>
      </c>
      <c r="N174" t="s">
        <v>419</v>
      </c>
      <c r="O174" t="s">
        <v>414</v>
      </c>
      <c r="P174">
        <v>1.7468390542046991E-2</v>
      </c>
      <c r="Q174" t="s">
        <v>251</v>
      </c>
      <c r="S174" t="s">
        <v>420</v>
      </c>
      <c r="T174" t="s">
        <v>414</v>
      </c>
      <c r="U174">
        <v>2.1873171101000038E-2</v>
      </c>
      <c r="V174" t="s">
        <v>251</v>
      </c>
      <c r="X174">
        <v>2.1232876712328767E-2</v>
      </c>
      <c r="Y174">
        <v>2.6758819580836844E-2</v>
      </c>
      <c r="Z174" t="s">
        <v>414</v>
      </c>
      <c r="AA174" t="s">
        <v>25</v>
      </c>
      <c r="AC174" t="s">
        <v>22</v>
      </c>
      <c r="AD174" t="s">
        <v>414</v>
      </c>
      <c r="AE174">
        <v>2.2049068155943537E-2</v>
      </c>
      <c r="AG174" t="s">
        <v>99</v>
      </c>
      <c r="AH174" t="s">
        <v>414</v>
      </c>
      <c r="AI174">
        <v>0.12911283864389511</v>
      </c>
    </row>
    <row r="175" spans="9:35" x14ac:dyDescent="0.45">
      <c r="I175" t="s">
        <v>249</v>
      </c>
      <c r="J175" t="s">
        <v>415</v>
      </c>
      <c r="K175">
        <v>2.6819735968727498E-2</v>
      </c>
      <c r="L175" t="s">
        <v>251</v>
      </c>
      <c r="N175" t="s">
        <v>419</v>
      </c>
      <c r="O175" t="s">
        <v>415</v>
      </c>
      <c r="P175">
        <v>7.5630787877283816E-3</v>
      </c>
      <c r="Q175" t="s">
        <v>251</v>
      </c>
      <c r="S175" t="s">
        <v>420</v>
      </c>
      <c r="T175" t="s">
        <v>415</v>
      </c>
      <c r="U175">
        <v>1.1295279616735264E-2</v>
      </c>
      <c r="V175" t="s">
        <v>251</v>
      </c>
      <c r="X175">
        <v>1.0616438356164383E-2</v>
      </c>
      <c r="Y175">
        <v>1.6893816970390073E-2</v>
      </c>
      <c r="Z175" t="s">
        <v>415</v>
      </c>
      <c r="AA175" t="s">
        <v>25</v>
      </c>
      <c r="AC175" t="s">
        <v>22</v>
      </c>
      <c r="AD175" t="s">
        <v>415</v>
      </c>
      <c r="AE175">
        <v>7.9396068416197289E-3</v>
      </c>
      <c r="AG175" t="s">
        <v>99</v>
      </c>
      <c r="AH175" t="s">
        <v>415</v>
      </c>
      <c r="AI175">
        <v>6.2183768556017149E-2</v>
      </c>
    </row>
    <row r="176" spans="9:35" x14ac:dyDescent="0.45">
      <c r="I176" t="s">
        <v>249</v>
      </c>
      <c r="J176" t="s">
        <v>416</v>
      </c>
      <c r="K176">
        <v>6.7134710151176002E-3</v>
      </c>
      <c r="L176" t="s">
        <v>251</v>
      </c>
      <c r="N176" t="s">
        <v>419</v>
      </c>
      <c r="O176" t="s">
        <v>416</v>
      </c>
      <c r="P176">
        <v>2.8396267792552905E-3</v>
      </c>
      <c r="Q176" t="s">
        <v>251</v>
      </c>
      <c r="S176" t="s">
        <v>420</v>
      </c>
      <c r="T176" t="s">
        <v>416</v>
      </c>
      <c r="U176">
        <v>3.800250958987022E-3</v>
      </c>
      <c r="V176" t="s">
        <v>251</v>
      </c>
      <c r="X176">
        <v>3.5388127853881279E-3</v>
      </c>
      <c r="Y176">
        <v>6.8849497385409693E-3</v>
      </c>
      <c r="Z176" t="s">
        <v>416</v>
      </c>
      <c r="AA176" t="s">
        <v>25</v>
      </c>
      <c r="AC176" t="s">
        <v>22</v>
      </c>
      <c r="AD176" t="s">
        <v>416</v>
      </c>
      <c r="AE176">
        <v>2.5116069854195398E-3</v>
      </c>
      <c r="AG176" t="s">
        <v>99</v>
      </c>
      <c r="AH176" t="s">
        <v>416</v>
      </c>
      <c r="AI176">
        <v>2.6522664700230569E-2</v>
      </c>
    </row>
    <row r="177" spans="9:35" x14ac:dyDescent="0.45">
      <c r="I177" t="s">
        <v>249</v>
      </c>
      <c r="J177" t="s">
        <v>417</v>
      </c>
      <c r="K177">
        <v>4.3636159800594957E-3</v>
      </c>
      <c r="L177" t="s">
        <v>251</v>
      </c>
      <c r="N177" t="s">
        <v>419</v>
      </c>
      <c r="O177" t="s">
        <v>417</v>
      </c>
      <c r="P177">
        <v>2.9791966895662955E-3</v>
      </c>
      <c r="Q177" t="s">
        <v>251</v>
      </c>
      <c r="S177" t="s">
        <v>420</v>
      </c>
      <c r="T177" t="s">
        <v>417</v>
      </c>
      <c r="U177">
        <v>3.7640084620224664E-3</v>
      </c>
      <c r="V177" t="s">
        <v>251</v>
      </c>
      <c r="X177">
        <v>3.5388127853881279E-3</v>
      </c>
      <c r="Y177">
        <v>5.3435430806586613E-3</v>
      </c>
      <c r="Z177" t="s">
        <v>417</v>
      </c>
      <c r="AA177" t="s">
        <v>25</v>
      </c>
      <c r="AC177" t="s">
        <v>22</v>
      </c>
      <c r="AD177" t="s">
        <v>417</v>
      </c>
      <c r="AE177">
        <v>2.5292032638631447E-3</v>
      </c>
      <c r="AG177" t="s">
        <v>99</v>
      </c>
      <c r="AH177" t="s">
        <v>417</v>
      </c>
      <c r="AI177">
        <v>2.5865442867635702E-2</v>
      </c>
    </row>
    <row r="178" spans="9:35" x14ac:dyDescent="0.45">
      <c r="I178" t="s">
        <v>249</v>
      </c>
      <c r="J178" t="s">
        <v>418</v>
      </c>
      <c r="K178">
        <v>9.7873174655531696E-4</v>
      </c>
      <c r="L178" t="s">
        <v>251</v>
      </c>
      <c r="N178" t="s">
        <v>419</v>
      </c>
      <c r="O178" t="s">
        <v>418</v>
      </c>
      <c r="P178">
        <v>2.1583413457200773E-2</v>
      </c>
      <c r="Q178" t="s">
        <v>251</v>
      </c>
      <c r="S178" t="s">
        <v>420</v>
      </c>
      <c r="T178" t="s">
        <v>418</v>
      </c>
      <c r="U178">
        <v>1.7666422501777586E-2</v>
      </c>
      <c r="V178" t="s">
        <v>251</v>
      </c>
      <c r="X178">
        <v>1.7694063926940638E-2</v>
      </c>
      <c r="Y178">
        <v>1.3358857701646654E-2</v>
      </c>
      <c r="Z178" t="s">
        <v>418</v>
      </c>
      <c r="AA178" t="s">
        <v>25</v>
      </c>
      <c r="AC178" t="s">
        <v>22</v>
      </c>
      <c r="AD178" t="s">
        <v>418</v>
      </c>
      <c r="AE178">
        <v>1.7246656839578167E-2</v>
      </c>
      <c r="AG178" t="s">
        <v>99</v>
      </c>
      <c r="AH178" t="s">
        <v>418</v>
      </c>
      <c r="AI178">
        <v>0.15733680317509191</v>
      </c>
    </row>
    <row r="179" spans="9:35" x14ac:dyDescent="0.45">
      <c r="AC179" t="s">
        <v>19</v>
      </c>
      <c r="AD179" t="s">
        <v>250</v>
      </c>
      <c r="AE179">
        <v>2.1456565378467178E-2</v>
      </c>
    </row>
    <row r="180" spans="9:35" x14ac:dyDescent="0.45">
      <c r="AC180" t="s">
        <v>19</v>
      </c>
      <c r="AD180" t="s">
        <v>252</v>
      </c>
      <c r="AE180">
        <v>3.576040295125745E-3</v>
      </c>
    </row>
    <row r="181" spans="9:35" x14ac:dyDescent="0.45">
      <c r="AC181" t="s">
        <v>19</v>
      </c>
      <c r="AD181" t="s">
        <v>253</v>
      </c>
      <c r="AE181">
        <v>3.5736532532879115E-3</v>
      </c>
    </row>
    <row r="182" spans="9:35" x14ac:dyDescent="0.45">
      <c r="AC182" t="s">
        <v>19</v>
      </c>
      <c r="AD182" t="s">
        <v>254</v>
      </c>
      <c r="AE182">
        <v>2.1308912110266864E-2</v>
      </c>
    </row>
    <row r="183" spans="9:35" x14ac:dyDescent="0.45">
      <c r="AC183" t="s">
        <v>19</v>
      </c>
      <c r="AD183" t="s">
        <v>255</v>
      </c>
      <c r="AE183">
        <v>1.044333875225935E-2</v>
      </c>
    </row>
    <row r="184" spans="9:35" x14ac:dyDescent="0.45">
      <c r="AC184" t="s">
        <v>19</v>
      </c>
      <c r="AD184" t="s">
        <v>256</v>
      </c>
      <c r="AE184">
        <v>3.4710603292848782E-3</v>
      </c>
    </row>
    <row r="185" spans="9:35" x14ac:dyDescent="0.45">
      <c r="AC185" t="s">
        <v>19</v>
      </c>
      <c r="AD185" t="s">
        <v>257</v>
      </c>
      <c r="AE185">
        <v>3.4720253530016311E-3</v>
      </c>
    </row>
    <row r="186" spans="9:35" x14ac:dyDescent="0.45">
      <c r="AC186" t="s">
        <v>19</v>
      </c>
      <c r="AD186" t="s">
        <v>258</v>
      </c>
      <c r="AE186">
        <v>1.7648070356031446E-2</v>
      </c>
    </row>
    <row r="187" spans="9:35" x14ac:dyDescent="0.45">
      <c r="AC187" t="s">
        <v>19</v>
      </c>
      <c r="AD187" t="s">
        <v>259</v>
      </c>
      <c r="AE187">
        <v>1.9338882885437635E-2</v>
      </c>
    </row>
    <row r="188" spans="9:35" x14ac:dyDescent="0.45">
      <c r="AC188" t="s">
        <v>19</v>
      </c>
      <c r="AD188" t="s">
        <v>260</v>
      </c>
      <c r="AE188">
        <v>3.2252687047878417E-3</v>
      </c>
    </row>
    <row r="189" spans="9:35" x14ac:dyDescent="0.45">
      <c r="AC189" t="s">
        <v>19</v>
      </c>
      <c r="AD189" t="s">
        <v>261</v>
      </c>
      <c r="AE189">
        <v>3.2251801669548538E-3</v>
      </c>
    </row>
    <row r="190" spans="9:35" x14ac:dyDescent="0.45">
      <c r="AC190" t="s">
        <v>19</v>
      </c>
      <c r="AD190" t="s">
        <v>262</v>
      </c>
      <c r="AE190">
        <v>1.9240831294999098E-2</v>
      </c>
    </row>
    <row r="191" spans="9:35" x14ac:dyDescent="0.45">
      <c r="AC191" t="s">
        <v>19</v>
      </c>
      <c r="AD191" t="s">
        <v>263</v>
      </c>
      <c r="AE191">
        <v>9.4468789817617298E-3</v>
      </c>
    </row>
    <row r="192" spans="9:35" x14ac:dyDescent="0.45">
      <c r="AC192" t="s">
        <v>19</v>
      </c>
      <c r="AD192" t="s">
        <v>264</v>
      </c>
      <c r="AE192">
        <v>3.1401567833205745E-3</v>
      </c>
    </row>
    <row r="193" spans="29:31" x14ac:dyDescent="0.45">
      <c r="AC193" t="s">
        <v>19</v>
      </c>
      <c r="AD193" t="s">
        <v>265</v>
      </c>
      <c r="AE193">
        <v>3.1404962427850408E-3</v>
      </c>
    </row>
    <row r="194" spans="29:31" x14ac:dyDescent="0.45">
      <c r="AC194" t="s">
        <v>19</v>
      </c>
      <c r="AD194" t="s">
        <v>266</v>
      </c>
      <c r="AE194">
        <v>1.5953616264111251E-2</v>
      </c>
    </row>
    <row r="195" spans="29:31" x14ac:dyDescent="0.45">
      <c r="AC195" t="s">
        <v>19</v>
      </c>
      <c r="AD195" t="s">
        <v>267</v>
      </c>
      <c r="AE195">
        <v>2.1406099770568909E-2</v>
      </c>
    </row>
    <row r="196" spans="29:31" x14ac:dyDescent="0.45">
      <c r="AC196" t="s">
        <v>19</v>
      </c>
      <c r="AD196" t="s">
        <v>268</v>
      </c>
      <c r="AE196">
        <v>3.5705543953033956E-3</v>
      </c>
    </row>
    <row r="197" spans="29:31" x14ac:dyDescent="0.45">
      <c r="AC197" t="s">
        <v>19</v>
      </c>
      <c r="AD197" t="s">
        <v>269</v>
      </c>
      <c r="AE197">
        <v>3.5700579648337196E-3</v>
      </c>
    </row>
    <row r="198" spans="29:31" x14ac:dyDescent="0.45">
      <c r="AC198" t="s">
        <v>19</v>
      </c>
      <c r="AD198" t="s">
        <v>270</v>
      </c>
      <c r="AE198">
        <v>2.1303818855435835E-2</v>
      </c>
    </row>
    <row r="199" spans="29:31" x14ac:dyDescent="0.45">
      <c r="AC199" t="s">
        <v>19</v>
      </c>
      <c r="AD199" t="s">
        <v>271</v>
      </c>
      <c r="AE199">
        <v>1.0459243370575593E-2</v>
      </c>
    </row>
    <row r="200" spans="29:31" x14ac:dyDescent="0.45">
      <c r="AC200" t="s">
        <v>19</v>
      </c>
      <c r="AD200" t="s">
        <v>272</v>
      </c>
      <c r="AE200">
        <v>3.4767112516424447E-3</v>
      </c>
    </row>
    <row r="201" spans="29:31" x14ac:dyDescent="0.45">
      <c r="AC201" t="s">
        <v>19</v>
      </c>
      <c r="AD201" t="s">
        <v>273</v>
      </c>
      <c r="AE201">
        <v>3.4773333362419063E-3</v>
      </c>
    </row>
    <row r="202" spans="29:31" x14ac:dyDescent="0.45">
      <c r="AC202" t="s">
        <v>19</v>
      </c>
      <c r="AD202" t="s">
        <v>274</v>
      </c>
      <c r="AE202">
        <v>1.7662409062916596E-2</v>
      </c>
    </row>
    <row r="203" spans="29:31" x14ac:dyDescent="0.45">
      <c r="AC203" t="s">
        <v>19</v>
      </c>
      <c r="AD203" t="s">
        <v>275</v>
      </c>
      <c r="AE203">
        <v>2.0694850968251445E-2</v>
      </c>
    </row>
    <row r="204" spans="29:31" x14ac:dyDescent="0.45">
      <c r="AC204" t="s">
        <v>19</v>
      </c>
      <c r="AD204" t="s">
        <v>276</v>
      </c>
      <c r="AE204">
        <v>3.4504237579177808E-3</v>
      </c>
    </row>
    <row r="205" spans="29:31" x14ac:dyDescent="0.45">
      <c r="AC205" t="s">
        <v>19</v>
      </c>
      <c r="AD205" t="s">
        <v>277</v>
      </c>
      <c r="AE205">
        <v>3.4522266047091348E-3</v>
      </c>
    </row>
    <row r="206" spans="29:31" x14ac:dyDescent="0.45">
      <c r="AC206" t="s">
        <v>19</v>
      </c>
      <c r="AD206" t="s">
        <v>278</v>
      </c>
      <c r="AE206">
        <v>2.0660796765939099E-2</v>
      </c>
    </row>
    <row r="207" spans="29:31" x14ac:dyDescent="0.45">
      <c r="AC207" t="s">
        <v>19</v>
      </c>
      <c r="AD207" t="s">
        <v>279</v>
      </c>
      <c r="AE207">
        <v>1.0145478419643389E-2</v>
      </c>
    </row>
    <row r="208" spans="29:31" x14ac:dyDescent="0.45">
      <c r="AC208" t="s">
        <v>19</v>
      </c>
      <c r="AD208" t="s">
        <v>280</v>
      </c>
      <c r="AE208">
        <v>3.361101456532469E-3</v>
      </c>
    </row>
    <row r="209" spans="29:31" x14ac:dyDescent="0.45">
      <c r="AC209" t="s">
        <v>19</v>
      </c>
      <c r="AD209" t="s">
        <v>281</v>
      </c>
      <c r="AE209">
        <v>3.3621372331899936E-3</v>
      </c>
    </row>
    <row r="210" spans="29:31" x14ac:dyDescent="0.45">
      <c r="AC210" t="s">
        <v>19</v>
      </c>
      <c r="AD210" t="s">
        <v>282</v>
      </c>
      <c r="AE210">
        <v>1.7050597402635478E-2</v>
      </c>
    </row>
    <row r="211" spans="29:31" x14ac:dyDescent="0.45">
      <c r="AC211" t="s">
        <v>19</v>
      </c>
      <c r="AD211" t="s">
        <v>283</v>
      </c>
      <c r="AE211">
        <v>2.1374416033414972E-2</v>
      </c>
    </row>
    <row r="212" spans="29:31" x14ac:dyDescent="0.45">
      <c r="AC212" t="s">
        <v>19</v>
      </c>
      <c r="AD212" t="s">
        <v>284</v>
      </c>
      <c r="AE212">
        <v>3.5620745538620506E-3</v>
      </c>
    </row>
    <row r="213" spans="29:31" x14ac:dyDescent="0.45">
      <c r="AC213" t="s">
        <v>19</v>
      </c>
      <c r="AD213" t="s">
        <v>285</v>
      </c>
      <c r="AE213">
        <v>3.5664167739593473E-3</v>
      </c>
    </row>
    <row r="214" spans="29:31" x14ac:dyDescent="0.45">
      <c r="AC214" t="s">
        <v>19</v>
      </c>
      <c r="AD214" t="s">
        <v>286</v>
      </c>
      <c r="AE214">
        <v>2.1376660022858898E-2</v>
      </c>
    </row>
    <row r="215" spans="29:31" x14ac:dyDescent="0.45">
      <c r="AC215" t="s">
        <v>19</v>
      </c>
      <c r="AD215" t="s">
        <v>287</v>
      </c>
      <c r="AE215">
        <v>1.0489346837897689E-2</v>
      </c>
    </row>
    <row r="216" spans="29:31" x14ac:dyDescent="0.45">
      <c r="AC216" t="s">
        <v>19</v>
      </c>
      <c r="AD216" t="s">
        <v>288</v>
      </c>
      <c r="AE216">
        <v>3.4713576849501643E-3</v>
      </c>
    </row>
    <row r="217" spans="29:31" x14ac:dyDescent="0.45">
      <c r="AC217" t="s">
        <v>19</v>
      </c>
      <c r="AD217" t="s">
        <v>289</v>
      </c>
      <c r="AE217">
        <v>3.4729768833979854E-3</v>
      </c>
    </row>
    <row r="218" spans="29:31" x14ac:dyDescent="0.45">
      <c r="AC218" t="s">
        <v>19</v>
      </c>
      <c r="AD218" t="s">
        <v>290</v>
      </c>
      <c r="AE218">
        <v>1.7611401581249332E-2</v>
      </c>
    </row>
    <row r="219" spans="29:31" x14ac:dyDescent="0.45">
      <c r="AC219" t="s">
        <v>19</v>
      </c>
      <c r="AD219" t="s">
        <v>291</v>
      </c>
      <c r="AE219">
        <v>1.9961442322653213E-2</v>
      </c>
    </row>
    <row r="220" spans="29:31" x14ac:dyDescent="0.45">
      <c r="AC220" t="s">
        <v>19</v>
      </c>
      <c r="AD220" t="s">
        <v>292</v>
      </c>
      <c r="AE220">
        <v>3.3265995555666447E-3</v>
      </c>
    </row>
    <row r="221" spans="29:31" x14ac:dyDescent="0.45">
      <c r="AC221" t="s">
        <v>19</v>
      </c>
      <c r="AD221" t="s">
        <v>293</v>
      </c>
      <c r="AE221">
        <v>3.3424354555724491E-3</v>
      </c>
    </row>
    <row r="222" spans="29:31" x14ac:dyDescent="0.45">
      <c r="AC222" t="s">
        <v>19</v>
      </c>
      <c r="AD222" t="s">
        <v>294</v>
      </c>
      <c r="AE222">
        <v>2.0050567830339875E-2</v>
      </c>
    </row>
    <row r="223" spans="29:31" x14ac:dyDescent="0.45">
      <c r="AC223" t="s">
        <v>19</v>
      </c>
      <c r="AD223" t="s">
        <v>295</v>
      </c>
      <c r="AE223">
        <v>9.801739418860065E-3</v>
      </c>
    </row>
    <row r="224" spans="29:31" x14ac:dyDescent="0.45">
      <c r="AC224" t="s">
        <v>19</v>
      </c>
      <c r="AD224" t="s">
        <v>296</v>
      </c>
      <c r="AE224">
        <v>3.2424777886420884E-3</v>
      </c>
    </row>
    <row r="225" spans="29:31" x14ac:dyDescent="0.45">
      <c r="AC225" t="s">
        <v>19</v>
      </c>
      <c r="AD225" t="s">
        <v>297</v>
      </c>
      <c r="AE225">
        <v>3.243978678893865E-3</v>
      </c>
    </row>
    <row r="226" spans="29:31" x14ac:dyDescent="0.45">
      <c r="AC226" t="s">
        <v>19</v>
      </c>
      <c r="AD226" t="s">
        <v>298</v>
      </c>
      <c r="AE226">
        <v>1.6489070444552119E-2</v>
      </c>
    </row>
    <row r="227" spans="29:31" x14ac:dyDescent="0.45">
      <c r="AC227" t="s">
        <v>19</v>
      </c>
      <c r="AD227" t="s">
        <v>299</v>
      </c>
      <c r="AE227">
        <v>1.1569159159890035E-4</v>
      </c>
    </row>
    <row r="228" spans="29:31" x14ac:dyDescent="0.45">
      <c r="AC228" t="s">
        <v>19</v>
      </c>
      <c r="AD228" t="s">
        <v>300</v>
      </c>
      <c r="AE228">
        <v>1.1544376299215406E-4</v>
      </c>
    </row>
    <row r="229" spans="29:31" x14ac:dyDescent="0.45">
      <c r="AC229" t="s">
        <v>19</v>
      </c>
      <c r="AD229" t="s">
        <v>301</v>
      </c>
      <c r="AE229">
        <v>1.1527132686327913E-4</v>
      </c>
    </row>
    <row r="230" spans="29:31" x14ac:dyDescent="0.45">
      <c r="AC230" t="s">
        <v>19</v>
      </c>
      <c r="AD230" t="s">
        <v>302</v>
      </c>
      <c r="AE230">
        <v>1.1527132686327913E-4</v>
      </c>
    </row>
    <row r="231" spans="29:31" x14ac:dyDescent="0.45">
      <c r="AC231" t="s">
        <v>19</v>
      </c>
      <c r="AD231" t="s">
        <v>303</v>
      </c>
      <c r="AE231">
        <v>1.151854954269333E-4</v>
      </c>
    </row>
    <row r="232" spans="29:31" x14ac:dyDescent="0.45">
      <c r="AC232" t="s">
        <v>19</v>
      </c>
      <c r="AD232" t="s">
        <v>304</v>
      </c>
      <c r="AE232">
        <v>1.151854954269333E-4</v>
      </c>
    </row>
    <row r="233" spans="29:31" x14ac:dyDescent="0.45">
      <c r="AC233" t="s">
        <v>19</v>
      </c>
      <c r="AD233" t="s">
        <v>305</v>
      </c>
      <c r="AE233">
        <v>1.152856321026701E-4</v>
      </c>
    </row>
    <row r="234" spans="29:31" x14ac:dyDescent="0.45">
      <c r="AC234" t="s">
        <v>19</v>
      </c>
      <c r="AD234" t="s">
        <v>306</v>
      </c>
      <c r="AE234">
        <v>1.1605734177359921E-4</v>
      </c>
    </row>
    <row r="235" spans="29:31" x14ac:dyDescent="0.45">
      <c r="AC235" t="s">
        <v>19</v>
      </c>
      <c r="AD235" t="s">
        <v>307</v>
      </c>
      <c r="AE235">
        <v>1.1624021686094864E-4</v>
      </c>
    </row>
    <row r="236" spans="29:31" x14ac:dyDescent="0.45">
      <c r="AC236" t="s">
        <v>19</v>
      </c>
      <c r="AD236" t="s">
        <v>308</v>
      </c>
      <c r="AE236">
        <v>1.1669566475290982E-4</v>
      </c>
    </row>
    <row r="237" spans="29:31" x14ac:dyDescent="0.45">
      <c r="AC237" t="s">
        <v>19</v>
      </c>
      <c r="AD237" t="s">
        <v>309</v>
      </c>
      <c r="AE237">
        <v>1.1689748461675E-4</v>
      </c>
    </row>
    <row r="238" spans="29:31" x14ac:dyDescent="0.45">
      <c r="AC238" t="s">
        <v>19</v>
      </c>
      <c r="AD238" t="s">
        <v>310</v>
      </c>
      <c r="AE238">
        <v>1.1666589438985293E-4</v>
      </c>
    </row>
    <row r="239" spans="29:31" x14ac:dyDescent="0.45">
      <c r="AC239" t="s">
        <v>19</v>
      </c>
      <c r="AD239" t="s">
        <v>311</v>
      </c>
      <c r="AE239">
        <v>1.1574146662272291E-4</v>
      </c>
    </row>
    <row r="240" spans="29:31" x14ac:dyDescent="0.45">
      <c r="AC240" t="s">
        <v>19</v>
      </c>
      <c r="AD240" t="s">
        <v>312</v>
      </c>
      <c r="AE240">
        <v>1.1456070443083037E-4</v>
      </c>
    </row>
    <row r="241" spans="29:31" x14ac:dyDescent="0.45">
      <c r="AC241" t="s">
        <v>19</v>
      </c>
      <c r="AD241" t="s">
        <v>313</v>
      </c>
      <c r="AE241">
        <v>1.1387134654342225E-4</v>
      </c>
    </row>
    <row r="242" spans="29:31" x14ac:dyDescent="0.45">
      <c r="AC242" t="s">
        <v>19</v>
      </c>
      <c r="AD242" t="s">
        <v>314</v>
      </c>
      <c r="AE242">
        <v>1.125289738092209E-4</v>
      </c>
    </row>
    <row r="243" spans="29:31" x14ac:dyDescent="0.45">
      <c r="AC243" t="s">
        <v>19</v>
      </c>
      <c r="AD243" t="s">
        <v>315</v>
      </c>
      <c r="AE243">
        <v>1.1228114520247461E-4</v>
      </c>
    </row>
    <row r="244" spans="29:31" x14ac:dyDescent="0.45">
      <c r="AC244" t="s">
        <v>19</v>
      </c>
      <c r="AD244" t="s">
        <v>316</v>
      </c>
      <c r="AE244">
        <v>1.1202210438107055E-4</v>
      </c>
    </row>
    <row r="245" spans="29:31" x14ac:dyDescent="0.45">
      <c r="AC245" t="s">
        <v>19</v>
      </c>
      <c r="AD245" t="s">
        <v>317</v>
      </c>
      <c r="AE245">
        <v>1.1210097651176671E-4</v>
      </c>
    </row>
    <row r="246" spans="29:31" x14ac:dyDescent="0.45">
      <c r="AC246" t="s">
        <v>19</v>
      </c>
      <c r="AD246" t="s">
        <v>318</v>
      </c>
      <c r="AE246">
        <v>1.1241143886935997E-4</v>
      </c>
    </row>
    <row r="247" spans="29:31" x14ac:dyDescent="0.45">
      <c r="AC247" t="s">
        <v>19</v>
      </c>
      <c r="AD247" t="s">
        <v>319</v>
      </c>
      <c r="AE247">
        <v>1.1358872140842768E-4</v>
      </c>
    </row>
    <row r="248" spans="29:31" x14ac:dyDescent="0.45">
      <c r="AC248" t="s">
        <v>19</v>
      </c>
      <c r="AD248" t="s">
        <v>320</v>
      </c>
      <c r="AE248">
        <v>1.1489011156491435E-4</v>
      </c>
    </row>
    <row r="249" spans="29:31" x14ac:dyDescent="0.45">
      <c r="AC249" t="s">
        <v>19</v>
      </c>
      <c r="AD249" t="s">
        <v>321</v>
      </c>
      <c r="AE249">
        <v>1.1535406527489178E-4</v>
      </c>
    </row>
    <row r="250" spans="29:31" x14ac:dyDescent="0.45">
      <c r="AC250" t="s">
        <v>19</v>
      </c>
      <c r="AD250" t="s">
        <v>322</v>
      </c>
      <c r="AE250">
        <v>1.1592318182579741E-4</v>
      </c>
    </row>
    <row r="251" spans="29:31" x14ac:dyDescent="0.45">
      <c r="AC251" t="s">
        <v>19</v>
      </c>
      <c r="AD251" t="s">
        <v>323</v>
      </c>
      <c r="AE251">
        <v>2.1346820840001699E-2</v>
      </c>
    </row>
    <row r="252" spans="29:31" x14ac:dyDescent="0.45">
      <c r="AC252" t="s">
        <v>19</v>
      </c>
      <c r="AD252" t="s">
        <v>324</v>
      </c>
      <c r="AE252">
        <v>3.557157031164381E-3</v>
      </c>
    </row>
    <row r="253" spans="29:31" x14ac:dyDescent="0.45">
      <c r="AC253" t="s">
        <v>19</v>
      </c>
      <c r="AD253" t="s">
        <v>325</v>
      </c>
      <c r="AE253">
        <v>3.5730536317805741E-3</v>
      </c>
    </row>
    <row r="254" spans="29:31" x14ac:dyDescent="0.45">
      <c r="AC254" t="s">
        <v>19</v>
      </c>
      <c r="AD254" t="s">
        <v>326</v>
      </c>
      <c r="AE254">
        <v>2.1431810973620097E-2</v>
      </c>
    </row>
    <row r="255" spans="29:31" x14ac:dyDescent="0.45">
      <c r="AC255" t="s">
        <v>19</v>
      </c>
      <c r="AD255" t="s">
        <v>327</v>
      </c>
      <c r="AE255">
        <v>1.0477739875958328E-2</v>
      </c>
    </row>
    <row r="256" spans="29:31" x14ac:dyDescent="0.45">
      <c r="AC256" t="s">
        <v>19</v>
      </c>
      <c r="AD256" t="s">
        <v>328</v>
      </c>
      <c r="AE256">
        <v>3.4655134147168151E-3</v>
      </c>
    </row>
    <row r="257" spans="29:31" x14ac:dyDescent="0.45">
      <c r="AC257" t="s">
        <v>19</v>
      </c>
      <c r="AD257" t="s">
        <v>329</v>
      </c>
      <c r="AE257">
        <v>3.4671685695771598E-3</v>
      </c>
    </row>
    <row r="258" spans="29:31" x14ac:dyDescent="0.45">
      <c r="AC258" t="s">
        <v>19</v>
      </c>
      <c r="AD258" t="s">
        <v>330</v>
      </c>
      <c r="AE258">
        <v>1.7639771190730177E-2</v>
      </c>
    </row>
    <row r="259" spans="29:31" x14ac:dyDescent="0.45">
      <c r="AC259" t="s">
        <v>19</v>
      </c>
      <c r="AD259" t="s">
        <v>331</v>
      </c>
      <c r="AE259">
        <v>2.134432436308252E-2</v>
      </c>
    </row>
    <row r="260" spans="29:31" x14ac:dyDescent="0.45">
      <c r="AC260" t="s">
        <v>19</v>
      </c>
      <c r="AD260" t="s">
        <v>332</v>
      </c>
      <c r="AE260">
        <v>3.5586963232513611E-3</v>
      </c>
    </row>
    <row r="261" spans="29:31" x14ac:dyDescent="0.45">
      <c r="AC261" t="s">
        <v>19</v>
      </c>
      <c r="AD261" t="s">
        <v>333</v>
      </c>
      <c r="AE261">
        <v>3.5689408077957539E-3</v>
      </c>
    </row>
    <row r="262" spans="29:31" x14ac:dyDescent="0.45">
      <c r="AC262" t="s">
        <v>19</v>
      </c>
      <c r="AD262" t="s">
        <v>334</v>
      </c>
      <c r="AE262">
        <v>2.1425827111314258E-2</v>
      </c>
    </row>
    <row r="263" spans="29:31" x14ac:dyDescent="0.45">
      <c r="AC263" t="s">
        <v>19</v>
      </c>
      <c r="AD263" t="s">
        <v>335</v>
      </c>
      <c r="AE263">
        <v>1.0482450156333171E-2</v>
      </c>
    </row>
    <row r="264" spans="29:31" x14ac:dyDescent="0.45">
      <c r="AC264" t="s">
        <v>19</v>
      </c>
      <c r="AD264" t="s">
        <v>336</v>
      </c>
      <c r="AE264">
        <v>3.4675862535702693E-3</v>
      </c>
    </row>
    <row r="265" spans="29:31" x14ac:dyDescent="0.45">
      <c r="AC265" t="s">
        <v>19</v>
      </c>
      <c r="AD265" t="s">
        <v>337</v>
      </c>
      <c r="AE265">
        <v>3.4692027456214489E-3</v>
      </c>
    </row>
    <row r="266" spans="29:31" x14ac:dyDescent="0.45">
      <c r="AC266" t="s">
        <v>19</v>
      </c>
      <c r="AD266" t="s">
        <v>338</v>
      </c>
      <c r="AE266">
        <v>1.7627093897247603E-2</v>
      </c>
    </row>
    <row r="267" spans="29:31" x14ac:dyDescent="0.45">
      <c r="AC267" t="s">
        <v>19</v>
      </c>
      <c r="AD267" t="s">
        <v>339</v>
      </c>
      <c r="AE267">
        <v>1.9306226616249401E-2</v>
      </c>
    </row>
    <row r="268" spans="29:31" x14ac:dyDescent="0.45">
      <c r="AC268" t="s">
        <v>19</v>
      </c>
      <c r="AD268" t="s">
        <v>340</v>
      </c>
      <c r="AE268">
        <v>3.2183579663924823E-3</v>
      </c>
    </row>
    <row r="269" spans="29:31" x14ac:dyDescent="0.45">
      <c r="AC269" t="s">
        <v>19</v>
      </c>
      <c r="AD269" t="s">
        <v>341</v>
      </c>
      <c r="AE269">
        <v>3.2210651362902004E-3</v>
      </c>
    </row>
    <row r="270" spans="29:31" x14ac:dyDescent="0.45">
      <c r="AC270" t="s">
        <v>19</v>
      </c>
      <c r="AD270" t="s">
        <v>342</v>
      </c>
      <c r="AE270">
        <v>1.9291943028031566E-2</v>
      </c>
    </row>
    <row r="271" spans="29:31" x14ac:dyDescent="0.45">
      <c r="AC271" t="s">
        <v>19</v>
      </c>
      <c r="AD271" t="s">
        <v>343</v>
      </c>
      <c r="AE271">
        <v>9.4806744728531157E-3</v>
      </c>
    </row>
    <row r="272" spans="29:31" x14ac:dyDescent="0.45">
      <c r="AC272" t="s">
        <v>19</v>
      </c>
      <c r="AD272" t="s">
        <v>344</v>
      </c>
      <c r="AE272">
        <v>3.1378647041080407E-3</v>
      </c>
    </row>
    <row r="273" spans="29:31" x14ac:dyDescent="0.45">
      <c r="AC273" t="s">
        <v>19</v>
      </c>
      <c r="AD273" t="s">
        <v>345</v>
      </c>
      <c r="AE273">
        <v>3.1394703705726543E-3</v>
      </c>
    </row>
    <row r="274" spans="29:31" x14ac:dyDescent="0.45">
      <c r="AC274" t="s">
        <v>19</v>
      </c>
      <c r="AD274" t="s">
        <v>346</v>
      </c>
      <c r="AE274">
        <v>1.591505130568361E-2</v>
      </c>
    </row>
    <row r="275" spans="29:31" x14ac:dyDescent="0.45">
      <c r="AC275" t="s">
        <v>19</v>
      </c>
      <c r="AD275" t="s">
        <v>347</v>
      </c>
      <c r="AE275">
        <v>1.1354148608790081E-4</v>
      </c>
    </row>
    <row r="276" spans="29:31" x14ac:dyDescent="0.45">
      <c r="AC276" t="s">
        <v>19</v>
      </c>
      <c r="AD276" t="s">
        <v>348</v>
      </c>
      <c r="AE276">
        <v>1.1377964899235589E-4</v>
      </c>
    </row>
    <row r="277" spans="29:31" x14ac:dyDescent="0.45">
      <c r="AC277" t="s">
        <v>19</v>
      </c>
      <c r="AD277" t="s">
        <v>349</v>
      </c>
      <c r="AE277">
        <v>1.1367293963906108E-4</v>
      </c>
    </row>
    <row r="278" spans="29:31" x14ac:dyDescent="0.45">
      <c r="AC278" t="s">
        <v>19</v>
      </c>
      <c r="AD278" t="s">
        <v>350</v>
      </c>
      <c r="AE278">
        <v>1.1367293963906108E-4</v>
      </c>
    </row>
    <row r="279" spans="29:31" x14ac:dyDescent="0.45">
      <c r="AC279" t="s">
        <v>19</v>
      </c>
      <c r="AD279" t="s">
        <v>351</v>
      </c>
      <c r="AE279">
        <v>1.1367293963906108E-4</v>
      </c>
    </row>
    <row r="280" spans="29:31" x14ac:dyDescent="0.45">
      <c r="AC280" t="s">
        <v>19</v>
      </c>
      <c r="AD280" t="s">
        <v>352</v>
      </c>
      <c r="AE280">
        <v>1.1371972163815047E-4</v>
      </c>
    </row>
    <row r="281" spans="29:31" x14ac:dyDescent="0.45">
      <c r="AC281" t="s">
        <v>19</v>
      </c>
      <c r="AD281" t="s">
        <v>353</v>
      </c>
      <c r="AE281">
        <v>1.137610908439568E-4</v>
      </c>
    </row>
    <row r="282" spans="29:31" x14ac:dyDescent="0.45">
      <c r="AC282" t="s">
        <v>19</v>
      </c>
      <c r="AD282" t="s">
        <v>354</v>
      </c>
      <c r="AE282">
        <v>1.1390105021313331E-4</v>
      </c>
    </row>
    <row r="283" spans="29:31" x14ac:dyDescent="0.45">
      <c r="AC283" t="s">
        <v>19</v>
      </c>
      <c r="AD283" t="s">
        <v>355</v>
      </c>
      <c r="AE283">
        <v>1.1408817820949087E-4</v>
      </c>
    </row>
    <row r="284" spans="29:31" x14ac:dyDescent="0.45">
      <c r="AC284" t="s">
        <v>19</v>
      </c>
      <c r="AD284" t="s">
        <v>356</v>
      </c>
      <c r="AE284">
        <v>1.141191084568227E-4</v>
      </c>
    </row>
    <row r="285" spans="29:31" x14ac:dyDescent="0.45">
      <c r="AC285" t="s">
        <v>19</v>
      </c>
      <c r="AD285" t="s">
        <v>357</v>
      </c>
      <c r="AE285">
        <v>1.1436423066692744E-4</v>
      </c>
    </row>
    <row r="286" spans="29:31" x14ac:dyDescent="0.45">
      <c r="AC286" t="s">
        <v>19</v>
      </c>
      <c r="AD286" t="s">
        <v>358</v>
      </c>
      <c r="AE286">
        <v>1.1429889051943896E-4</v>
      </c>
    </row>
    <row r="287" spans="29:31" x14ac:dyDescent="0.45">
      <c r="AC287" t="s">
        <v>19</v>
      </c>
      <c r="AD287" t="s">
        <v>359</v>
      </c>
      <c r="AE287">
        <v>1.1411678868827283E-4</v>
      </c>
    </row>
    <row r="288" spans="29:31" x14ac:dyDescent="0.45">
      <c r="AC288" t="s">
        <v>19</v>
      </c>
      <c r="AD288" t="s">
        <v>360</v>
      </c>
      <c r="AE288">
        <v>1.1376341061250667E-4</v>
      </c>
    </row>
    <row r="289" spans="29:31" x14ac:dyDescent="0.45">
      <c r="AC289" t="s">
        <v>19</v>
      </c>
      <c r="AD289" t="s">
        <v>361</v>
      </c>
      <c r="AE289">
        <v>1.1339224764452473E-4</v>
      </c>
    </row>
    <row r="290" spans="29:31" x14ac:dyDescent="0.45">
      <c r="AC290" t="s">
        <v>19</v>
      </c>
      <c r="AD290" t="s">
        <v>362</v>
      </c>
      <c r="AE290">
        <v>1.1248637802579382E-4</v>
      </c>
    </row>
    <row r="291" spans="29:31" x14ac:dyDescent="0.45">
      <c r="AC291" t="s">
        <v>19</v>
      </c>
      <c r="AD291" t="s">
        <v>363</v>
      </c>
      <c r="AE291">
        <v>1.1216470345354279E-4</v>
      </c>
    </row>
    <row r="292" spans="29:31" x14ac:dyDescent="0.45">
      <c r="AC292" t="s">
        <v>19</v>
      </c>
      <c r="AD292" t="s">
        <v>364</v>
      </c>
      <c r="AE292">
        <v>1.1181944456770126E-4</v>
      </c>
    </row>
    <row r="293" spans="29:31" x14ac:dyDescent="0.45">
      <c r="AC293" t="s">
        <v>19</v>
      </c>
      <c r="AD293" t="s">
        <v>365</v>
      </c>
      <c r="AE293">
        <v>1.1183452306327554E-4</v>
      </c>
    </row>
    <row r="294" spans="29:31" x14ac:dyDescent="0.45">
      <c r="AC294" t="s">
        <v>19</v>
      </c>
      <c r="AD294" t="s">
        <v>366</v>
      </c>
      <c r="AE294">
        <v>1.118681597072489E-4</v>
      </c>
    </row>
    <row r="295" spans="29:31" x14ac:dyDescent="0.45">
      <c r="AC295" t="s">
        <v>19</v>
      </c>
      <c r="AD295" t="s">
        <v>367</v>
      </c>
      <c r="AE295">
        <v>1.1224086918759744E-4</v>
      </c>
    </row>
    <row r="296" spans="29:31" x14ac:dyDescent="0.45">
      <c r="AC296" t="s">
        <v>19</v>
      </c>
      <c r="AD296" t="s">
        <v>368</v>
      </c>
      <c r="AE296">
        <v>1.1263445658489494E-4</v>
      </c>
    </row>
    <row r="297" spans="29:31" x14ac:dyDescent="0.45">
      <c r="AC297" t="s">
        <v>19</v>
      </c>
      <c r="AD297" t="s">
        <v>369</v>
      </c>
      <c r="AE297">
        <v>1.1322638419320781E-4</v>
      </c>
    </row>
    <row r="298" spans="29:31" x14ac:dyDescent="0.45">
      <c r="AC298" t="s">
        <v>19</v>
      </c>
      <c r="AD298" t="s">
        <v>370</v>
      </c>
      <c r="AE298">
        <v>1.1360180007019788E-4</v>
      </c>
    </row>
    <row r="299" spans="29:31" x14ac:dyDescent="0.45">
      <c r="AC299" t="s">
        <v>19</v>
      </c>
      <c r="AD299" t="s">
        <v>371</v>
      </c>
      <c r="AE299">
        <v>1.1547694631468998E-4</v>
      </c>
    </row>
    <row r="300" spans="29:31" x14ac:dyDescent="0.45">
      <c r="AC300" t="s">
        <v>19</v>
      </c>
      <c r="AD300" t="s">
        <v>372</v>
      </c>
      <c r="AE300">
        <v>1.1536869044902857E-4</v>
      </c>
    </row>
    <row r="301" spans="29:31" x14ac:dyDescent="0.45">
      <c r="AC301" t="s">
        <v>19</v>
      </c>
      <c r="AD301" t="s">
        <v>373</v>
      </c>
      <c r="AE301">
        <v>1.153729433580367E-4</v>
      </c>
    </row>
    <row r="302" spans="29:31" x14ac:dyDescent="0.45">
      <c r="AC302" t="s">
        <v>19</v>
      </c>
      <c r="AD302" t="s">
        <v>374</v>
      </c>
      <c r="AE302">
        <v>1.153729433580367E-4</v>
      </c>
    </row>
    <row r="303" spans="29:31" x14ac:dyDescent="0.45">
      <c r="AC303" t="s">
        <v>19</v>
      </c>
      <c r="AD303" t="s">
        <v>375</v>
      </c>
      <c r="AE303">
        <v>1.153640509119288E-4</v>
      </c>
    </row>
    <row r="304" spans="29:31" x14ac:dyDescent="0.45">
      <c r="AC304" t="s">
        <v>19</v>
      </c>
      <c r="AD304" t="s">
        <v>376</v>
      </c>
      <c r="AE304">
        <v>1.1537255672994507E-4</v>
      </c>
    </row>
    <row r="305" spans="29:31" x14ac:dyDescent="0.45">
      <c r="AC305" t="s">
        <v>19</v>
      </c>
      <c r="AD305" t="s">
        <v>377</v>
      </c>
      <c r="AE305">
        <v>1.1539459453116899E-4</v>
      </c>
    </row>
    <row r="306" spans="29:31" x14ac:dyDescent="0.45">
      <c r="AC306" t="s">
        <v>19</v>
      </c>
      <c r="AD306" t="s">
        <v>378</v>
      </c>
      <c r="AE306">
        <v>1.154471759516331E-4</v>
      </c>
    </row>
    <row r="307" spans="29:31" x14ac:dyDescent="0.45">
      <c r="AC307" t="s">
        <v>19</v>
      </c>
      <c r="AD307" t="s">
        <v>379</v>
      </c>
      <c r="AE307">
        <v>1.1546844049667374E-4</v>
      </c>
    </row>
    <row r="308" spans="29:31" x14ac:dyDescent="0.45">
      <c r="AC308" t="s">
        <v>19</v>
      </c>
      <c r="AD308" t="s">
        <v>380</v>
      </c>
      <c r="AE308">
        <v>1.1552914110706245E-4</v>
      </c>
    </row>
    <row r="309" spans="29:31" x14ac:dyDescent="0.45">
      <c r="AC309" t="s">
        <v>19</v>
      </c>
      <c r="AD309" t="s">
        <v>381</v>
      </c>
      <c r="AE309">
        <v>1.1546341433148231E-4</v>
      </c>
    </row>
    <row r="310" spans="29:31" x14ac:dyDescent="0.45">
      <c r="AC310" t="s">
        <v>19</v>
      </c>
      <c r="AD310" t="s">
        <v>382</v>
      </c>
      <c r="AE310">
        <v>1.15263914236192E-4</v>
      </c>
    </row>
    <row r="311" spans="29:31" x14ac:dyDescent="0.45">
      <c r="AC311" t="s">
        <v>19</v>
      </c>
      <c r="AD311" t="s">
        <v>383</v>
      </c>
      <c r="AE311">
        <v>1.1500757981142949E-4</v>
      </c>
    </row>
    <row r="312" spans="29:31" x14ac:dyDescent="0.45">
      <c r="AC312" t="s">
        <v>19</v>
      </c>
      <c r="AD312" t="s">
        <v>384</v>
      </c>
      <c r="AE312">
        <v>1.1419488756278569E-4</v>
      </c>
    </row>
    <row r="313" spans="29:31" x14ac:dyDescent="0.45">
      <c r="AC313" t="s">
        <v>19</v>
      </c>
      <c r="AD313" t="s">
        <v>385</v>
      </c>
      <c r="AE313">
        <v>1.1372281466288365E-4</v>
      </c>
    </row>
    <row r="314" spans="29:31" x14ac:dyDescent="0.45">
      <c r="AC314" t="s">
        <v>19</v>
      </c>
      <c r="AD314" t="s">
        <v>386</v>
      </c>
      <c r="AE314">
        <v>1.1265340136138569E-4</v>
      </c>
    </row>
    <row r="315" spans="29:31" x14ac:dyDescent="0.45">
      <c r="AC315" t="s">
        <v>19</v>
      </c>
      <c r="AD315" t="s">
        <v>387</v>
      </c>
      <c r="AE315">
        <v>1.1240441287036447E-4</v>
      </c>
    </row>
    <row r="316" spans="29:31" x14ac:dyDescent="0.45">
      <c r="AC316" t="s">
        <v>19</v>
      </c>
      <c r="AD316" t="s">
        <v>388</v>
      </c>
      <c r="AE316">
        <v>1.1214575867705207E-4</v>
      </c>
    </row>
    <row r="317" spans="29:31" x14ac:dyDescent="0.45">
      <c r="AC317" t="s">
        <v>19</v>
      </c>
      <c r="AD317" t="s">
        <v>389</v>
      </c>
      <c r="AE317">
        <v>1.1222463080774823E-4</v>
      </c>
    </row>
    <row r="318" spans="29:31" x14ac:dyDescent="0.45">
      <c r="AC318" t="s">
        <v>19</v>
      </c>
      <c r="AD318" t="s">
        <v>390</v>
      </c>
      <c r="AE318">
        <v>1.1227218606302091E-4</v>
      </c>
    </row>
    <row r="319" spans="29:31" x14ac:dyDescent="0.45">
      <c r="AC319" t="s">
        <v>19</v>
      </c>
      <c r="AD319" t="s">
        <v>391</v>
      </c>
      <c r="AE319">
        <v>1.1318656149976809E-4</v>
      </c>
    </row>
    <row r="320" spans="29:31" x14ac:dyDescent="0.45">
      <c r="AC320" t="s">
        <v>19</v>
      </c>
      <c r="AD320" t="s">
        <v>392</v>
      </c>
      <c r="AE320">
        <v>1.1406266075544213E-4</v>
      </c>
    </row>
    <row r="321" spans="29:31" x14ac:dyDescent="0.45">
      <c r="AC321" t="s">
        <v>19</v>
      </c>
      <c r="AD321" t="s">
        <v>393</v>
      </c>
      <c r="AE321">
        <v>1.1463216393443942E-4</v>
      </c>
    </row>
    <row r="322" spans="29:31" x14ac:dyDescent="0.45">
      <c r="AC322" t="s">
        <v>19</v>
      </c>
      <c r="AD322" t="s">
        <v>394</v>
      </c>
      <c r="AE322">
        <v>1.1531146949146469E-4</v>
      </c>
    </row>
    <row r="323" spans="29:31" x14ac:dyDescent="0.45">
      <c r="AC323" t="s">
        <v>19</v>
      </c>
      <c r="AD323" t="s">
        <v>395</v>
      </c>
      <c r="AE323">
        <v>2.1387748584187277E-2</v>
      </c>
    </row>
    <row r="324" spans="29:31" x14ac:dyDescent="0.45">
      <c r="AC324" t="s">
        <v>19</v>
      </c>
      <c r="AD324" t="s">
        <v>396</v>
      </c>
      <c r="AE324">
        <v>3.5672261267078497E-3</v>
      </c>
    </row>
    <row r="325" spans="29:31" x14ac:dyDescent="0.45">
      <c r="AC325" t="s">
        <v>19</v>
      </c>
      <c r="AD325" t="s">
        <v>397</v>
      </c>
      <c r="AE325">
        <v>3.568305205711639E-3</v>
      </c>
    </row>
    <row r="326" spans="29:31" x14ac:dyDescent="0.45">
      <c r="AC326" t="s">
        <v>19</v>
      </c>
      <c r="AD326" t="s">
        <v>398</v>
      </c>
      <c r="AE326">
        <v>2.1316600509506053E-2</v>
      </c>
    </row>
    <row r="327" spans="29:31" x14ac:dyDescent="0.45">
      <c r="AC327" t="s">
        <v>19</v>
      </c>
      <c r="AD327" t="s">
        <v>399</v>
      </c>
      <c r="AE327">
        <v>1.0451339783806296E-2</v>
      </c>
    </row>
    <row r="328" spans="29:31" x14ac:dyDescent="0.45">
      <c r="AC328" t="s">
        <v>19</v>
      </c>
      <c r="AD328" t="s">
        <v>400</v>
      </c>
      <c r="AE328">
        <v>3.4731533259604605E-3</v>
      </c>
    </row>
    <row r="329" spans="29:31" x14ac:dyDescent="0.45">
      <c r="AC329" t="s">
        <v>19</v>
      </c>
      <c r="AD329" t="s">
        <v>401</v>
      </c>
      <c r="AE329">
        <v>3.4745884894366572E-3</v>
      </c>
    </row>
    <row r="330" spans="29:31" x14ac:dyDescent="0.45">
      <c r="AC330" t="s">
        <v>19</v>
      </c>
      <c r="AD330" t="s">
        <v>402</v>
      </c>
      <c r="AE330">
        <v>1.7679756582103724E-2</v>
      </c>
    </row>
    <row r="331" spans="29:31" x14ac:dyDescent="0.45">
      <c r="AC331" t="s">
        <v>19</v>
      </c>
      <c r="AD331" t="s">
        <v>403</v>
      </c>
      <c r="AE331">
        <v>2.0700732586758447E-2</v>
      </c>
    </row>
    <row r="332" spans="29:31" x14ac:dyDescent="0.45">
      <c r="AC332" t="s">
        <v>19</v>
      </c>
      <c r="AD332" t="s">
        <v>404</v>
      </c>
      <c r="AE332">
        <v>3.452575381910611E-3</v>
      </c>
    </row>
    <row r="333" spans="29:31" x14ac:dyDescent="0.45">
      <c r="AC333" t="s">
        <v>19</v>
      </c>
      <c r="AD333" t="s">
        <v>405</v>
      </c>
      <c r="AE333">
        <v>3.4535021294462907E-3</v>
      </c>
    </row>
    <row r="334" spans="29:31" x14ac:dyDescent="0.45">
      <c r="AC334" t="s">
        <v>19</v>
      </c>
      <c r="AD334" t="s">
        <v>406</v>
      </c>
      <c r="AE334">
        <v>2.0623439445188577E-2</v>
      </c>
    </row>
    <row r="335" spans="29:31" x14ac:dyDescent="0.45">
      <c r="AC335" t="s">
        <v>19</v>
      </c>
      <c r="AD335" t="s">
        <v>407</v>
      </c>
      <c r="AE335">
        <v>1.0111045051161569E-2</v>
      </c>
    </row>
    <row r="336" spans="29:31" x14ac:dyDescent="0.45">
      <c r="AC336" t="s">
        <v>19</v>
      </c>
      <c r="AD336" t="s">
        <v>408</v>
      </c>
      <c r="AE336">
        <v>3.3624407749047467E-3</v>
      </c>
    </row>
    <row r="337" spans="29:31" x14ac:dyDescent="0.45">
      <c r="AC337" t="s">
        <v>19</v>
      </c>
      <c r="AD337" t="s">
        <v>409</v>
      </c>
      <c r="AE337">
        <v>3.3637788947299399E-3</v>
      </c>
    </row>
    <row r="338" spans="29:31" x14ac:dyDescent="0.45">
      <c r="AC338" t="s">
        <v>19</v>
      </c>
      <c r="AD338" t="s">
        <v>410</v>
      </c>
      <c r="AE338">
        <v>1.7106455689490346E-2</v>
      </c>
    </row>
    <row r="339" spans="29:31" x14ac:dyDescent="0.45">
      <c r="AC339" t="s">
        <v>19</v>
      </c>
      <c r="AD339" t="s">
        <v>411</v>
      </c>
      <c r="AE339">
        <v>2.1400161656032014E-2</v>
      </c>
    </row>
    <row r="340" spans="29:31" x14ac:dyDescent="0.45">
      <c r="AC340" t="s">
        <v>19</v>
      </c>
      <c r="AD340" t="s">
        <v>412</v>
      </c>
      <c r="AE340">
        <v>3.5695159944076986E-3</v>
      </c>
    </row>
    <row r="341" spans="29:31" x14ac:dyDescent="0.45">
      <c r="AC341" t="s">
        <v>19</v>
      </c>
      <c r="AD341" t="s">
        <v>413</v>
      </c>
      <c r="AE341">
        <v>3.5692561803301113E-3</v>
      </c>
    </row>
    <row r="342" spans="29:31" x14ac:dyDescent="0.45">
      <c r="AC342" t="s">
        <v>19</v>
      </c>
      <c r="AD342" t="s">
        <v>414</v>
      </c>
      <c r="AE342">
        <v>2.1303165560283676E-2</v>
      </c>
    </row>
    <row r="343" spans="29:31" x14ac:dyDescent="0.45">
      <c r="AC343" t="s">
        <v>19</v>
      </c>
      <c r="AD343" t="s">
        <v>415</v>
      </c>
      <c r="AE343">
        <v>1.0451353310956653E-2</v>
      </c>
    </row>
    <row r="344" spans="29:31" x14ac:dyDescent="0.45">
      <c r="AC344" t="s">
        <v>19</v>
      </c>
      <c r="AD344" t="s">
        <v>416</v>
      </c>
      <c r="AE344">
        <v>3.4750267952056049E-3</v>
      </c>
    </row>
    <row r="345" spans="29:31" x14ac:dyDescent="0.45">
      <c r="AC345" t="s">
        <v>19</v>
      </c>
      <c r="AD345" t="s">
        <v>417</v>
      </c>
      <c r="AE345">
        <v>3.4761688945883326E-3</v>
      </c>
    </row>
    <row r="346" spans="29:31" x14ac:dyDescent="0.45">
      <c r="AC346" t="s">
        <v>19</v>
      </c>
      <c r="AD346" t="s">
        <v>418</v>
      </c>
      <c r="AE346">
        <v>1.7679452426616876E-2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0F793-70B9-4F27-B4F8-737E7BB6A152}">
  <dimension ref="A9:AN63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105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124</v>
      </c>
      <c r="K10" t="s">
        <v>248</v>
      </c>
      <c r="L10" t="s">
        <v>30</v>
      </c>
      <c r="N10" t="s">
        <v>13</v>
      </c>
      <c r="O10" t="s">
        <v>124</v>
      </c>
      <c r="P10" t="s">
        <v>248</v>
      </c>
      <c r="Q10" t="s">
        <v>30</v>
      </c>
      <c r="S10" t="s">
        <v>13</v>
      </c>
      <c r="T10" t="s">
        <v>124</v>
      </c>
      <c r="U10" t="s">
        <v>248</v>
      </c>
      <c r="V10" t="s">
        <v>30</v>
      </c>
      <c r="X10" t="s">
        <v>421</v>
      </c>
      <c r="Y10" t="s">
        <v>248</v>
      </c>
      <c r="Z10" t="s">
        <v>124</v>
      </c>
      <c r="AA10" t="s">
        <v>13</v>
      </c>
      <c r="AC10" t="s">
        <v>13</v>
      </c>
      <c r="AD10" t="s">
        <v>124</v>
      </c>
      <c r="AE10" t="s">
        <v>248</v>
      </c>
      <c r="AG10" t="s">
        <v>13</v>
      </c>
      <c r="AH10" t="s">
        <v>124</v>
      </c>
      <c r="AI10" t="s">
        <v>427</v>
      </c>
      <c r="AK10" t="s">
        <v>47</v>
      </c>
      <c r="AL10" t="s">
        <v>124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430</v>
      </c>
      <c r="F11" t="s">
        <v>154</v>
      </c>
      <c r="G11" t="s">
        <v>155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3.2023983738383797E-2</v>
      </c>
      <c r="Q11" t="s">
        <v>251</v>
      </c>
      <c r="S11" t="s">
        <v>420</v>
      </c>
      <c r="T11" t="s">
        <v>250</v>
      </c>
      <c r="U11">
        <v>1.7877727916413823E-2</v>
      </c>
      <c r="V11" t="s">
        <v>251</v>
      </c>
      <c r="X11">
        <v>2.1232876712328767E-2</v>
      </c>
      <c r="Y11">
        <v>4.5420116185598634E-3</v>
      </c>
      <c r="Z11" t="s">
        <v>250</v>
      </c>
      <c r="AA11" t="s">
        <v>25</v>
      </c>
      <c r="AC11" t="s">
        <v>22</v>
      </c>
      <c r="AD11" t="s">
        <v>250</v>
      </c>
      <c r="AE11">
        <v>2.5333277982719261E-2</v>
      </c>
      <c r="AG11" t="s">
        <v>99</v>
      </c>
      <c r="AH11" t="s">
        <v>250</v>
      </c>
      <c r="AI11">
        <v>0.14041549864646474</v>
      </c>
    </row>
    <row r="12" spans="1:40" x14ac:dyDescent="0.45">
      <c r="C12" t="s">
        <v>156</v>
      </c>
      <c r="D12" t="s">
        <v>155</v>
      </c>
      <c r="E12" t="s">
        <v>431</v>
      </c>
      <c r="F12" t="s">
        <v>158</v>
      </c>
      <c r="G12" t="s">
        <v>155</v>
      </c>
      <c r="I12" t="s">
        <v>249</v>
      </c>
      <c r="J12" t="s">
        <v>252</v>
      </c>
      <c r="K12">
        <v>2.1566995796228287E-3</v>
      </c>
      <c r="L12" t="s">
        <v>251</v>
      </c>
      <c r="N12" t="s">
        <v>419</v>
      </c>
      <c r="O12" t="s">
        <v>252</v>
      </c>
      <c r="P12">
        <v>4.6753520212145542E-3</v>
      </c>
      <c r="Q12" t="s">
        <v>251</v>
      </c>
      <c r="S12" t="s">
        <v>420</v>
      </c>
      <c r="T12" t="s">
        <v>252</v>
      </c>
      <c r="U12">
        <v>2.9400777924750939E-3</v>
      </c>
      <c r="V12" t="s">
        <v>251</v>
      </c>
      <c r="X12">
        <v>3.5388127853881279E-3</v>
      </c>
      <c r="Y12">
        <v>5.240782636799844E-3</v>
      </c>
      <c r="Z12" t="s">
        <v>252</v>
      </c>
      <c r="AA12" t="s">
        <v>25</v>
      </c>
      <c r="AC12" t="s">
        <v>22</v>
      </c>
      <c r="AD12" t="s">
        <v>252</v>
      </c>
      <c r="AE12">
        <v>4.2213820286558E-3</v>
      </c>
      <c r="AG12" t="s">
        <v>99</v>
      </c>
      <c r="AH12" t="s">
        <v>252</v>
      </c>
      <c r="AI12">
        <v>0.10695568022603918</v>
      </c>
    </row>
    <row r="13" spans="1:40" x14ac:dyDescent="0.45">
      <c r="C13" t="s">
        <v>159</v>
      </c>
      <c r="D13" t="s">
        <v>160</v>
      </c>
      <c r="E13" t="s">
        <v>432</v>
      </c>
      <c r="F13" t="s">
        <v>158</v>
      </c>
      <c r="G13" t="s">
        <v>155</v>
      </c>
      <c r="I13" t="s">
        <v>249</v>
      </c>
      <c r="J13" t="s">
        <v>253</v>
      </c>
      <c r="K13">
        <v>5.7351265280208997E-3</v>
      </c>
      <c r="L13" t="s">
        <v>251</v>
      </c>
      <c r="N13" t="s">
        <v>419</v>
      </c>
      <c r="O13" t="s">
        <v>253</v>
      </c>
      <c r="P13">
        <v>4.1117343163884672E-3</v>
      </c>
      <c r="Q13" t="s">
        <v>251</v>
      </c>
      <c r="S13" t="s">
        <v>420</v>
      </c>
      <c r="T13" t="s">
        <v>253</v>
      </c>
      <c r="U13">
        <v>2.9873619792351001E-3</v>
      </c>
      <c r="V13" t="s">
        <v>251</v>
      </c>
      <c r="X13">
        <v>3.5388127853881279E-3</v>
      </c>
      <c r="Y13">
        <v>5.9087255218821738E-3</v>
      </c>
      <c r="Z13" t="s">
        <v>253</v>
      </c>
      <c r="AA13" t="s">
        <v>25</v>
      </c>
      <c r="AC13" t="s">
        <v>22</v>
      </c>
      <c r="AD13" t="s">
        <v>253</v>
      </c>
      <c r="AE13">
        <v>4.1846049727618205E-3</v>
      </c>
      <c r="AG13" t="s">
        <v>99</v>
      </c>
      <c r="AH13" t="s">
        <v>253</v>
      </c>
      <c r="AI13">
        <v>0.10918176237600519</v>
      </c>
    </row>
    <row r="14" spans="1:40" x14ac:dyDescent="0.45">
      <c r="C14" t="s">
        <v>163</v>
      </c>
      <c r="D14" t="s">
        <v>164</v>
      </c>
      <c r="E14" t="s">
        <v>433</v>
      </c>
      <c r="F14" t="s">
        <v>158</v>
      </c>
      <c r="G14" t="s">
        <v>155</v>
      </c>
      <c r="I14" t="s">
        <v>249</v>
      </c>
      <c r="J14" t="s">
        <v>254</v>
      </c>
      <c r="K14">
        <v>5.6741174349457101E-2</v>
      </c>
      <c r="L14" t="s">
        <v>251</v>
      </c>
      <c r="N14" t="s">
        <v>419</v>
      </c>
      <c r="O14" t="s">
        <v>254</v>
      </c>
      <c r="P14">
        <v>1.8148492540508484E-2</v>
      </c>
      <c r="Q14" t="s">
        <v>251</v>
      </c>
      <c r="S14" t="s">
        <v>420</v>
      </c>
      <c r="T14" t="s">
        <v>254</v>
      </c>
      <c r="U14">
        <v>1.9091430054603994E-2</v>
      </c>
      <c r="V14" t="s">
        <v>251</v>
      </c>
      <c r="X14">
        <v>2.1232876712328767E-2</v>
      </c>
      <c r="Y14">
        <v>2.6758819580836844E-2</v>
      </c>
      <c r="Z14" t="s">
        <v>254</v>
      </c>
      <c r="AA14" t="s">
        <v>25</v>
      </c>
      <c r="AC14" t="s">
        <v>22</v>
      </c>
      <c r="AD14" t="s">
        <v>254</v>
      </c>
      <c r="AE14">
        <v>2.3058390122999334E-2</v>
      </c>
      <c r="AG14" t="s">
        <v>99</v>
      </c>
      <c r="AH14" t="s">
        <v>254</v>
      </c>
      <c r="AI14">
        <v>0.17850472951247887</v>
      </c>
    </row>
    <row r="15" spans="1:40" x14ac:dyDescent="0.45">
      <c r="C15" t="s">
        <v>166</v>
      </c>
      <c r="D15" t="s">
        <v>434</v>
      </c>
      <c r="E15" t="s">
        <v>435</v>
      </c>
      <c r="F15" t="s">
        <v>171</v>
      </c>
      <c r="G15" t="s">
        <v>155</v>
      </c>
      <c r="I15" t="s">
        <v>249</v>
      </c>
      <c r="J15" t="s">
        <v>255</v>
      </c>
      <c r="K15">
        <v>2.6611029620498401E-2</v>
      </c>
      <c r="L15" t="s">
        <v>251</v>
      </c>
      <c r="N15" t="s">
        <v>419</v>
      </c>
      <c r="O15" t="s">
        <v>255</v>
      </c>
      <c r="P15">
        <v>8.3608854468542309E-3</v>
      </c>
      <c r="Q15" t="s">
        <v>251</v>
      </c>
      <c r="S15" t="s">
        <v>420</v>
      </c>
      <c r="T15" t="s">
        <v>255</v>
      </c>
      <c r="U15">
        <v>1.057631646936439E-2</v>
      </c>
      <c r="V15" t="s">
        <v>251</v>
      </c>
      <c r="X15">
        <v>1.0616438356164383E-2</v>
      </c>
      <c r="Y15">
        <v>1.6893816970390073E-2</v>
      </c>
      <c r="Z15" t="s">
        <v>255</v>
      </c>
      <c r="AA15" t="s">
        <v>25</v>
      </c>
      <c r="AC15" t="s">
        <v>22</v>
      </c>
      <c r="AD15" t="s">
        <v>255</v>
      </c>
      <c r="AE15">
        <v>8.2765194171414147E-3</v>
      </c>
      <c r="AG15" t="s">
        <v>99</v>
      </c>
      <c r="AH15" t="s">
        <v>255</v>
      </c>
      <c r="AI15">
        <v>0.11116120742126734</v>
      </c>
    </row>
    <row r="16" spans="1:40" x14ac:dyDescent="0.45">
      <c r="C16" t="s">
        <v>158</v>
      </c>
      <c r="D16" t="s">
        <v>436</v>
      </c>
      <c r="E16" t="s">
        <v>437</v>
      </c>
      <c r="F16" t="s">
        <v>162</v>
      </c>
      <c r="G16" t="s">
        <v>155</v>
      </c>
      <c r="I16" t="s">
        <v>249</v>
      </c>
      <c r="J16" t="s">
        <v>256</v>
      </c>
      <c r="K16">
        <v>6.8186755141492004E-3</v>
      </c>
      <c r="L16" t="s">
        <v>251</v>
      </c>
      <c r="N16" t="s">
        <v>419</v>
      </c>
      <c r="O16" t="s">
        <v>256</v>
      </c>
      <c r="P16">
        <v>3.4758049043377842E-3</v>
      </c>
      <c r="Q16" t="s">
        <v>251</v>
      </c>
      <c r="S16" t="s">
        <v>420</v>
      </c>
      <c r="T16" t="s">
        <v>256</v>
      </c>
      <c r="U16">
        <v>3.6162519572219168E-3</v>
      </c>
      <c r="V16" t="s">
        <v>251</v>
      </c>
      <c r="X16">
        <v>3.5388127853881279E-3</v>
      </c>
      <c r="Y16">
        <v>6.8849497385409693E-3</v>
      </c>
      <c r="Z16" t="s">
        <v>256</v>
      </c>
      <c r="AA16" t="s">
        <v>25</v>
      </c>
      <c r="AC16" t="s">
        <v>22</v>
      </c>
      <c r="AD16" t="s">
        <v>256</v>
      </c>
      <c r="AE16">
        <v>2.6039599917713476E-3</v>
      </c>
      <c r="AG16" t="s">
        <v>99</v>
      </c>
      <c r="AH16" t="s">
        <v>256</v>
      </c>
      <c r="AI16">
        <v>9.0743392615567409E-2</v>
      </c>
    </row>
    <row r="17" spans="3:35" x14ac:dyDescent="0.45">
      <c r="C17" t="s">
        <v>169</v>
      </c>
      <c r="D17" t="s">
        <v>438</v>
      </c>
      <c r="E17" t="s">
        <v>439</v>
      </c>
      <c r="F17" t="s">
        <v>162</v>
      </c>
      <c r="G17" t="s">
        <v>155</v>
      </c>
      <c r="I17" t="s">
        <v>249</v>
      </c>
      <c r="J17" t="s">
        <v>257</v>
      </c>
      <c r="K17">
        <v>4.8522002634973837E-3</v>
      </c>
      <c r="L17" t="s">
        <v>251</v>
      </c>
      <c r="N17" t="s">
        <v>419</v>
      </c>
      <c r="O17" t="s">
        <v>257</v>
      </c>
      <c r="P17">
        <v>3.7771415098806268E-3</v>
      </c>
      <c r="Q17" t="s">
        <v>251</v>
      </c>
      <c r="S17" t="s">
        <v>420</v>
      </c>
      <c r="T17" t="s">
        <v>257</v>
      </c>
      <c r="U17">
        <v>3.5228871449100416E-3</v>
      </c>
      <c r="V17" t="s">
        <v>251</v>
      </c>
      <c r="X17">
        <v>3.5388127853881279E-3</v>
      </c>
      <c r="Y17">
        <v>5.3435430806586613E-3</v>
      </c>
      <c r="Z17" t="s">
        <v>257</v>
      </c>
      <c r="AA17" t="s">
        <v>25</v>
      </c>
      <c r="AC17" t="s">
        <v>22</v>
      </c>
      <c r="AD17" t="s">
        <v>257</v>
      </c>
      <c r="AE17">
        <v>2.61882807267698E-3</v>
      </c>
      <c r="AG17" t="s">
        <v>99</v>
      </c>
      <c r="AH17" t="s">
        <v>257</v>
      </c>
      <c r="AI17">
        <v>0.1011496097588569</v>
      </c>
    </row>
    <row r="18" spans="3:35" x14ac:dyDescent="0.45">
      <c r="C18" t="s">
        <v>171</v>
      </c>
      <c r="D18" t="s">
        <v>440</v>
      </c>
      <c r="E18" t="s">
        <v>441</v>
      </c>
      <c r="F18" t="s">
        <v>162</v>
      </c>
      <c r="G18" t="s">
        <v>155</v>
      </c>
      <c r="I18" t="s">
        <v>249</v>
      </c>
      <c r="J18" t="s">
        <v>258</v>
      </c>
      <c r="K18">
        <v>1.6361687235408717E-3</v>
      </c>
      <c r="L18" t="s">
        <v>251</v>
      </c>
      <c r="N18" t="s">
        <v>419</v>
      </c>
      <c r="O18" t="s">
        <v>258</v>
      </c>
      <c r="P18">
        <v>2.4660282460977644E-2</v>
      </c>
      <c r="Q18" t="s">
        <v>251</v>
      </c>
      <c r="S18" t="s">
        <v>420</v>
      </c>
      <c r="T18" t="s">
        <v>258</v>
      </c>
      <c r="U18">
        <v>1.5757336683578368E-2</v>
      </c>
      <c r="V18" t="s">
        <v>251</v>
      </c>
      <c r="X18">
        <v>1.7694063926940638E-2</v>
      </c>
      <c r="Y18">
        <v>1.3358857701646654E-2</v>
      </c>
      <c r="Z18" t="s">
        <v>258</v>
      </c>
      <c r="AA18" t="s">
        <v>25</v>
      </c>
      <c r="AC18" t="s">
        <v>22</v>
      </c>
      <c r="AD18" t="s">
        <v>258</v>
      </c>
      <c r="AE18">
        <v>1.7530475484761106E-2</v>
      </c>
      <c r="AG18" t="s">
        <v>99</v>
      </c>
      <c r="AH18" t="s">
        <v>258</v>
      </c>
      <c r="AI18">
        <v>0.18108104719035567</v>
      </c>
    </row>
    <row r="19" spans="3:35" x14ac:dyDescent="0.45">
      <c r="C19" t="s">
        <v>162</v>
      </c>
      <c r="D19" t="s">
        <v>442</v>
      </c>
      <c r="E19" t="s">
        <v>443</v>
      </c>
      <c r="F19" t="s">
        <v>174</v>
      </c>
      <c r="G19" t="s">
        <v>155</v>
      </c>
      <c r="I19" t="s">
        <v>249</v>
      </c>
      <c r="J19" t="s">
        <v>259</v>
      </c>
      <c r="K19">
        <v>0</v>
      </c>
      <c r="L19" t="s">
        <v>251</v>
      </c>
      <c r="N19" t="s">
        <v>419</v>
      </c>
      <c r="O19" t="s">
        <v>259</v>
      </c>
      <c r="P19">
        <v>2.6859085503510967E-2</v>
      </c>
      <c r="Q19" t="s">
        <v>251</v>
      </c>
      <c r="S19" t="s">
        <v>420</v>
      </c>
      <c r="T19" t="s">
        <v>259</v>
      </c>
      <c r="U19">
        <v>1.5570388743208208E-2</v>
      </c>
      <c r="V19" t="s">
        <v>251</v>
      </c>
      <c r="X19">
        <v>1.9178082191780823E-2</v>
      </c>
      <c r="Y19">
        <v>4.1024621070863279E-3</v>
      </c>
      <c r="Z19" t="s">
        <v>259</v>
      </c>
      <c r="AA19" t="s">
        <v>25</v>
      </c>
      <c r="AC19" t="s">
        <v>22</v>
      </c>
      <c r="AD19" t="s">
        <v>259</v>
      </c>
      <c r="AE19">
        <v>2.161888624949352E-2</v>
      </c>
      <c r="AG19" t="s">
        <v>99</v>
      </c>
      <c r="AH19" t="s">
        <v>259</v>
      </c>
      <c r="AI19">
        <v>6.725101334592587E-2</v>
      </c>
    </row>
    <row r="20" spans="3:35" x14ac:dyDescent="0.45">
      <c r="C20" t="s">
        <v>174</v>
      </c>
      <c r="D20" t="s">
        <v>444</v>
      </c>
      <c r="E20" t="s">
        <v>445</v>
      </c>
      <c r="F20" t="s">
        <v>178</v>
      </c>
      <c r="G20" t="s">
        <v>155</v>
      </c>
      <c r="I20" t="s">
        <v>249</v>
      </c>
      <c r="J20" t="s">
        <v>260</v>
      </c>
      <c r="K20">
        <v>1.339658701922193E-3</v>
      </c>
      <c r="L20" t="s">
        <v>251</v>
      </c>
      <c r="N20" t="s">
        <v>419</v>
      </c>
      <c r="O20" t="s">
        <v>260</v>
      </c>
      <c r="P20">
        <v>3.8927029331353872E-3</v>
      </c>
      <c r="Q20" t="s">
        <v>251</v>
      </c>
      <c r="S20" t="s">
        <v>420</v>
      </c>
      <c r="T20" t="s">
        <v>260</v>
      </c>
      <c r="U20">
        <v>2.5524247052464877E-3</v>
      </c>
      <c r="V20" t="s">
        <v>251</v>
      </c>
      <c r="X20">
        <v>3.1963470319634705E-3</v>
      </c>
      <c r="Y20">
        <v>4.7336101235611484E-3</v>
      </c>
      <c r="Z20" t="s">
        <v>260</v>
      </c>
      <c r="AA20" t="s">
        <v>25</v>
      </c>
      <c r="AC20" t="s">
        <v>22</v>
      </c>
      <c r="AD20" t="s">
        <v>260</v>
      </c>
      <c r="AE20">
        <v>3.6358344534236685E-3</v>
      </c>
      <c r="AG20" t="s">
        <v>99</v>
      </c>
      <c r="AH20" t="s">
        <v>260</v>
      </c>
      <c r="AI20">
        <v>6.2737773474196734E-2</v>
      </c>
    </row>
    <row r="21" spans="3:35" x14ac:dyDescent="0.45">
      <c r="C21" t="s">
        <v>176</v>
      </c>
      <c r="E21" t="s">
        <v>446</v>
      </c>
      <c r="G21" t="s">
        <v>155</v>
      </c>
      <c r="I21" t="s">
        <v>249</v>
      </c>
      <c r="J21" t="s">
        <v>261</v>
      </c>
      <c r="K21">
        <v>4.4976164179348485E-3</v>
      </c>
      <c r="L21" t="s">
        <v>251</v>
      </c>
      <c r="N21" t="s">
        <v>419</v>
      </c>
      <c r="O21" t="s">
        <v>261</v>
      </c>
      <c r="P21">
        <v>3.4166545041474372E-3</v>
      </c>
      <c r="Q21" t="s">
        <v>251</v>
      </c>
      <c r="S21" t="s">
        <v>420</v>
      </c>
      <c r="T21" t="s">
        <v>261</v>
      </c>
      <c r="U21">
        <v>2.5094079632623409E-3</v>
      </c>
      <c r="V21" t="s">
        <v>251</v>
      </c>
      <c r="X21">
        <v>3.1963470319634705E-3</v>
      </c>
      <c r="Y21">
        <v>5.3369133746032542E-3</v>
      </c>
      <c r="Z21" t="s">
        <v>261</v>
      </c>
      <c r="AA21" t="s">
        <v>25</v>
      </c>
      <c r="AC21" t="s">
        <v>22</v>
      </c>
      <c r="AD21" t="s">
        <v>261</v>
      </c>
      <c r="AE21">
        <v>3.6344703546546822E-3</v>
      </c>
      <c r="AG21" t="s">
        <v>99</v>
      </c>
      <c r="AH21" t="s">
        <v>261</v>
      </c>
      <c r="AI21">
        <v>5.5388514883157214E-2</v>
      </c>
    </row>
    <row r="22" spans="3:35" x14ac:dyDescent="0.45">
      <c r="C22" t="s">
        <v>178</v>
      </c>
      <c r="E22" t="s">
        <v>447</v>
      </c>
      <c r="G22" t="s">
        <v>155</v>
      </c>
      <c r="I22" t="s">
        <v>249</v>
      </c>
      <c r="J22" t="s">
        <v>262</v>
      </c>
      <c r="K22">
        <v>4.7312849365851707E-2</v>
      </c>
      <c r="L22" t="s">
        <v>251</v>
      </c>
      <c r="N22" t="s">
        <v>419</v>
      </c>
      <c r="O22" t="s">
        <v>262</v>
      </c>
      <c r="P22">
        <v>1.5332261546275745E-2</v>
      </c>
      <c r="Q22" t="s">
        <v>251</v>
      </c>
      <c r="S22" t="s">
        <v>420</v>
      </c>
      <c r="T22" t="s">
        <v>262</v>
      </c>
      <c r="U22">
        <v>1.5549107374137295E-2</v>
      </c>
      <c r="V22" t="s">
        <v>251</v>
      </c>
      <c r="X22">
        <v>1.9178082191780823E-2</v>
      </c>
      <c r="Y22">
        <v>2.4169256395594564E-2</v>
      </c>
      <c r="Z22" t="s">
        <v>262</v>
      </c>
      <c r="AA22" t="s">
        <v>25</v>
      </c>
      <c r="AC22" t="s">
        <v>22</v>
      </c>
      <c r="AD22" t="s">
        <v>262</v>
      </c>
      <c r="AE22">
        <v>2.0108209408854633E-2</v>
      </c>
      <c r="AG22" t="s">
        <v>99</v>
      </c>
      <c r="AH22" t="s">
        <v>262</v>
      </c>
      <c r="AI22">
        <v>0.11604443548905641</v>
      </c>
    </row>
    <row r="23" spans="3:35" x14ac:dyDescent="0.45">
      <c r="E23" t="s">
        <v>448</v>
      </c>
      <c r="G23" t="s">
        <v>155</v>
      </c>
      <c r="I23" t="s">
        <v>249</v>
      </c>
      <c r="J23" t="s">
        <v>263</v>
      </c>
      <c r="K23">
        <v>2.1487248563208199E-2</v>
      </c>
      <c r="L23" t="s">
        <v>251</v>
      </c>
      <c r="N23" t="s">
        <v>419</v>
      </c>
      <c r="O23" t="s">
        <v>263</v>
      </c>
      <c r="P23">
        <v>6.9159360614657866E-3</v>
      </c>
      <c r="Q23" t="s">
        <v>251</v>
      </c>
      <c r="S23" t="s">
        <v>420</v>
      </c>
      <c r="T23" t="s">
        <v>263</v>
      </c>
      <c r="U23">
        <v>8.3281989093384225E-3</v>
      </c>
      <c r="V23" t="s">
        <v>251</v>
      </c>
      <c r="X23">
        <v>9.5890410958904115E-3</v>
      </c>
      <c r="Y23">
        <v>1.5258931457126519E-2</v>
      </c>
      <c r="Z23" t="s">
        <v>263</v>
      </c>
      <c r="AA23" t="s">
        <v>25</v>
      </c>
      <c r="AC23" t="s">
        <v>22</v>
      </c>
      <c r="AD23" t="s">
        <v>263</v>
      </c>
      <c r="AE23">
        <v>7.3804323982535015E-3</v>
      </c>
      <c r="AG23" t="s">
        <v>99</v>
      </c>
      <c r="AH23" t="s">
        <v>263</v>
      </c>
      <c r="AI23">
        <v>0.11196228135959285</v>
      </c>
    </row>
    <row r="24" spans="3:35" x14ac:dyDescent="0.45">
      <c r="E24" t="s">
        <v>449</v>
      </c>
      <c r="G24" t="s">
        <v>155</v>
      </c>
      <c r="I24" t="s">
        <v>249</v>
      </c>
      <c r="J24" t="s">
        <v>264</v>
      </c>
      <c r="K24">
        <v>5.3228780119697807E-3</v>
      </c>
      <c r="L24" t="s">
        <v>251</v>
      </c>
      <c r="N24" t="s">
        <v>419</v>
      </c>
      <c r="O24" t="s">
        <v>264</v>
      </c>
      <c r="P24">
        <v>2.8972208796751299E-3</v>
      </c>
      <c r="Q24" t="s">
        <v>251</v>
      </c>
      <c r="S24" t="s">
        <v>420</v>
      </c>
      <c r="T24" t="s">
        <v>264</v>
      </c>
      <c r="U24">
        <v>2.8530080087175195E-3</v>
      </c>
      <c r="V24" t="s">
        <v>251</v>
      </c>
      <c r="X24">
        <v>3.1963470319634705E-3</v>
      </c>
      <c r="Y24">
        <v>6.2186642799724884E-3</v>
      </c>
      <c r="Z24" t="s">
        <v>264</v>
      </c>
      <c r="AA24" t="s">
        <v>25</v>
      </c>
      <c r="AC24" t="s">
        <v>22</v>
      </c>
      <c r="AD24" t="s">
        <v>264</v>
      </c>
      <c r="AE24">
        <v>2.3245185630050126E-3</v>
      </c>
      <c r="AG24" t="s">
        <v>99</v>
      </c>
      <c r="AH24" t="s">
        <v>264</v>
      </c>
      <c r="AI24">
        <v>6.2711363706509315E-2</v>
      </c>
    </row>
    <row r="25" spans="3:35" x14ac:dyDescent="0.45">
      <c r="E25" t="s">
        <v>450</v>
      </c>
      <c r="G25" t="s">
        <v>155</v>
      </c>
      <c r="I25" t="s">
        <v>249</v>
      </c>
      <c r="J25" t="s">
        <v>265</v>
      </c>
      <c r="K25">
        <v>3.6504304492904721E-3</v>
      </c>
      <c r="L25" t="s">
        <v>251</v>
      </c>
      <c r="N25" t="s">
        <v>419</v>
      </c>
      <c r="O25" t="s">
        <v>265</v>
      </c>
      <c r="P25">
        <v>3.1606032717252232E-3</v>
      </c>
      <c r="Q25" t="s">
        <v>251</v>
      </c>
      <c r="S25" t="s">
        <v>420</v>
      </c>
      <c r="T25" t="s">
        <v>265</v>
      </c>
      <c r="U25">
        <v>2.841370638053637E-3</v>
      </c>
      <c r="V25" t="s">
        <v>251</v>
      </c>
      <c r="X25">
        <v>3.1963470319634705E-3</v>
      </c>
      <c r="Y25">
        <v>4.8264260083368555E-3</v>
      </c>
      <c r="Z25" t="s">
        <v>265</v>
      </c>
      <c r="AA25" t="s">
        <v>25</v>
      </c>
      <c r="AC25" t="s">
        <v>22</v>
      </c>
      <c r="AD25" t="s">
        <v>265</v>
      </c>
      <c r="AE25">
        <v>2.3297486010799904E-3</v>
      </c>
      <c r="AG25" t="s">
        <v>99</v>
      </c>
      <c r="AH25" t="s">
        <v>265</v>
      </c>
      <c r="AI25">
        <v>5.8752555846999899E-2</v>
      </c>
    </row>
    <row r="26" spans="3:35" x14ac:dyDescent="0.45">
      <c r="E26" t="s">
        <v>451</v>
      </c>
      <c r="G26" t="s">
        <v>155</v>
      </c>
      <c r="I26" t="s">
        <v>249</v>
      </c>
      <c r="J26" t="s">
        <v>266</v>
      </c>
      <c r="K26">
        <v>1.0742479766925439E-3</v>
      </c>
      <c r="L26" t="s">
        <v>251</v>
      </c>
      <c r="N26" t="s">
        <v>419</v>
      </c>
      <c r="O26" t="s">
        <v>266</v>
      </c>
      <c r="P26">
        <v>2.1056926725522049E-2</v>
      </c>
      <c r="Q26" t="s">
        <v>251</v>
      </c>
      <c r="S26" t="s">
        <v>420</v>
      </c>
      <c r="T26" t="s">
        <v>266</v>
      </c>
      <c r="U26">
        <v>1.3771904585956271E-2</v>
      </c>
      <c r="V26" t="s">
        <v>251</v>
      </c>
      <c r="X26">
        <v>1.5981735159817351E-2</v>
      </c>
      <c r="Y26">
        <v>1.2066065020842141E-2</v>
      </c>
      <c r="Z26" t="s">
        <v>266</v>
      </c>
      <c r="AA26" t="s">
        <v>25</v>
      </c>
      <c r="AC26" t="s">
        <v>22</v>
      </c>
      <c r="AD26" t="s">
        <v>266</v>
      </c>
      <c r="AE26">
        <v>1.5517970444668863E-2</v>
      </c>
      <c r="AG26" t="s">
        <v>99</v>
      </c>
      <c r="AH26" t="s">
        <v>266</v>
      </c>
      <c r="AI26">
        <v>0.15352800830975277</v>
      </c>
    </row>
    <row r="27" spans="3:35" x14ac:dyDescent="0.45">
      <c r="E27" t="s">
        <v>452</v>
      </c>
      <c r="G27" t="s">
        <v>155</v>
      </c>
      <c r="I27" t="s">
        <v>249</v>
      </c>
      <c r="J27" t="s">
        <v>267</v>
      </c>
      <c r="K27">
        <v>0</v>
      </c>
      <c r="L27" t="s">
        <v>251</v>
      </c>
      <c r="N27" t="s">
        <v>419</v>
      </c>
      <c r="O27" t="s">
        <v>267</v>
      </c>
      <c r="P27">
        <v>2.8256257914633733E-2</v>
      </c>
      <c r="Q27" t="s">
        <v>251</v>
      </c>
      <c r="S27" t="s">
        <v>420</v>
      </c>
      <c r="T27" t="s">
        <v>267</v>
      </c>
      <c r="U27">
        <v>1.9682460027021023E-2</v>
      </c>
      <c r="V27" t="s">
        <v>251</v>
      </c>
      <c r="X27">
        <v>2.1232876712328767E-2</v>
      </c>
      <c r="Y27">
        <v>4.5420116185598634E-3</v>
      </c>
      <c r="Z27" t="s">
        <v>267</v>
      </c>
      <c r="AA27" t="s">
        <v>25</v>
      </c>
      <c r="AC27" t="s">
        <v>22</v>
      </c>
      <c r="AD27" t="s">
        <v>267</v>
      </c>
      <c r="AE27">
        <v>2.3711587136367566E-2</v>
      </c>
      <c r="AG27" t="s">
        <v>99</v>
      </c>
      <c r="AH27" t="s">
        <v>267</v>
      </c>
      <c r="AI27">
        <v>0.11638577900886826</v>
      </c>
    </row>
    <row r="28" spans="3:35" x14ac:dyDescent="0.45">
      <c r="E28" t="s">
        <v>453</v>
      </c>
      <c r="G28" t="s">
        <v>155</v>
      </c>
      <c r="I28" t="s">
        <v>249</v>
      </c>
      <c r="J28" t="s">
        <v>268</v>
      </c>
      <c r="K28">
        <v>3.8870564019590214E-4</v>
      </c>
      <c r="L28" t="s">
        <v>251</v>
      </c>
      <c r="N28" t="s">
        <v>419</v>
      </c>
      <c r="O28" t="s">
        <v>268</v>
      </c>
      <c r="P28">
        <v>4.3642596673502199E-3</v>
      </c>
      <c r="Q28" t="s">
        <v>251</v>
      </c>
      <c r="S28" t="s">
        <v>420</v>
      </c>
      <c r="T28" t="s">
        <v>268</v>
      </c>
      <c r="U28">
        <v>3.2677551220692386E-3</v>
      </c>
      <c r="V28" t="s">
        <v>251</v>
      </c>
      <c r="X28">
        <v>3.5388127853881279E-3</v>
      </c>
      <c r="Y28">
        <v>5.240782636799844E-3</v>
      </c>
      <c r="Z28" t="s">
        <v>268</v>
      </c>
      <c r="AA28" t="s">
        <v>25</v>
      </c>
      <c r="AC28" t="s">
        <v>22</v>
      </c>
      <c r="AD28" t="s">
        <v>268</v>
      </c>
      <c r="AE28">
        <v>3.9961661127941236E-3</v>
      </c>
      <c r="AG28" t="s">
        <v>99</v>
      </c>
      <c r="AH28" t="s">
        <v>268</v>
      </c>
      <c r="AI28">
        <v>9.82212681904302E-2</v>
      </c>
    </row>
    <row r="29" spans="3:35" x14ac:dyDescent="0.45">
      <c r="E29" t="s">
        <v>454</v>
      </c>
      <c r="G29" t="s">
        <v>155</v>
      </c>
      <c r="I29" t="s">
        <v>249</v>
      </c>
      <c r="J29" t="s">
        <v>269</v>
      </c>
      <c r="K29">
        <v>4.9796343443622004E-3</v>
      </c>
      <c r="L29" t="s">
        <v>251</v>
      </c>
      <c r="N29" t="s">
        <v>419</v>
      </c>
      <c r="O29" t="s">
        <v>269</v>
      </c>
      <c r="P29">
        <v>3.9802360242095422E-3</v>
      </c>
      <c r="Q29" t="s">
        <v>251</v>
      </c>
      <c r="S29" t="s">
        <v>420</v>
      </c>
      <c r="T29" t="s">
        <v>269</v>
      </c>
      <c r="U29">
        <v>3.2577080412417832E-3</v>
      </c>
      <c r="V29" t="s">
        <v>251</v>
      </c>
      <c r="X29">
        <v>3.5388127853881279E-3</v>
      </c>
      <c r="Y29">
        <v>5.9087255218821738E-3</v>
      </c>
      <c r="Z29" t="s">
        <v>269</v>
      </c>
      <c r="AA29" t="s">
        <v>25</v>
      </c>
      <c r="AC29" t="s">
        <v>22</v>
      </c>
      <c r="AD29" t="s">
        <v>269</v>
      </c>
      <c r="AE29">
        <v>3.9885176288667074E-3</v>
      </c>
      <c r="AG29" t="s">
        <v>99</v>
      </c>
      <c r="AH29" t="s">
        <v>269</v>
      </c>
      <c r="AI29">
        <v>6.8143564656164113E-2</v>
      </c>
    </row>
    <row r="30" spans="3:35" x14ac:dyDescent="0.45">
      <c r="E30" t="s">
        <v>455</v>
      </c>
      <c r="G30" t="s">
        <v>155</v>
      </c>
      <c r="I30" t="s">
        <v>249</v>
      </c>
      <c r="J30" t="s">
        <v>270</v>
      </c>
      <c r="K30">
        <v>5.1897645322585798E-2</v>
      </c>
      <c r="L30" t="s">
        <v>251</v>
      </c>
      <c r="N30" t="s">
        <v>419</v>
      </c>
      <c r="O30" t="s">
        <v>270</v>
      </c>
      <c r="P30">
        <v>1.8503689500717891E-2</v>
      </c>
      <c r="Q30" t="s">
        <v>251</v>
      </c>
      <c r="S30" t="s">
        <v>420</v>
      </c>
      <c r="T30" t="s">
        <v>270</v>
      </c>
      <c r="U30">
        <v>1.9330486528263999E-2</v>
      </c>
      <c r="V30" t="s">
        <v>251</v>
      </c>
      <c r="X30">
        <v>2.1232876712328767E-2</v>
      </c>
      <c r="Y30">
        <v>2.6758819580836844E-2</v>
      </c>
      <c r="Z30" t="s">
        <v>270</v>
      </c>
      <c r="AA30" t="s">
        <v>25</v>
      </c>
      <c r="AC30" t="s">
        <v>22</v>
      </c>
      <c r="AD30" t="s">
        <v>270</v>
      </c>
      <c r="AE30">
        <v>2.2135749263266054E-2</v>
      </c>
      <c r="AG30" t="s">
        <v>99</v>
      </c>
      <c r="AH30" t="s">
        <v>270</v>
      </c>
      <c r="AI30">
        <v>0.13173562310592568</v>
      </c>
    </row>
    <row r="31" spans="3:35" x14ac:dyDescent="0.45">
      <c r="E31" t="s">
        <v>456</v>
      </c>
      <c r="G31" t="s">
        <v>155</v>
      </c>
      <c r="I31" t="s">
        <v>249</v>
      </c>
      <c r="J31" t="s">
        <v>271</v>
      </c>
      <c r="K31">
        <v>2.3890633137586399E-2</v>
      </c>
      <c r="L31" t="s">
        <v>251</v>
      </c>
      <c r="N31" t="s">
        <v>419</v>
      </c>
      <c r="O31" t="s">
        <v>271</v>
      </c>
      <c r="P31">
        <v>8.4908130991335727E-3</v>
      </c>
      <c r="Q31" t="s">
        <v>251</v>
      </c>
      <c r="S31" t="s">
        <v>420</v>
      </c>
      <c r="T31" t="s">
        <v>271</v>
      </c>
      <c r="U31">
        <v>9.3069590820403277E-3</v>
      </c>
      <c r="V31" t="s">
        <v>251</v>
      </c>
      <c r="X31">
        <v>1.0616438356164383E-2</v>
      </c>
      <c r="Y31">
        <v>1.6893816970390073E-2</v>
      </c>
      <c r="Z31" t="s">
        <v>271</v>
      </c>
      <c r="AA31" t="s">
        <v>25</v>
      </c>
      <c r="AC31" t="s">
        <v>22</v>
      </c>
      <c r="AD31" t="s">
        <v>271</v>
      </c>
      <c r="AE31">
        <v>8.0994765750551992E-3</v>
      </c>
      <c r="AG31" t="s">
        <v>99</v>
      </c>
      <c r="AH31" t="s">
        <v>271</v>
      </c>
      <c r="AI31">
        <v>8.4242662862822781E-2</v>
      </c>
    </row>
    <row r="32" spans="3:35" x14ac:dyDescent="0.45">
      <c r="E32" t="s">
        <v>457</v>
      </c>
      <c r="G32" t="s">
        <v>155</v>
      </c>
      <c r="I32" t="s">
        <v>249</v>
      </c>
      <c r="J32" t="s">
        <v>272</v>
      </c>
      <c r="K32">
        <v>6.1164188379895998E-3</v>
      </c>
      <c r="L32" t="s">
        <v>251</v>
      </c>
      <c r="N32" t="s">
        <v>419</v>
      </c>
      <c r="O32" t="s">
        <v>272</v>
      </c>
      <c r="P32">
        <v>3.2255779984932246E-3</v>
      </c>
      <c r="Q32" t="s">
        <v>251</v>
      </c>
      <c r="S32" t="s">
        <v>420</v>
      </c>
      <c r="T32" t="s">
        <v>272</v>
      </c>
      <c r="U32">
        <v>3.1185031283167E-3</v>
      </c>
      <c r="V32" t="s">
        <v>251</v>
      </c>
      <c r="X32">
        <v>3.5388127853881279E-3</v>
      </c>
      <c r="Y32">
        <v>6.8849497385409693E-3</v>
      </c>
      <c r="Z32" t="s">
        <v>272</v>
      </c>
      <c r="AA32" t="s">
        <v>25</v>
      </c>
      <c r="AC32" t="s">
        <v>22</v>
      </c>
      <c r="AD32" t="s">
        <v>272</v>
      </c>
      <c r="AE32">
        <v>2.5503286394059593E-3</v>
      </c>
      <c r="AG32" t="s">
        <v>99</v>
      </c>
      <c r="AH32" t="s">
        <v>272</v>
      </c>
      <c r="AI32">
        <v>5.8054213283028178E-2</v>
      </c>
    </row>
    <row r="33" spans="5:35" x14ac:dyDescent="0.45">
      <c r="E33" t="s">
        <v>458</v>
      </c>
      <c r="G33" t="s">
        <v>155</v>
      </c>
      <c r="I33" t="s">
        <v>249</v>
      </c>
      <c r="J33" t="s">
        <v>273</v>
      </c>
      <c r="K33">
        <v>3.7733047864497546E-3</v>
      </c>
      <c r="L33" t="s">
        <v>251</v>
      </c>
      <c r="N33" t="s">
        <v>419</v>
      </c>
      <c r="O33" t="s">
        <v>273</v>
      </c>
      <c r="P33">
        <v>3.419858473822849E-3</v>
      </c>
      <c r="Q33" t="s">
        <v>251</v>
      </c>
      <c r="S33" t="s">
        <v>420</v>
      </c>
      <c r="T33" t="s">
        <v>273</v>
      </c>
      <c r="U33">
        <v>3.1769901080109329E-3</v>
      </c>
      <c r="V33" t="s">
        <v>251</v>
      </c>
      <c r="X33">
        <v>3.5388127853881279E-3</v>
      </c>
      <c r="Y33">
        <v>5.3435430806586613E-3</v>
      </c>
      <c r="Z33" t="s">
        <v>273</v>
      </c>
      <c r="AA33" t="s">
        <v>25</v>
      </c>
      <c r="AC33" t="s">
        <v>22</v>
      </c>
      <c r="AD33" t="s">
        <v>273</v>
      </c>
      <c r="AE33">
        <v>2.5599130713679637E-3</v>
      </c>
      <c r="AG33" t="s">
        <v>99</v>
      </c>
      <c r="AH33" t="s">
        <v>273</v>
      </c>
      <c r="AI33">
        <v>4.435631490733738E-2</v>
      </c>
    </row>
    <row r="34" spans="5:35" x14ac:dyDescent="0.45">
      <c r="E34" t="s">
        <v>459</v>
      </c>
      <c r="G34" t="s">
        <v>155</v>
      </c>
      <c r="I34" t="s">
        <v>249</v>
      </c>
      <c r="J34" t="s">
        <v>274</v>
      </c>
      <c r="K34">
        <v>5.3177883933484631E-5</v>
      </c>
      <c r="L34" t="s">
        <v>251</v>
      </c>
      <c r="N34" t="s">
        <v>419</v>
      </c>
      <c r="O34" t="s">
        <v>274</v>
      </c>
      <c r="P34">
        <v>2.3181079674091134E-2</v>
      </c>
      <c r="Q34" t="s">
        <v>251</v>
      </c>
      <c r="S34" t="s">
        <v>420</v>
      </c>
      <c r="T34" t="s">
        <v>274</v>
      </c>
      <c r="U34">
        <v>1.613114842353618E-2</v>
      </c>
      <c r="V34" t="s">
        <v>251</v>
      </c>
      <c r="X34">
        <v>1.7694063926940638E-2</v>
      </c>
      <c r="Y34">
        <v>1.3358857701646654E-2</v>
      </c>
      <c r="Z34" t="s">
        <v>274</v>
      </c>
      <c r="AA34" t="s">
        <v>25</v>
      </c>
      <c r="AC34" t="s">
        <v>22</v>
      </c>
      <c r="AD34" t="s">
        <v>274</v>
      </c>
      <c r="AE34">
        <v>1.7047916945675982E-2</v>
      </c>
      <c r="AG34" t="s">
        <v>99</v>
      </c>
      <c r="AH34" t="s">
        <v>274</v>
      </c>
      <c r="AI34">
        <v>0.15879766383465954</v>
      </c>
    </row>
    <row r="35" spans="5:35" x14ac:dyDescent="0.45">
      <c r="E35" t="s">
        <v>153</v>
      </c>
      <c r="G35" t="s">
        <v>160</v>
      </c>
      <c r="I35" t="s">
        <v>249</v>
      </c>
      <c r="J35" t="s">
        <v>275</v>
      </c>
      <c r="K35">
        <v>0</v>
      </c>
      <c r="L35" t="s">
        <v>251</v>
      </c>
      <c r="N35" t="s">
        <v>419</v>
      </c>
      <c r="O35" t="s">
        <v>275</v>
      </c>
      <c r="P35">
        <v>2.0389424056945722E-2</v>
      </c>
      <c r="Q35" t="s">
        <v>251</v>
      </c>
      <c r="S35" t="s">
        <v>420</v>
      </c>
      <c r="T35" t="s">
        <v>275</v>
      </c>
      <c r="U35">
        <v>1.9415336490079316E-2</v>
      </c>
      <c r="V35" t="s">
        <v>251</v>
      </c>
      <c r="X35">
        <v>2.0547945205479451E-2</v>
      </c>
      <c r="Y35">
        <v>4.3954951147353507E-3</v>
      </c>
      <c r="Z35" t="s">
        <v>275</v>
      </c>
      <c r="AA35" t="s">
        <v>25</v>
      </c>
      <c r="AC35" t="s">
        <v>22</v>
      </c>
      <c r="AD35" t="s">
        <v>275</v>
      </c>
      <c r="AE35">
        <v>2.2301014114127767E-2</v>
      </c>
      <c r="AG35" t="s">
        <v>99</v>
      </c>
      <c r="AH35" t="s">
        <v>275</v>
      </c>
      <c r="AI35">
        <v>4.9626454518111318E-2</v>
      </c>
    </row>
    <row r="36" spans="5:35" x14ac:dyDescent="0.45">
      <c r="E36" t="s">
        <v>157</v>
      </c>
      <c r="G36" t="s">
        <v>160</v>
      </c>
      <c r="I36" t="s">
        <v>249</v>
      </c>
      <c r="J36" t="s">
        <v>276</v>
      </c>
      <c r="K36">
        <v>2.0517109116268366E-6</v>
      </c>
      <c r="L36" t="s">
        <v>251</v>
      </c>
      <c r="N36" t="s">
        <v>419</v>
      </c>
      <c r="O36" t="s">
        <v>276</v>
      </c>
      <c r="P36">
        <v>3.1607267371689613E-3</v>
      </c>
      <c r="Q36" t="s">
        <v>251</v>
      </c>
      <c r="S36" t="s">
        <v>420</v>
      </c>
      <c r="T36" t="s">
        <v>276</v>
      </c>
      <c r="U36">
        <v>3.2289324244967454E-3</v>
      </c>
      <c r="V36" t="s">
        <v>251</v>
      </c>
      <c r="X36">
        <v>3.4246575342465752E-3</v>
      </c>
      <c r="Y36">
        <v>5.0717251323869452E-3</v>
      </c>
      <c r="Z36" t="s">
        <v>276</v>
      </c>
      <c r="AA36" t="s">
        <v>25</v>
      </c>
      <c r="AC36" t="s">
        <v>22</v>
      </c>
      <c r="AD36" t="s">
        <v>276</v>
      </c>
      <c r="AE36">
        <v>3.73658632681621E-3</v>
      </c>
      <c r="AG36" t="s">
        <v>99</v>
      </c>
      <c r="AH36" t="s">
        <v>276</v>
      </c>
      <c r="AI36">
        <v>4.0869223385679998E-2</v>
      </c>
    </row>
    <row r="37" spans="5:35" x14ac:dyDescent="0.45">
      <c r="E37" t="s">
        <v>161</v>
      </c>
      <c r="G37" t="s">
        <v>160</v>
      </c>
      <c r="I37" t="s">
        <v>249</v>
      </c>
      <c r="J37" t="s">
        <v>277</v>
      </c>
      <c r="K37">
        <v>4.2034545150900051E-3</v>
      </c>
      <c r="L37" t="s">
        <v>251</v>
      </c>
      <c r="N37" t="s">
        <v>419</v>
      </c>
      <c r="O37" t="s">
        <v>277</v>
      </c>
      <c r="P37">
        <v>2.976389370092905E-3</v>
      </c>
      <c r="Q37" t="s">
        <v>251</v>
      </c>
      <c r="S37" t="s">
        <v>420</v>
      </c>
      <c r="T37" t="s">
        <v>277</v>
      </c>
      <c r="U37">
        <v>3.1787996386982288E-3</v>
      </c>
      <c r="V37" t="s">
        <v>251</v>
      </c>
      <c r="X37">
        <v>3.4246575342465752E-3</v>
      </c>
      <c r="Y37">
        <v>5.7181214727892006E-3</v>
      </c>
      <c r="Z37" t="s">
        <v>277</v>
      </c>
      <c r="AA37" t="s">
        <v>25</v>
      </c>
      <c r="AC37" t="s">
        <v>22</v>
      </c>
      <c r="AD37" t="s">
        <v>277</v>
      </c>
      <c r="AE37">
        <v>3.764362713540153E-3</v>
      </c>
      <c r="AG37" t="s">
        <v>99</v>
      </c>
      <c r="AH37" t="s">
        <v>277</v>
      </c>
      <c r="AI37">
        <v>3.5724129158097861E-2</v>
      </c>
    </row>
    <row r="38" spans="5:35" x14ac:dyDescent="0.45">
      <c r="E38" t="s">
        <v>165</v>
      </c>
      <c r="G38" t="s">
        <v>160</v>
      </c>
      <c r="I38" t="s">
        <v>249</v>
      </c>
      <c r="J38" t="s">
        <v>278</v>
      </c>
      <c r="K38">
        <v>4.4356241580810703E-2</v>
      </c>
      <c r="L38" t="s">
        <v>251</v>
      </c>
      <c r="N38" t="s">
        <v>419</v>
      </c>
      <c r="O38" t="s">
        <v>278</v>
      </c>
      <c r="P38">
        <v>1.0653333459856721E-2</v>
      </c>
      <c r="Q38" t="s">
        <v>251</v>
      </c>
      <c r="S38" t="s">
        <v>420</v>
      </c>
      <c r="T38" t="s">
        <v>278</v>
      </c>
      <c r="U38">
        <v>1.8406815010020155E-2</v>
      </c>
      <c r="V38" t="s">
        <v>251</v>
      </c>
      <c r="X38">
        <v>2.0547945205479451E-2</v>
      </c>
      <c r="Y38">
        <v>2.5895631852422749E-2</v>
      </c>
      <c r="Z38" t="s">
        <v>278</v>
      </c>
      <c r="AA38" t="s">
        <v>25</v>
      </c>
      <c r="AC38" t="s">
        <v>22</v>
      </c>
      <c r="AD38" t="s">
        <v>278</v>
      </c>
      <c r="AE38">
        <v>2.1776342412938632E-2</v>
      </c>
      <c r="AG38" t="s">
        <v>99</v>
      </c>
      <c r="AH38" t="s">
        <v>278</v>
      </c>
      <c r="AI38">
        <v>6.7959091165817664E-2</v>
      </c>
    </row>
    <row r="39" spans="5:35" x14ac:dyDescent="0.45">
      <c r="E39" t="s">
        <v>167</v>
      </c>
      <c r="G39" t="s">
        <v>160</v>
      </c>
      <c r="I39" t="s">
        <v>249</v>
      </c>
      <c r="J39" t="s">
        <v>279</v>
      </c>
      <c r="K39">
        <v>2.00173866079956E-2</v>
      </c>
      <c r="L39" t="s">
        <v>251</v>
      </c>
      <c r="N39" t="s">
        <v>419</v>
      </c>
      <c r="O39" t="s">
        <v>279</v>
      </c>
      <c r="P39">
        <v>4.6384492328032031E-3</v>
      </c>
      <c r="Q39" t="s">
        <v>251</v>
      </c>
      <c r="S39" t="s">
        <v>420</v>
      </c>
      <c r="T39" t="s">
        <v>279</v>
      </c>
      <c r="U39">
        <v>9.3006190060524845E-3</v>
      </c>
      <c r="V39" t="s">
        <v>251</v>
      </c>
      <c r="X39">
        <v>1.0273972602739725E-2</v>
      </c>
      <c r="Y39">
        <v>1.6348855132635558E-2</v>
      </c>
      <c r="Z39" t="s">
        <v>279</v>
      </c>
      <c r="AA39" t="s">
        <v>25</v>
      </c>
      <c r="AC39" t="s">
        <v>22</v>
      </c>
      <c r="AD39" t="s">
        <v>279</v>
      </c>
      <c r="AE39">
        <v>8.0391169002698298E-3</v>
      </c>
      <c r="AG39" t="s">
        <v>99</v>
      </c>
      <c r="AH39" t="s">
        <v>279</v>
      </c>
      <c r="AI39">
        <v>0.10474634976168629</v>
      </c>
    </row>
    <row r="40" spans="5:35" x14ac:dyDescent="0.45">
      <c r="E40" t="s">
        <v>168</v>
      </c>
      <c r="G40" t="s">
        <v>160</v>
      </c>
      <c r="I40" t="s">
        <v>249</v>
      </c>
      <c r="J40" t="s">
        <v>280</v>
      </c>
      <c r="K40">
        <v>4.9464738077248001E-3</v>
      </c>
      <c r="L40" t="s">
        <v>251</v>
      </c>
      <c r="N40" t="s">
        <v>419</v>
      </c>
      <c r="O40" t="s">
        <v>280</v>
      </c>
      <c r="P40">
        <v>1.7672870015609293E-3</v>
      </c>
      <c r="Q40" t="s">
        <v>251</v>
      </c>
      <c r="S40" t="s">
        <v>420</v>
      </c>
      <c r="T40" t="s">
        <v>280</v>
      </c>
      <c r="U40">
        <v>3.1644740752954916E-3</v>
      </c>
      <c r="V40" t="s">
        <v>251</v>
      </c>
      <c r="X40">
        <v>3.4246575342465752E-3</v>
      </c>
      <c r="Y40">
        <v>6.662854585684809E-3</v>
      </c>
      <c r="Z40" t="s">
        <v>280</v>
      </c>
      <c r="AA40" t="s">
        <v>25</v>
      </c>
      <c r="AC40" t="s">
        <v>22</v>
      </c>
      <c r="AD40" t="s">
        <v>280</v>
      </c>
      <c r="AE40">
        <v>2.3604012853309128E-3</v>
      </c>
      <c r="AG40" t="s">
        <v>99</v>
      </c>
      <c r="AH40" t="s">
        <v>280</v>
      </c>
      <c r="AI40">
        <v>1.3512367730849295E-2</v>
      </c>
    </row>
    <row r="41" spans="5:35" x14ac:dyDescent="0.45">
      <c r="E41" t="s">
        <v>170</v>
      </c>
      <c r="G41" t="s">
        <v>160</v>
      </c>
      <c r="I41" t="s">
        <v>249</v>
      </c>
      <c r="J41" t="s">
        <v>281</v>
      </c>
      <c r="K41">
        <v>2.0025868097443083E-3</v>
      </c>
      <c r="L41" t="s">
        <v>251</v>
      </c>
      <c r="N41" t="s">
        <v>419</v>
      </c>
      <c r="O41" t="s">
        <v>281</v>
      </c>
      <c r="P41">
        <v>2.0148571403143531E-3</v>
      </c>
      <c r="Q41" t="s">
        <v>251</v>
      </c>
      <c r="S41" t="s">
        <v>420</v>
      </c>
      <c r="T41" t="s">
        <v>281</v>
      </c>
      <c r="U41">
        <v>3.1611429117214063E-3</v>
      </c>
      <c r="V41" t="s">
        <v>251</v>
      </c>
      <c r="X41">
        <v>3.4246575342465752E-3</v>
      </c>
      <c r="Y41">
        <v>5.1711707232180593E-3</v>
      </c>
      <c r="Z41" t="s">
        <v>281</v>
      </c>
      <c r="AA41" t="s">
        <v>25</v>
      </c>
      <c r="AC41" t="s">
        <v>22</v>
      </c>
      <c r="AD41" t="s">
        <v>281</v>
      </c>
      <c r="AE41">
        <v>2.3763594538990973E-3</v>
      </c>
      <c r="AG41" t="s">
        <v>99</v>
      </c>
      <c r="AH41" t="s">
        <v>281</v>
      </c>
      <c r="AI41">
        <v>1.7165333712501507E-2</v>
      </c>
    </row>
    <row r="42" spans="5:35" x14ac:dyDescent="0.45">
      <c r="E42" t="s">
        <v>172</v>
      </c>
      <c r="G42" t="s">
        <v>160</v>
      </c>
      <c r="I42" t="s">
        <v>249</v>
      </c>
      <c r="J42" t="s">
        <v>282</v>
      </c>
      <c r="K42">
        <v>0</v>
      </c>
      <c r="L42" t="s">
        <v>251</v>
      </c>
      <c r="N42" t="s">
        <v>419</v>
      </c>
      <c r="O42" t="s">
        <v>282</v>
      </c>
      <c r="P42">
        <v>1.4925971407484051E-2</v>
      </c>
      <c r="Q42" t="s">
        <v>251</v>
      </c>
      <c r="S42" t="s">
        <v>420</v>
      </c>
      <c r="T42" t="s">
        <v>282</v>
      </c>
      <c r="U42">
        <v>1.5948499659726105E-2</v>
      </c>
      <c r="V42" t="s">
        <v>251</v>
      </c>
      <c r="X42">
        <v>1.7123287671232876E-2</v>
      </c>
      <c r="Y42">
        <v>1.2927926808045149E-2</v>
      </c>
      <c r="Z42" t="s">
        <v>282</v>
      </c>
      <c r="AA42" t="s">
        <v>25</v>
      </c>
      <c r="AC42" t="s">
        <v>22</v>
      </c>
      <c r="AD42" t="s">
        <v>282</v>
      </c>
      <c r="AE42">
        <v>1.5578099873551859E-2</v>
      </c>
      <c r="AG42" t="s">
        <v>99</v>
      </c>
      <c r="AH42" t="s">
        <v>282</v>
      </c>
      <c r="AI42">
        <v>0.17748445228691057</v>
      </c>
    </row>
    <row r="43" spans="5:35" x14ac:dyDescent="0.45">
      <c r="E43" t="s">
        <v>173</v>
      </c>
      <c r="G43" t="s">
        <v>160</v>
      </c>
      <c r="I43" t="s">
        <v>249</v>
      </c>
      <c r="J43" t="s">
        <v>283</v>
      </c>
      <c r="K43">
        <v>0</v>
      </c>
      <c r="L43" t="s">
        <v>251</v>
      </c>
      <c r="N43" t="s">
        <v>419</v>
      </c>
      <c r="O43" t="s">
        <v>283</v>
      </c>
      <c r="P43">
        <v>2.2617567734358284E-2</v>
      </c>
      <c r="Q43" t="s">
        <v>251</v>
      </c>
      <c r="S43" t="s">
        <v>420</v>
      </c>
      <c r="T43" t="s">
        <v>283</v>
      </c>
      <c r="U43">
        <v>1.8121919888916246E-2</v>
      </c>
      <c r="V43" t="s">
        <v>251</v>
      </c>
      <c r="X43">
        <v>2.1232876712328767E-2</v>
      </c>
      <c r="Y43">
        <v>4.5420116185598634E-3</v>
      </c>
      <c r="Z43" t="s">
        <v>283</v>
      </c>
      <c r="AA43" t="s">
        <v>25</v>
      </c>
      <c r="AC43" t="s">
        <v>22</v>
      </c>
      <c r="AD43" t="s">
        <v>283</v>
      </c>
      <c r="AE43">
        <v>2.3166614754246737E-2</v>
      </c>
      <c r="AG43" t="s">
        <v>99</v>
      </c>
      <c r="AH43" t="s">
        <v>283</v>
      </c>
      <c r="AI43">
        <v>7.3161642999288068E-2</v>
      </c>
    </row>
    <row r="44" spans="5:35" x14ac:dyDescent="0.45">
      <c r="E44" t="s">
        <v>175</v>
      </c>
      <c r="G44" t="s">
        <v>160</v>
      </c>
      <c r="I44" t="s">
        <v>249</v>
      </c>
      <c r="J44" t="s">
        <v>284</v>
      </c>
      <c r="K44">
        <v>0</v>
      </c>
      <c r="L44" t="s">
        <v>251</v>
      </c>
      <c r="N44" t="s">
        <v>419</v>
      </c>
      <c r="O44" t="s">
        <v>284</v>
      </c>
      <c r="P44">
        <v>3.6344881186090496E-3</v>
      </c>
      <c r="Q44" t="s">
        <v>251</v>
      </c>
      <c r="S44" t="s">
        <v>420</v>
      </c>
      <c r="T44" t="s">
        <v>284</v>
      </c>
      <c r="U44">
        <v>2.8399858353747587E-3</v>
      </c>
      <c r="V44" t="s">
        <v>251</v>
      </c>
      <c r="X44">
        <v>3.5388127853881279E-3</v>
      </c>
      <c r="Y44">
        <v>5.240782636799844E-3</v>
      </c>
      <c r="Z44" t="s">
        <v>284</v>
      </c>
      <c r="AA44" t="s">
        <v>25</v>
      </c>
      <c r="AC44" t="s">
        <v>22</v>
      </c>
      <c r="AD44" t="s">
        <v>284</v>
      </c>
      <c r="AE44">
        <v>3.8560471526861892E-3</v>
      </c>
      <c r="AG44" t="s">
        <v>99</v>
      </c>
      <c r="AH44" t="s">
        <v>284</v>
      </c>
      <c r="AI44">
        <v>6.2550512635513256E-2</v>
      </c>
    </row>
    <row r="45" spans="5:35" x14ac:dyDescent="0.45">
      <c r="E45" t="s">
        <v>177</v>
      </c>
      <c r="G45" t="s">
        <v>160</v>
      </c>
      <c r="I45" t="s">
        <v>249</v>
      </c>
      <c r="J45" t="s">
        <v>285</v>
      </c>
      <c r="K45">
        <v>1.9086333504159257E-3</v>
      </c>
      <c r="L45" t="s">
        <v>251</v>
      </c>
      <c r="N45" t="s">
        <v>419</v>
      </c>
      <c r="O45" t="s">
        <v>285</v>
      </c>
      <c r="P45">
        <v>3.547331549681293E-3</v>
      </c>
      <c r="Q45" t="s">
        <v>251</v>
      </c>
      <c r="S45" t="s">
        <v>420</v>
      </c>
      <c r="T45" t="s">
        <v>285</v>
      </c>
      <c r="U45">
        <v>2.7677732040331075E-3</v>
      </c>
      <c r="V45" t="s">
        <v>251</v>
      </c>
      <c r="X45">
        <v>3.5388127853881279E-3</v>
      </c>
      <c r="Y45">
        <v>5.9087255218821738E-3</v>
      </c>
      <c r="Z45" t="s">
        <v>285</v>
      </c>
      <c r="AA45" t="s">
        <v>25</v>
      </c>
      <c r="AC45" t="s">
        <v>22</v>
      </c>
      <c r="AD45" t="s">
        <v>285</v>
      </c>
      <c r="AE45">
        <v>3.9229475599983511E-3</v>
      </c>
      <c r="AG45" t="s">
        <v>99</v>
      </c>
      <c r="AH45" t="s">
        <v>285</v>
      </c>
      <c r="AI45">
        <v>4.9077188056095178E-2</v>
      </c>
    </row>
    <row r="46" spans="5:35" x14ac:dyDescent="0.45">
      <c r="E46" t="s">
        <v>179</v>
      </c>
      <c r="G46" t="s">
        <v>160</v>
      </c>
      <c r="I46" t="s">
        <v>249</v>
      </c>
      <c r="J46" t="s">
        <v>286</v>
      </c>
      <c r="K46">
        <v>3.5104076765239058E-2</v>
      </c>
      <c r="L46" t="s">
        <v>251</v>
      </c>
      <c r="N46" t="s">
        <v>419</v>
      </c>
      <c r="O46" t="s">
        <v>286</v>
      </c>
      <c r="P46">
        <v>1.6002628865701567E-2</v>
      </c>
      <c r="Q46" t="s">
        <v>251</v>
      </c>
      <c r="S46" t="s">
        <v>420</v>
      </c>
      <c r="T46" t="s">
        <v>286</v>
      </c>
      <c r="U46">
        <v>1.6256338503658655E-2</v>
      </c>
      <c r="V46" t="s">
        <v>251</v>
      </c>
      <c r="X46">
        <v>2.1232876712328767E-2</v>
      </c>
      <c r="Y46">
        <v>2.6758819580836844E-2</v>
      </c>
      <c r="Z46" t="s">
        <v>286</v>
      </c>
      <c r="AA46" t="s">
        <v>25</v>
      </c>
      <c r="AC46" t="s">
        <v>22</v>
      </c>
      <c r="AD46" t="s">
        <v>286</v>
      </c>
      <c r="AE46">
        <v>2.3201187807762876E-2</v>
      </c>
      <c r="AG46" t="s">
        <v>99</v>
      </c>
      <c r="AH46" t="s">
        <v>286</v>
      </c>
      <c r="AI46">
        <v>0.10990662794279604</v>
      </c>
    </row>
    <row r="47" spans="5:35" x14ac:dyDescent="0.45">
      <c r="E47" t="s">
        <v>180</v>
      </c>
      <c r="G47" t="s">
        <v>160</v>
      </c>
      <c r="I47" t="s">
        <v>249</v>
      </c>
      <c r="J47" t="s">
        <v>287</v>
      </c>
      <c r="K47">
        <v>1.5174667746667668E-2</v>
      </c>
      <c r="L47" t="s">
        <v>251</v>
      </c>
      <c r="N47" t="s">
        <v>419</v>
      </c>
      <c r="O47" t="s">
        <v>287</v>
      </c>
      <c r="P47">
        <v>7.0880973707008509E-3</v>
      </c>
      <c r="Q47" t="s">
        <v>251</v>
      </c>
      <c r="S47" t="s">
        <v>420</v>
      </c>
      <c r="T47" t="s">
        <v>287</v>
      </c>
      <c r="U47">
        <v>8.252896410342582E-3</v>
      </c>
      <c r="V47" t="s">
        <v>251</v>
      </c>
      <c r="X47">
        <v>1.0616438356164383E-2</v>
      </c>
      <c r="Y47">
        <v>1.6893816970390073E-2</v>
      </c>
      <c r="Z47" t="s">
        <v>287</v>
      </c>
      <c r="AA47" t="s">
        <v>25</v>
      </c>
      <c r="AC47" t="s">
        <v>22</v>
      </c>
      <c r="AD47" t="s">
        <v>287</v>
      </c>
      <c r="AE47">
        <v>8.5348682936509154E-3</v>
      </c>
      <c r="AG47" t="s">
        <v>99</v>
      </c>
      <c r="AH47" t="s">
        <v>287</v>
      </c>
      <c r="AI47">
        <v>9.1876227455286008E-2</v>
      </c>
    </row>
    <row r="48" spans="5:35" x14ac:dyDescent="0.45">
      <c r="E48" t="s">
        <v>181</v>
      </c>
      <c r="G48" t="s">
        <v>160</v>
      </c>
      <c r="I48" t="s">
        <v>249</v>
      </c>
      <c r="J48" t="s">
        <v>288</v>
      </c>
      <c r="K48">
        <v>3.5448947224891443E-3</v>
      </c>
      <c r="L48" t="s">
        <v>251</v>
      </c>
      <c r="N48" t="s">
        <v>419</v>
      </c>
      <c r="O48" t="s">
        <v>288</v>
      </c>
      <c r="P48">
        <v>2.4027081750016607E-3</v>
      </c>
      <c r="Q48" t="s">
        <v>251</v>
      </c>
      <c r="S48" t="s">
        <v>420</v>
      </c>
      <c r="T48" t="s">
        <v>288</v>
      </c>
      <c r="U48">
        <v>2.9068127754390887E-3</v>
      </c>
      <c r="V48" t="s">
        <v>251</v>
      </c>
      <c r="X48">
        <v>3.5388127853881279E-3</v>
      </c>
      <c r="Y48">
        <v>6.8849497385409693E-3</v>
      </c>
      <c r="Z48" t="s">
        <v>288</v>
      </c>
      <c r="AA48" t="s">
        <v>25</v>
      </c>
      <c r="AC48" t="s">
        <v>22</v>
      </c>
      <c r="AD48" t="s">
        <v>288</v>
      </c>
      <c r="AE48">
        <v>2.4583760663985628E-3</v>
      </c>
      <c r="AG48" t="s">
        <v>99</v>
      </c>
      <c r="AH48" t="s">
        <v>288</v>
      </c>
      <c r="AI48">
        <v>1.0080620446456745E-2</v>
      </c>
    </row>
    <row r="49" spans="5:35" x14ac:dyDescent="0.45">
      <c r="E49" t="s">
        <v>182</v>
      </c>
      <c r="G49" t="s">
        <v>160</v>
      </c>
      <c r="I49" t="s">
        <v>249</v>
      </c>
      <c r="J49" t="s">
        <v>289</v>
      </c>
      <c r="K49">
        <v>5.2343147353180468E-4</v>
      </c>
      <c r="L49" t="s">
        <v>251</v>
      </c>
      <c r="N49" t="s">
        <v>419</v>
      </c>
      <c r="O49" t="s">
        <v>289</v>
      </c>
      <c r="P49">
        <v>2.6989413513743396E-3</v>
      </c>
      <c r="Q49" t="s">
        <v>251</v>
      </c>
      <c r="S49" t="s">
        <v>420</v>
      </c>
      <c r="T49" t="s">
        <v>289</v>
      </c>
      <c r="U49">
        <v>2.9667193514552386E-3</v>
      </c>
      <c r="V49" t="s">
        <v>251</v>
      </c>
      <c r="X49">
        <v>3.5388127853881279E-3</v>
      </c>
      <c r="Y49">
        <v>5.3435430806586613E-3</v>
      </c>
      <c r="Z49" t="s">
        <v>289</v>
      </c>
      <c r="AA49" t="s">
        <v>25</v>
      </c>
      <c r="AC49" t="s">
        <v>22</v>
      </c>
      <c r="AD49" t="s">
        <v>289</v>
      </c>
      <c r="AE49">
        <v>2.4833229906104171E-3</v>
      </c>
      <c r="AG49" t="s">
        <v>99</v>
      </c>
      <c r="AH49" t="s">
        <v>289</v>
      </c>
      <c r="AI49">
        <v>1.2916306074604922E-2</v>
      </c>
    </row>
    <row r="50" spans="5:35" x14ac:dyDescent="0.45">
      <c r="E50" t="s">
        <v>183</v>
      </c>
      <c r="G50" t="s">
        <v>160</v>
      </c>
      <c r="I50" t="s">
        <v>249</v>
      </c>
      <c r="J50" t="s">
        <v>290</v>
      </c>
      <c r="K50">
        <v>0</v>
      </c>
      <c r="L50" t="s">
        <v>251</v>
      </c>
      <c r="N50" t="s">
        <v>419</v>
      </c>
      <c r="O50" t="s">
        <v>290</v>
      </c>
      <c r="P50">
        <v>1.7466729395622826E-2</v>
      </c>
      <c r="Q50" t="s">
        <v>251</v>
      </c>
      <c r="S50" t="s">
        <v>420</v>
      </c>
      <c r="T50" t="s">
        <v>290</v>
      </c>
      <c r="U50">
        <v>1.5286969146846846E-2</v>
      </c>
      <c r="V50" t="s">
        <v>251</v>
      </c>
      <c r="X50">
        <v>1.7694063926940638E-2</v>
      </c>
      <c r="Y50">
        <v>1.3358857701646654E-2</v>
      </c>
      <c r="Z50" t="s">
        <v>290</v>
      </c>
      <c r="AA50" t="s">
        <v>25</v>
      </c>
      <c r="AC50" t="s">
        <v>22</v>
      </c>
      <c r="AD50" t="s">
        <v>290</v>
      </c>
      <c r="AE50">
        <v>1.6214694812859108E-2</v>
      </c>
      <c r="AG50" t="s">
        <v>99</v>
      </c>
      <c r="AH50" t="s">
        <v>290</v>
      </c>
      <c r="AI50">
        <v>0.2208955727201567</v>
      </c>
    </row>
    <row r="51" spans="5:35" x14ac:dyDescent="0.45">
      <c r="E51" t="s">
        <v>184</v>
      </c>
      <c r="G51" t="s">
        <v>160</v>
      </c>
      <c r="I51" t="s">
        <v>249</v>
      </c>
      <c r="J51" t="s">
        <v>291</v>
      </c>
      <c r="K51">
        <v>0</v>
      </c>
      <c r="L51" t="s">
        <v>251</v>
      </c>
      <c r="N51" t="s">
        <v>419</v>
      </c>
      <c r="O51" t="s">
        <v>291</v>
      </c>
      <c r="P51">
        <v>1.639692359374887E-2</v>
      </c>
      <c r="Q51" t="s">
        <v>251</v>
      </c>
      <c r="S51" t="s">
        <v>420</v>
      </c>
      <c r="T51" t="s">
        <v>291</v>
      </c>
      <c r="U51">
        <v>1.7767871573748439E-2</v>
      </c>
      <c r="V51" t="s">
        <v>251</v>
      </c>
      <c r="X51">
        <v>1.8493150684931507E-2</v>
      </c>
      <c r="Y51">
        <v>3.9559456032618153E-3</v>
      </c>
      <c r="Z51" t="s">
        <v>291</v>
      </c>
      <c r="AA51" t="s">
        <v>25</v>
      </c>
      <c r="AC51" t="s">
        <v>22</v>
      </c>
      <c r="AD51" t="s">
        <v>291</v>
      </c>
      <c r="AE51">
        <v>2.0472889820019061E-2</v>
      </c>
      <c r="AG51" t="s">
        <v>99</v>
      </c>
      <c r="AH51" t="s">
        <v>291</v>
      </c>
      <c r="AI51">
        <v>0.14380147243973873</v>
      </c>
    </row>
    <row r="52" spans="5:35" x14ac:dyDescent="0.45">
      <c r="E52" t="s">
        <v>185</v>
      </c>
      <c r="G52" t="s">
        <v>160</v>
      </c>
      <c r="I52" t="s">
        <v>249</v>
      </c>
      <c r="J52" t="s">
        <v>292</v>
      </c>
      <c r="K52">
        <v>0</v>
      </c>
      <c r="L52" t="s">
        <v>251</v>
      </c>
      <c r="N52" t="s">
        <v>419</v>
      </c>
      <c r="O52" t="s">
        <v>292</v>
      </c>
      <c r="P52">
        <v>2.6166497851086473E-3</v>
      </c>
      <c r="Q52" t="s">
        <v>251</v>
      </c>
      <c r="S52" t="s">
        <v>420</v>
      </c>
      <c r="T52" t="s">
        <v>292</v>
      </c>
      <c r="U52">
        <v>2.9119807470061616E-3</v>
      </c>
      <c r="V52" t="s">
        <v>251</v>
      </c>
      <c r="X52">
        <v>3.0821917808219177E-3</v>
      </c>
      <c r="Y52">
        <v>4.5645526191482504E-3</v>
      </c>
      <c r="Z52" t="s">
        <v>292</v>
      </c>
      <c r="AA52" t="s">
        <v>25</v>
      </c>
      <c r="AC52" t="s">
        <v>22</v>
      </c>
      <c r="AD52" t="s">
        <v>292</v>
      </c>
      <c r="AE52">
        <v>3.4125861254304859E-3</v>
      </c>
      <c r="AG52" t="s">
        <v>99</v>
      </c>
      <c r="AH52" t="s">
        <v>292</v>
      </c>
      <c r="AI52">
        <v>9.0458667136191551E-2</v>
      </c>
    </row>
    <row r="53" spans="5:35" x14ac:dyDescent="0.45">
      <c r="E53" t="s">
        <v>186</v>
      </c>
      <c r="G53" t="s">
        <v>160</v>
      </c>
      <c r="I53" t="s">
        <v>249</v>
      </c>
      <c r="J53" t="s">
        <v>293</v>
      </c>
      <c r="K53">
        <v>5.1027943058780682E-4</v>
      </c>
      <c r="L53" t="s">
        <v>251</v>
      </c>
      <c r="N53" t="s">
        <v>419</v>
      </c>
      <c r="O53" t="s">
        <v>293</v>
      </c>
      <c r="P53">
        <v>2.5823509127072173E-3</v>
      </c>
      <c r="Q53" t="s">
        <v>251</v>
      </c>
      <c r="S53" t="s">
        <v>420</v>
      </c>
      <c r="T53" t="s">
        <v>293</v>
      </c>
      <c r="U53">
        <v>2.8354717847661453E-3</v>
      </c>
      <c r="V53" t="s">
        <v>251</v>
      </c>
      <c r="X53">
        <v>3.0821917808219177E-3</v>
      </c>
      <c r="Y53">
        <v>5.146309325510281E-3</v>
      </c>
      <c r="Z53" t="s">
        <v>293</v>
      </c>
      <c r="AA53" t="s">
        <v>25</v>
      </c>
      <c r="AC53" t="s">
        <v>22</v>
      </c>
      <c r="AD53" t="s">
        <v>293</v>
      </c>
      <c r="AE53">
        <v>3.6341717590877821E-3</v>
      </c>
      <c r="AG53" t="s">
        <v>99</v>
      </c>
      <c r="AH53" t="s">
        <v>293</v>
      </c>
      <c r="AI53">
        <v>0.10927497176996681</v>
      </c>
    </row>
    <row r="54" spans="5:35" x14ac:dyDescent="0.45">
      <c r="E54" t="s">
        <v>187</v>
      </c>
      <c r="G54" t="s">
        <v>160</v>
      </c>
      <c r="I54" t="s">
        <v>249</v>
      </c>
      <c r="J54" t="s">
        <v>294</v>
      </c>
      <c r="K54">
        <v>2.361269114499082E-2</v>
      </c>
      <c r="L54" t="s">
        <v>251</v>
      </c>
      <c r="N54" t="s">
        <v>419</v>
      </c>
      <c r="O54" t="s">
        <v>294</v>
      </c>
      <c r="P54">
        <v>1.2417643206096523E-2</v>
      </c>
      <c r="Q54" t="s">
        <v>251</v>
      </c>
      <c r="S54" t="s">
        <v>420</v>
      </c>
      <c r="T54" t="s">
        <v>294</v>
      </c>
      <c r="U54">
        <v>1.7448982530796919E-2</v>
      </c>
      <c r="V54" t="s">
        <v>251</v>
      </c>
      <c r="X54">
        <v>1.8493150684931507E-2</v>
      </c>
      <c r="Y54">
        <v>2.330606866718047E-2</v>
      </c>
      <c r="Z54" t="s">
        <v>294</v>
      </c>
      <c r="AA54" t="s">
        <v>25</v>
      </c>
      <c r="AC54" t="s">
        <v>22</v>
      </c>
      <c r="AD54" t="s">
        <v>294</v>
      </c>
      <c r="AE54">
        <v>2.1757072654137573E-2</v>
      </c>
      <c r="AG54" t="s">
        <v>99</v>
      </c>
      <c r="AH54" t="s">
        <v>294</v>
      </c>
      <c r="AI54">
        <v>0.16834065713942969</v>
      </c>
    </row>
    <row r="55" spans="5:35" x14ac:dyDescent="0.45">
      <c r="E55" t="s">
        <v>188</v>
      </c>
      <c r="G55" t="s">
        <v>160</v>
      </c>
      <c r="I55" t="s">
        <v>249</v>
      </c>
      <c r="J55" t="s">
        <v>295</v>
      </c>
      <c r="K55">
        <v>1.020730230393386E-2</v>
      </c>
      <c r="L55" t="s">
        <v>251</v>
      </c>
      <c r="N55" t="s">
        <v>419</v>
      </c>
      <c r="O55" t="s">
        <v>295</v>
      </c>
      <c r="P55">
        <v>5.5019919457212022E-3</v>
      </c>
      <c r="Q55" t="s">
        <v>251</v>
      </c>
      <c r="S55" t="s">
        <v>420</v>
      </c>
      <c r="T55" t="s">
        <v>295</v>
      </c>
      <c r="U55">
        <v>8.5183827586674463E-3</v>
      </c>
      <c r="V55" t="s">
        <v>251</v>
      </c>
      <c r="X55">
        <v>9.2465753424657536E-3</v>
      </c>
      <c r="Y55">
        <v>1.4713969619372002E-2</v>
      </c>
      <c r="Z55" t="s">
        <v>295</v>
      </c>
      <c r="AA55" t="s">
        <v>25</v>
      </c>
      <c r="AC55" t="s">
        <v>22</v>
      </c>
      <c r="AD55" t="s">
        <v>295</v>
      </c>
      <c r="AE55">
        <v>7.7268516457209878E-3</v>
      </c>
      <c r="AG55" t="s">
        <v>99</v>
      </c>
      <c r="AH55" t="s">
        <v>295</v>
      </c>
      <c r="AI55">
        <v>0.12323890372884549</v>
      </c>
    </row>
    <row r="56" spans="5:35" x14ac:dyDescent="0.45">
      <c r="E56" t="s">
        <v>189</v>
      </c>
      <c r="G56" t="s">
        <v>160</v>
      </c>
      <c r="I56" t="s">
        <v>249</v>
      </c>
      <c r="J56" t="s">
        <v>296</v>
      </c>
      <c r="K56">
        <v>2.0771350577104266E-3</v>
      </c>
      <c r="L56" t="s">
        <v>251</v>
      </c>
      <c r="N56" t="s">
        <v>419</v>
      </c>
      <c r="O56" t="s">
        <v>296</v>
      </c>
      <c r="P56">
        <v>1.9186648163931847E-3</v>
      </c>
      <c r="Q56" t="s">
        <v>251</v>
      </c>
      <c r="S56" t="s">
        <v>420</v>
      </c>
      <c r="T56" t="s">
        <v>296</v>
      </c>
      <c r="U56">
        <v>2.8441614801661529E-3</v>
      </c>
      <c r="V56" t="s">
        <v>251</v>
      </c>
      <c r="X56">
        <v>3.0821917808219177E-3</v>
      </c>
      <c r="Y56">
        <v>5.9965691271163281E-3</v>
      </c>
      <c r="Z56" t="s">
        <v>296</v>
      </c>
      <c r="AA56" t="s">
        <v>25</v>
      </c>
      <c r="AC56" t="s">
        <v>22</v>
      </c>
      <c r="AD56" t="s">
        <v>296</v>
      </c>
      <c r="AE56">
        <v>2.2205722880478881E-3</v>
      </c>
      <c r="AG56" t="s">
        <v>99</v>
      </c>
      <c r="AH56" t="s">
        <v>296</v>
      </c>
      <c r="AI56">
        <v>2.5795702454994851E-2</v>
      </c>
    </row>
    <row r="57" spans="5:35" x14ac:dyDescent="0.45">
      <c r="E57" t="s">
        <v>190</v>
      </c>
      <c r="G57" t="s">
        <v>160</v>
      </c>
      <c r="I57" t="s">
        <v>249</v>
      </c>
      <c r="J57" t="s">
        <v>297</v>
      </c>
      <c r="K57">
        <v>1.7491015779166872E-4</v>
      </c>
      <c r="L57" t="s">
        <v>251</v>
      </c>
      <c r="N57" t="s">
        <v>419</v>
      </c>
      <c r="O57" t="s">
        <v>297</v>
      </c>
      <c r="P57">
        <v>2.198914513784359E-3</v>
      </c>
      <c r="Q57" t="s">
        <v>251</v>
      </c>
      <c r="S57" t="s">
        <v>420</v>
      </c>
      <c r="T57" t="s">
        <v>297</v>
      </c>
      <c r="U57">
        <v>2.8981399468638687E-3</v>
      </c>
      <c r="V57" t="s">
        <v>251</v>
      </c>
      <c r="X57">
        <v>3.0821917808219177E-3</v>
      </c>
      <c r="Y57">
        <v>4.6540536508962536E-3</v>
      </c>
      <c r="Z57" t="s">
        <v>297</v>
      </c>
      <c r="AA57" t="s">
        <v>25</v>
      </c>
      <c r="AC57" t="s">
        <v>22</v>
      </c>
      <c r="AD57" t="s">
        <v>297</v>
      </c>
      <c r="AE57">
        <v>2.2407716720026154E-3</v>
      </c>
      <c r="AG57" t="s">
        <v>99</v>
      </c>
      <c r="AH57" t="s">
        <v>297</v>
      </c>
      <c r="AI57">
        <v>3.6187147533977893E-2</v>
      </c>
    </row>
    <row r="58" spans="5:35" x14ac:dyDescent="0.45">
      <c r="E58" t="s">
        <v>191</v>
      </c>
      <c r="G58" t="s">
        <v>160</v>
      </c>
      <c r="I58" t="s">
        <v>249</v>
      </c>
      <c r="J58" t="s">
        <v>298</v>
      </c>
      <c r="K58">
        <v>0</v>
      </c>
      <c r="L58" t="s">
        <v>251</v>
      </c>
      <c r="N58" t="s">
        <v>419</v>
      </c>
      <c r="O58" t="s">
        <v>298</v>
      </c>
      <c r="P58">
        <v>1.3972775783984483E-2</v>
      </c>
      <c r="Q58" t="s">
        <v>251</v>
      </c>
      <c r="S58" t="s">
        <v>420</v>
      </c>
      <c r="T58" t="s">
        <v>298</v>
      </c>
      <c r="U58">
        <v>1.4642970165078997E-2</v>
      </c>
      <c r="V58" t="s">
        <v>251</v>
      </c>
      <c r="X58">
        <v>1.5410958904109588E-2</v>
      </c>
      <c r="Y58">
        <v>1.1635134127240635E-2</v>
      </c>
      <c r="Z58" t="s">
        <v>298</v>
      </c>
      <c r="AA58" t="s">
        <v>25</v>
      </c>
      <c r="AC58" t="s">
        <v>22</v>
      </c>
      <c r="AD58" t="s">
        <v>298</v>
      </c>
      <c r="AE58">
        <v>1.4986212365016066E-2</v>
      </c>
      <c r="AG58" t="s">
        <v>99</v>
      </c>
      <c r="AH58" t="s">
        <v>298</v>
      </c>
      <c r="AI58">
        <v>0.2475527314929995</v>
      </c>
    </row>
    <row r="59" spans="5:35" x14ac:dyDescent="0.45">
      <c r="E59" t="s">
        <v>460</v>
      </c>
      <c r="G59" t="s">
        <v>164</v>
      </c>
      <c r="I59" t="s">
        <v>249</v>
      </c>
      <c r="J59" t="s">
        <v>580</v>
      </c>
      <c r="K59">
        <v>0</v>
      </c>
      <c r="L59" t="s">
        <v>251</v>
      </c>
      <c r="N59" t="s">
        <v>419</v>
      </c>
      <c r="O59" t="s">
        <v>580</v>
      </c>
      <c r="P59">
        <v>5.5127614044139282E-5</v>
      </c>
      <c r="Q59" t="s">
        <v>251</v>
      </c>
      <c r="S59" t="s">
        <v>420</v>
      </c>
      <c r="T59" t="s">
        <v>580</v>
      </c>
      <c r="U59">
        <v>9.052142262294678E-5</v>
      </c>
      <c r="V59" t="s">
        <v>251</v>
      </c>
      <c r="X59">
        <v>1.1415525114155251E-4</v>
      </c>
      <c r="Y59">
        <v>2.1546544680075254E-5</v>
      </c>
      <c r="Z59" t="s">
        <v>580</v>
      </c>
      <c r="AA59" t="s">
        <v>25</v>
      </c>
      <c r="AC59" t="s">
        <v>22</v>
      </c>
      <c r="AD59" t="s">
        <v>580</v>
      </c>
      <c r="AE59">
        <v>1.4410285938888781E-4</v>
      </c>
      <c r="AG59" t="s">
        <v>99</v>
      </c>
      <c r="AH59" t="s">
        <v>580</v>
      </c>
      <c r="AI59">
        <v>0</v>
      </c>
    </row>
    <row r="60" spans="5:35" x14ac:dyDescent="0.45">
      <c r="E60" t="s">
        <v>461</v>
      </c>
      <c r="G60" t="s">
        <v>164</v>
      </c>
      <c r="I60" t="s">
        <v>249</v>
      </c>
      <c r="J60" t="s">
        <v>581</v>
      </c>
      <c r="K60">
        <v>0</v>
      </c>
      <c r="L60" t="s">
        <v>251</v>
      </c>
      <c r="N60" t="s">
        <v>419</v>
      </c>
      <c r="O60" t="s">
        <v>581</v>
      </c>
      <c r="P60">
        <v>4.909887152377508E-5</v>
      </c>
      <c r="Q60" t="s">
        <v>251</v>
      </c>
      <c r="S60" t="s">
        <v>420</v>
      </c>
      <c r="T60" t="s">
        <v>581</v>
      </c>
      <c r="U60">
        <v>9.1617986915575278E-5</v>
      </c>
      <c r="V60" t="s">
        <v>251</v>
      </c>
      <c r="X60">
        <v>1.1415525114155251E-4</v>
      </c>
      <c r="Y60">
        <v>1.4916838624667481E-5</v>
      </c>
      <c r="Z60" t="s">
        <v>581</v>
      </c>
      <c r="AA60" t="s">
        <v>25</v>
      </c>
      <c r="AC60" t="s">
        <v>22</v>
      </c>
      <c r="AD60" t="s">
        <v>581</v>
      </c>
      <c r="AE60">
        <v>1.3834862615377537E-4</v>
      </c>
      <c r="AG60" t="s">
        <v>99</v>
      </c>
      <c r="AH60" t="s">
        <v>581</v>
      </c>
      <c r="AI60">
        <v>0</v>
      </c>
    </row>
    <row r="61" spans="5:35" x14ac:dyDescent="0.45">
      <c r="E61" t="s">
        <v>462</v>
      </c>
      <c r="G61" t="s">
        <v>164</v>
      </c>
      <c r="I61" t="s">
        <v>249</v>
      </c>
      <c r="J61" t="s">
        <v>582</v>
      </c>
      <c r="K61">
        <v>0</v>
      </c>
      <c r="L61" t="s">
        <v>251</v>
      </c>
      <c r="N61" t="s">
        <v>419</v>
      </c>
      <c r="O61" t="s">
        <v>582</v>
      </c>
      <c r="P61">
        <v>4.3350154628887097E-5</v>
      </c>
      <c r="Q61" t="s">
        <v>251</v>
      </c>
      <c r="S61" t="s">
        <v>420</v>
      </c>
      <c r="T61" t="s">
        <v>582</v>
      </c>
      <c r="U61">
        <v>9.2569890124557478E-5</v>
      </c>
      <c r="V61" t="s">
        <v>251</v>
      </c>
      <c r="X61">
        <v>1.1415525114155251E-4</v>
      </c>
      <c r="Y61">
        <v>1.6574265138519424E-5</v>
      </c>
      <c r="Z61" t="s">
        <v>582</v>
      </c>
      <c r="AA61" t="s">
        <v>25</v>
      </c>
      <c r="AC61" t="s">
        <v>22</v>
      </c>
      <c r="AD61" t="s">
        <v>582</v>
      </c>
      <c r="AE61">
        <v>1.3702622472707251E-4</v>
      </c>
      <c r="AG61" t="s">
        <v>99</v>
      </c>
      <c r="AH61" t="s">
        <v>582</v>
      </c>
      <c r="AI61">
        <v>0</v>
      </c>
    </row>
    <row r="62" spans="5:35" x14ac:dyDescent="0.45">
      <c r="E62" t="s">
        <v>463</v>
      </c>
      <c r="G62" t="s">
        <v>164</v>
      </c>
      <c r="I62" t="s">
        <v>249</v>
      </c>
      <c r="J62" t="s">
        <v>583</v>
      </c>
      <c r="K62">
        <v>0</v>
      </c>
      <c r="L62" t="s">
        <v>251</v>
      </c>
      <c r="N62" t="s">
        <v>419</v>
      </c>
      <c r="O62" t="s">
        <v>583</v>
      </c>
      <c r="P62">
        <v>4.2636596861710409E-5</v>
      </c>
      <c r="Q62" t="s">
        <v>251</v>
      </c>
      <c r="S62" t="s">
        <v>420</v>
      </c>
      <c r="T62" t="s">
        <v>583</v>
      </c>
      <c r="U62">
        <v>8.9171362631455846E-5</v>
      </c>
      <c r="V62" t="s">
        <v>251</v>
      </c>
      <c r="X62">
        <v>1.1415525114155251E-4</v>
      </c>
      <c r="Y62">
        <v>1.4585353321897093E-5</v>
      </c>
      <c r="Z62" t="s">
        <v>583</v>
      </c>
      <c r="AA62" t="s">
        <v>25</v>
      </c>
      <c r="AC62" t="s">
        <v>22</v>
      </c>
      <c r="AD62" t="s">
        <v>583</v>
      </c>
      <c r="AE62">
        <v>1.3670455951517182E-4</v>
      </c>
      <c r="AG62" t="s">
        <v>99</v>
      </c>
      <c r="AH62" t="s">
        <v>583</v>
      </c>
      <c r="AI62">
        <v>0</v>
      </c>
    </row>
    <row r="63" spans="5:35" x14ac:dyDescent="0.45">
      <c r="E63" t="s">
        <v>464</v>
      </c>
      <c r="G63" t="s">
        <v>164</v>
      </c>
      <c r="I63" t="s">
        <v>249</v>
      </c>
      <c r="J63" t="s">
        <v>584</v>
      </c>
      <c r="K63">
        <v>0</v>
      </c>
      <c r="L63" t="s">
        <v>251</v>
      </c>
      <c r="N63" t="s">
        <v>419</v>
      </c>
      <c r="O63" t="s">
        <v>584</v>
      </c>
      <c r="P63">
        <v>4.2320447195917776E-5</v>
      </c>
      <c r="Q63" t="s">
        <v>251</v>
      </c>
      <c r="S63" t="s">
        <v>420</v>
      </c>
      <c r="T63" t="s">
        <v>584</v>
      </c>
      <c r="U63">
        <v>8.8577613202512248E-5</v>
      </c>
      <c r="V63" t="s">
        <v>251</v>
      </c>
      <c r="X63">
        <v>1.1415525114155251E-4</v>
      </c>
      <c r="Y63">
        <v>2.1215059377304864E-5</v>
      </c>
      <c r="Z63" t="s">
        <v>584</v>
      </c>
      <c r="AA63" t="s">
        <v>25</v>
      </c>
      <c r="AC63" t="s">
        <v>22</v>
      </c>
      <c r="AD63" t="s">
        <v>584</v>
      </c>
      <c r="AE63">
        <v>1.3550725011531921E-4</v>
      </c>
      <c r="AG63" t="s">
        <v>99</v>
      </c>
      <c r="AH63" t="s">
        <v>584</v>
      </c>
      <c r="AI63">
        <v>0</v>
      </c>
    </row>
    <row r="64" spans="5:35" x14ac:dyDescent="0.45">
      <c r="E64" t="s">
        <v>465</v>
      </c>
      <c r="G64" t="s">
        <v>164</v>
      </c>
      <c r="I64" t="s">
        <v>249</v>
      </c>
      <c r="J64" t="s">
        <v>585</v>
      </c>
      <c r="K64">
        <v>0</v>
      </c>
      <c r="L64" t="s">
        <v>251</v>
      </c>
      <c r="N64" t="s">
        <v>419</v>
      </c>
      <c r="O64" t="s">
        <v>585</v>
      </c>
      <c r="P64">
        <v>4.2164008039182531E-5</v>
      </c>
      <c r="Q64" t="s">
        <v>251</v>
      </c>
      <c r="S64" t="s">
        <v>420</v>
      </c>
      <c r="T64" t="s">
        <v>585</v>
      </c>
      <c r="U64">
        <v>9.4490429871413542E-5</v>
      </c>
      <c r="V64" t="s">
        <v>251</v>
      </c>
      <c r="X64">
        <v>1.1415525114155251E-4</v>
      </c>
      <c r="Y64">
        <v>5.7678442682047593E-5</v>
      </c>
      <c r="Z64" t="s">
        <v>585</v>
      </c>
      <c r="AA64" t="s">
        <v>25</v>
      </c>
      <c r="AC64" t="s">
        <v>22</v>
      </c>
      <c r="AD64" t="s">
        <v>585</v>
      </c>
      <c r="AE64">
        <v>1.3550725011531921E-4</v>
      </c>
      <c r="AG64" t="s">
        <v>99</v>
      </c>
      <c r="AH64" t="s">
        <v>585</v>
      </c>
      <c r="AI64">
        <v>0</v>
      </c>
    </row>
    <row r="65" spans="5:35" x14ac:dyDescent="0.45">
      <c r="E65" t="s">
        <v>466</v>
      </c>
      <c r="G65" t="s">
        <v>164</v>
      </c>
      <c r="I65" t="s">
        <v>249</v>
      </c>
      <c r="J65" t="s">
        <v>586</v>
      </c>
      <c r="K65">
        <v>0</v>
      </c>
      <c r="L65" t="s">
        <v>251</v>
      </c>
      <c r="N65" t="s">
        <v>419</v>
      </c>
      <c r="O65" t="s">
        <v>586</v>
      </c>
      <c r="P65">
        <v>3.8613975072066551E-5</v>
      </c>
      <c r="Q65" t="s">
        <v>251</v>
      </c>
      <c r="S65" t="s">
        <v>420</v>
      </c>
      <c r="T65" t="s">
        <v>586</v>
      </c>
      <c r="U65">
        <v>1.008089873595E-4</v>
      </c>
      <c r="V65" t="s">
        <v>251</v>
      </c>
      <c r="X65">
        <v>1.1415525114155251E-4</v>
      </c>
      <c r="Y65">
        <v>1.6905750441289813E-4</v>
      </c>
      <c r="Z65" t="s">
        <v>586</v>
      </c>
      <c r="AA65" t="s">
        <v>25</v>
      </c>
      <c r="AC65" t="s">
        <v>22</v>
      </c>
      <c r="AD65" t="s">
        <v>586</v>
      </c>
      <c r="AE65">
        <v>1.3591231001178677E-4</v>
      </c>
      <c r="AG65" t="s">
        <v>99</v>
      </c>
      <c r="AH65" t="s">
        <v>586</v>
      </c>
      <c r="AI65">
        <v>0</v>
      </c>
    </row>
    <row r="66" spans="5:35" x14ac:dyDescent="0.45">
      <c r="E66" t="s">
        <v>467</v>
      </c>
      <c r="G66" t="s">
        <v>164</v>
      </c>
      <c r="I66" t="s">
        <v>249</v>
      </c>
      <c r="J66" t="s">
        <v>587</v>
      </c>
      <c r="K66">
        <v>2.9563830888955483E-6</v>
      </c>
      <c r="L66" t="s">
        <v>251</v>
      </c>
      <c r="N66" t="s">
        <v>419</v>
      </c>
      <c r="O66" t="s">
        <v>587</v>
      </c>
      <c r="P66">
        <v>3.6743148630561272E-5</v>
      </c>
      <c r="Q66" t="s">
        <v>251</v>
      </c>
      <c r="S66" t="s">
        <v>420</v>
      </c>
      <c r="T66" t="s">
        <v>587</v>
      </c>
      <c r="U66">
        <v>1.0224297874669999E-4</v>
      </c>
      <c r="V66" t="s">
        <v>251</v>
      </c>
      <c r="X66">
        <v>1.1415525114155251E-4</v>
      </c>
      <c r="Y66">
        <v>1.9060404909297337E-4</v>
      </c>
      <c r="Z66" t="s">
        <v>587</v>
      </c>
      <c r="AA66" t="s">
        <v>25</v>
      </c>
      <c r="AC66" t="s">
        <v>22</v>
      </c>
      <c r="AD66" t="s">
        <v>587</v>
      </c>
      <c r="AE66">
        <v>1.4711102479647765E-4</v>
      </c>
      <c r="AG66" t="s">
        <v>99</v>
      </c>
      <c r="AH66" t="s">
        <v>587</v>
      </c>
      <c r="AI66">
        <v>0</v>
      </c>
    </row>
    <row r="67" spans="5:35" x14ac:dyDescent="0.45">
      <c r="E67" t="s">
        <v>468</v>
      </c>
      <c r="G67" t="s">
        <v>164</v>
      </c>
      <c r="I67" t="s">
        <v>249</v>
      </c>
      <c r="J67" t="s">
        <v>588</v>
      </c>
      <c r="K67">
        <v>7.7878180312628356E-5</v>
      </c>
      <c r="L67" t="s">
        <v>251</v>
      </c>
      <c r="N67" t="s">
        <v>419</v>
      </c>
      <c r="O67" t="s">
        <v>588</v>
      </c>
      <c r="P67">
        <v>3.814032583580972E-5</v>
      </c>
      <c r="Q67" t="s">
        <v>251</v>
      </c>
      <c r="S67" t="s">
        <v>420</v>
      </c>
      <c r="T67" t="s">
        <v>588</v>
      </c>
      <c r="U67">
        <v>1.0569975859810001E-4</v>
      </c>
      <c r="V67" t="s">
        <v>251</v>
      </c>
      <c r="X67">
        <v>1.1415525114155251E-4</v>
      </c>
      <c r="Y67">
        <v>1.4585353321897094E-4</v>
      </c>
      <c r="Z67" t="s">
        <v>588</v>
      </c>
      <c r="AA67" t="s">
        <v>25</v>
      </c>
      <c r="AC67" t="s">
        <v>22</v>
      </c>
      <c r="AD67" t="s">
        <v>588</v>
      </c>
      <c r="AE67">
        <v>1.4953542741209959E-4</v>
      </c>
      <c r="AG67" t="s">
        <v>99</v>
      </c>
      <c r="AH67" t="s">
        <v>588</v>
      </c>
      <c r="AI67">
        <v>0</v>
      </c>
    </row>
    <row r="68" spans="5:35" x14ac:dyDescent="0.45">
      <c r="E68" t="s">
        <v>469</v>
      </c>
      <c r="G68" t="s">
        <v>164</v>
      </c>
      <c r="I68" t="s">
        <v>249</v>
      </c>
      <c r="J68" t="s">
        <v>589</v>
      </c>
      <c r="K68">
        <v>1.030830739735E-4</v>
      </c>
      <c r="L68" t="s">
        <v>251</v>
      </c>
      <c r="N68" t="s">
        <v>419</v>
      </c>
      <c r="O68" t="s">
        <v>589</v>
      </c>
      <c r="P68">
        <v>2.7566009208053909E-5</v>
      </c>
      <c r="Q68" t="s">
        <v>251</v>
      </c>
      <c r="S68" t="s">
        <v>420</v>
      </c>
      <c r="T68" t="s">
        <v>589</v>
      </c>
      <c r="U68">
        <v>1.102571128814E-4</v>
      </c>
      <c r="V68" t="s">
        <v>251</v>
      </c>
      <c r="X68">
        <v>1.1415525114155251E-4</v>
      </c>
      <c r="Y68">
        <v>1.4452759200788939E-4</v>
      </c>
      <c r="Z68" t="s">
        <v>589</v>
      </c>
      <c r="AA68" t="s">
        <v>25</v>
      </c>
      <c r="AC68" t="s">
        <v>22</v>
      </c>
      <c r="AD68" t="s">
        <v>589</v>
      </c>
      <c r="AE68">
        <v>1.5047063923188494E-4</v>
      </c>
      <c r="AG68" t="s">
        <v>99</v>
      </c>
      <c r="AH68" t="s">
        <v>589</v>
      </c>
      <c r="AI68">
        <v>0</v>
      </c>
    </row>
    <row r="69" spans="5:35" x14ac:dyDescent="0.45">
      <c r="E69" t="s">
        <v>470</v>
      </c>
      <c r="G69" t="s">
        <v>164</v>
      </c>
      <c r="I69" t="s">
        <v>249</v>
      </c>
      <c r="J69" t="s">
        <v>590</v>
      </c>
      <c r="K69">
        <v>1.116669410604E-4</v>
      </c>
      <c r="L69" t="s">
        <v>251</v>
      </c>
      <c r="N69" t="s">
        <v>419</v>
      </c>
      <c r="O69" t="s">
        <v>590</v>
      </c>
      <c r="P69">
        <v>2.1443938725133062E-5</v>
      </c>
      <c r="Q69" t="s">
        <v>251</v>
      </c>
      <c r="S69" t="s">
        <v>420</v>
      </c>
      <c r="T69" t="s">
        <v>590</v>
      </c>
      <c r="U69">
        <v>1.085167823981E-4</v>
      </c>
      <c r="V69" t="s">
        <v>251</v>
      </c>
      <c r="X69">
        <v>1.1415525114155251E-4</v>
      </c>
      <c r="Y69">
        <v>1.408812536774151E-4</v>
      </c>
      <c r="Z69" t="s">
        <v>590</v>
      </c>
      <c r="AA69" t="s">
        <v>25</v>
      </c>
      <c r="AC69" t="s">
        <v>22</v>
      </c>
      <c r="AD69" t="s">
        <v>590</v>
      </c>
      <c r="AE69">
        <v>1.5838717750255209E-4</v>
      </c>
      <c r="AG69" t="s">
        <v>99</v>
      </c>
      <c r="AH69" t="s">
        <v>590</v>
      </c>
      <c r="AI69">
        <v>0</v>
      </c>
    </row>
    <row r="70" spans="5:35" x14ac:dyDescent="0.45">
      <c r="E70" t="s">
        <v>471</v>
      </c>
      <c r="G70" t="s">
        <v>164</v>
      </c>
      <c r="I70" t="s">
        <v>249</v>
      </c>
      <c r="J70" t="s">
        <v>591</v>
      </c>
      <c r="K70">
        <v>1.321021647512E-4</v>
      </c>
      <c r="L70" t="s">
        <v>251</v>
      </c>
      <c r="N70" t="s">
        <v>419</v>
      </c>
      <c r="O70" t="s">
        <v>591</v>
      </c>
      <c r="P70">
        <v>2.0888508049323779E-5</v>
      </c>
      <c r="Q70" t="s">
        <v>251</v>
      </c>
      <c r="S70" t="s">
        <v>420</v>
      </c>
      <c r="T70" t="s">
        <v>591</v>
      </c>
      <c r="U70">
        <v>1.032499489738E-4</v>
      </c>
      <c r="V70" t="s">
        <v>251</v>
      </c>
      <c r="X70">
        <v>1.1415525114155251E-4</v>
      </c>
      <c r="Y70">
        <v>1.4054976837464471E-4</v>
      </c>
      <c r="Z70" t="s">
        <v>591</v>
      </c>
      <c r="AA70" t="s">
        <v>25</v>
      </c>
      <c r="AC70" t="s">
        <v>22</v>
      </c>
      <c r="AD70" t="s">
        <v>591</v>
      </c>
      <c r="AE70">
        <v>1.522934087659889E-4</v>
      </c>
      <c r="AG70" t="s">
        <v>99</v>
      </c>
      <c r="AH70" t="s">
        <v>591</v>
      </c>
      <c r="AI70">
        <v>0</v>
      </c>
    </row>
    <row r="71" spans="5:35" x14ac:dyDescent="0.45">
      <c r="E71" t="s">
        <v>472</v>
      </c>
      <c r="G71" t="s">
        <v>164</v>
      </c>
      <c r="I71" t="s">
        <v>249</v>
      </c>
      <c r="J71" t="s">
        <v>592</v>
      </c>
      <c r="K71">
        <v>1.5227609499279999E-4</v>
      </c>
      <c r="L71" t="s">
        <v>251</v>
      </c>
      <c r="N71" t="s">
        <v>419</v>
      </c>
      <c r="O71" t="s">
        <v>592</v>
      </c>
      <c r="P71">
        <v>2.2857278773294303E-5</v>
      </c>
      <c r="Q71" t="s">
        <v>251</v>
      </c>
      <c r="S71" t="s">
        <v>420</v>
      </c>
      <c r="T71" t="s">
        <v>592</v>
      </c>
      <c r="U71">
        <v>9.7421367750399036E-5</v>
      </c>
      <c r="V71" t="s">
        <v>251</v>
      </c>
      <c r="X71">
        <v>1.1415525114155251E-4</v>
      </c>
      <c r="Y71">
        <v>1.4253868019126702E-4</v>
      </c>
      <c r="Z71" t="s">
        <v>592</v>
      </c>
      <c r="AA71" t="s">
        <v>25</v>
      </c>
      <c r="AC71" t="s">
        <v>22</v>
      </c>
      <c r="AD71" t="s">
        <v>592</v>
      </c>
      <c r="AE71">
        <v>1.3928383797356071E-4</v>
      </c>
      <c r="AG71" t="s">
        <v>99</v>
      </c>
      <c r="AH71" t="s">
        <v>592</v>
      </c>
      <c r="AI71">
        <v>0</v>
      </c>
    </row>
    <row r="72" spans="5:35" x14ac:dyDescent="0.45">
      <c r="E72" t="s">
        <v>473</v>
      </c>
      <c r="G72" t="s">
        <v>164</v>
      </c>
      <c r="I72" t="s">
        <v>249</v>
      </c>
      <c r="J72" t="s">
        <v>593</v>
      </c>
      <c r="K72">
        <v>1.3148320081400001E-4</v>
      </c>
      <c r="L72" t="s">
        <v>251</v>
      </c>
      <c r="N72" t="s">
        <v>419</v>
      </c>
      <c r="O72" t="s">
        <v>593</v>
      </c>
      <c r="P72">
        <v>2.433281429355795E-5</v>
      </c>
      <c r="Q72" t="s">
        <v>251</v>
      </c>
      <c r="S72" t="s">
        <v>420</v>
      </c>
      <c r="T72" t="s">
        <v>593</v>
      </c>
      <c r="U72">
        <v>9.2491692060358435E-5</v>
      </c>
      <c r="V72" t="s">
        <v>251</v>
      </c>
      <c r="X72">
        <v>1.1415525114155251E-4</v>
      </c>
      <c r="Y72">
        <v>1.4883690094390442E-4</v>
      </c>
      <c r="Z72" t="s">
        <v>593</v>
      </c>
      <c r="AA72" t="s">
        <v>25</v>
      </c>
      <c r="AC72" t="s">
        <v>22</v>
      </c>
      <c r="AD72" t="s">
        <v>593</v>
      </c>
      <c r="AE72">
        <v>1.244634111733953E-4</v>
      </c>
      <c r="AG72" t="s">
        <v>99</v>
      </c>
      <c r="AH72" t="s">
        <v>593</v>
      </c>
      <c r="AI72">
        <v>0</v>
      </c>
    </row>
    <row r="73" spans="5:35" x14ac:dyDescent="0.45">
      <c r="E73" t="s">
        <v>474</v>
      </c>
      <c r="G73" t="s">
        <v>164</v>
      </c>
      <c r="I73" t="s">
        <v>249</v>
      </c>
      <c r="J73" t="s">
        <v>594</v>
      </c>
      <c r="K73">
        <v>9.7884034842219726E-5</v>
      </c>
      <c r="L73" t="s">
        <v>251</v>
      </c>
      <c r="N73" t="s">
        <v>419</v>
      </c>
      <c r="O73" t="s">
        <v>594</v>
      </c>
      <c r="P73">
        <v>2.5040419836676039E-5</v>
      </c>
      <c r="Q73" t="s">
        <v>251</v>
      </c>
      <c r="S73" t="s">
        <v>420</v>
      </c>
      <c r="T73" t="s">
        <v>594</v>
      </c>
      <c r="U73">
        <v>8.7972891238890567E-5</v>
      </c>
      <c r="V73" t="s">
        <v>251</v>
      </c>
      <c r="X73">
        <v>1.1415525114155251E-4</v>
      </c>
      <c r="Y73">
        <v>1.5049432745775637E-4</v>
      </c>
      <c r="Z73" t="s">
        <v>594</v>
      </c>
      <c r="AA73" t="s">
        <v>25</v>
      </c>
      <c r="AC73" t="s">
        <v>22</v>
      </c>
      <c r="AD73" t="s">
        <v>594</v>
      </c>
      <c r="AE73">
        <v>1.1265114978081973E-4</v>
      </c>
      <c r="AG73" t="s">
        <v>99</v>
      </c>
      <c r="AH73" t="s">
        <v>594</v>
      </c>
      <c r="AI73">
        <v>0</v>
      </c>
    </row>
    <row r="74" spans="5:35" x14ac:dyDescent="0.45">
      <c r="E74" t="s">
        <v>475</v>
      </c>
      <c r="G74" t="s">
        <v>164</v>
      </c>
      <c r="I74" t="s">
        <v>249</v>
      </c>
      <c r="J74" t="s">
        <v>595</v>
      </c>
      <c r="K74">
        <v>7.0923891572374493E-5</v>
      </c>
      <c r="L74" t="s">
        <v>251</v>
      </c>
      <c r="N74" t="s">
        <v>419</v>
      </c>
      <c r="O74" t="s">
        <v>595</v>
      </c>
      <c r="P74">
        <v>2.7953432476133229E-5</v>
      </c>
      <c r="Q74" t="s">
        <v>251</v>
      </c>
      <c r="S74" t="s">
        <v>420</v>
      </c>
      <c r="T74" t="s">
        <v>595</v>
      </c>
      <c r="U74">
        <v>8.8116384076365175E-5</v>
      </c>
      <c r="V74" t="s">
        <v>251</v>
      </c>
      <c r="X74">
        <v>1.1415525114155251E-4</v>
      </c>
      <c r="Y74">
        <v>1.7237235744060203E-4</v>
      </c>
      <c r="Z74" t="s">
        <v>595</v>
      </c>
      <c r="AA74" t="s">
        <v>25</v>
      </c>
      <c r="AC74" t="s">
        <v>22</v>
      </c>
      <c r="AD74" t="s">
        <v>595</v>
      </c>
      <c r="AE74">
        <v>9.1004272372539519E-5</v>
      </c>
      <c r="AG74" t="s">
        <v>99</v>
      </c>
      <c r="AH74" t="s">
        <v>595</v>
      </c>
      <c r="AI74">
        <v>0</v>
      </c>
    </row>
    <row r="75" spans="5:35" x14ac:dyDescent="0.45">
      <c r="E75" t="s">
        <v>476</v>
      </c>
      <c r="G75" t="s">
        <v>164</v>
      </c>
      <c r="I75" t="s">
        <v>249</v>
      </c>
      <c r="J75" t="s">
        <v>596</v>
      </c>
      <c r="K75">
        <v>4.4973962301458209E-5</v>
      </c>
      <c r="L75" t="s">
        <v>251</v>
      </c>
      <c r="N75" t="s">
        <v>419</v>
      </c>
      <c r="O75" t="s">
        <v>596</v>
      </c>
      <c r="P75">
        <v>3.001877714074836E-5</v>
      </c>
      <c r="Q75" t="s">
        <v>251</v>
      </c>
      <c r="S75" t="s">
        <v>420</v>
      </c>
      <c r="T75" t="s">
        <v>596</v>
      </c>
      <c r="U75">
        <v>8.6683487654948645E-5</v>
      </c>
      <c r="V75" t="s">
        <v>251</v>
      </c>
      <c r="X75">
        <v>1.1415525114155251E-4</v>
      </c>
      <c r="Y75">
        <v>2.2209515285616027E-4</v>
      </c>
      <c r="Z75" t="s">
        <v>596</v>
      </c>
      <c r="AA75" t="s">
        <v>25</v>
      </c>
      <c r="AC75" t="s">
        <v>22</v>
      </c>
      <c r="AD75" t="s">
        <v>596</v>
      </c>
      <c r="AE75">
        <v>8.697750046059746E-5</v>
      </c>
      <c r="AG75" t="s">
        <v>99</v>
      </c>
      <c r="AH75" t="s">
        <v>596</v>
      </c>
      <c r="AI75">
        <v>0</v>
      </c>
    </row>
    <row r="76" spans="5:35" x14ac:dyDescent="0.45">
      <c r="E76" t="s">
        <v>477</v>
      </c>
      <c r="G76" t="s">
        <v>164</v>
      </c>
      <c r="I76" t="s">
        <v>249</v>
      </c>
      <c r="J76" t="s">
        <v>597</v>
      </c>
      <c r="K76">
        <v>2.6920372339788199E-5</v>
      </c>
      <c r="L76" t="s">
        <v>251</v>
      </c>
      <c r="N76" t="s">
        <v>419</v>
      </c>
      <c r="O76" t="s">
        <v>597</v>
      </c>
      <c r="P76">
        <v>3.658866091976676E-5</v>
      </c>
      <c r="Q76" t="s">
        <v>251</v>
      </c>
      <c r="S76" t="s">
        <v>420</v>
      </c>
      <c r="T76" t="s">
        <v>597</v>
      </c>
      <c r="U76">
        <v>8.8050071621080471E-5</v>
      </c>
      <c r="V76" t="s">
        <v>251</v>
      </c>
      <c r="X76">
        <v>1.1415525114155251E-4</v>
      </c>
      <c r="Y76">
        <v>2.2209515285616027E-4</v>
      </c>
      <c r="Z76" t="s">
        <v>597</v>
      </c>
      <c r="AA76" t="s">
        <v>25</v>
      </c>
      <c r="AC76" t="s">
        <v>22</v>
      </c>
      <c r="AD76" t="s">
        <v>597</v>
      </c>
      <c r="AE76">
        <v>8.3617886025190183E-5</v>
      </c>
      <c r="AG76" t="s">
        <v>99</v>
      </c>
      <c r="AH76" t="s">
        <v>597</v>
      </c>
      <c r="AI76">
        <v>0</v>
      </c>
    </row>
    <row r="77" spans="5:35" x14ac:dyDescent="0.45">
      <c r="E77" t="s">
        <v>478</v>
      </c>
      <c r="G77" t="s">
        <v>164</v>
      </c>
      <c r="I77" t="s">
        <v>249</v>
      </c>
      <c r="J77" t="s">
        <v>598</v>
      </c>
      <c r="K77">
        <v>1.6767389369756258E-7</v>
      </c>
      <c r="L77" t="s">
        <v>251</v>
      </c>
      <c r="N77" t="s">
        <v>419</v>
      </c>
      <c r="O77" t="s">
        <v>598</v>
      </c>
      <c r="P77">
        <v>4.6484149952011783E-5</v>
      </c>
      <c r="Q77" t="s">
        <v>251</v>
      </c>
      <c r="S77" t="s">
        <v>420</v>
      </c>
      <c r="T77" t="s">
        <v>598</v>
      </c>
      <c r="U77">
        <v>8.8513718486715081E-5</v>
      </c>
      <c r="V77" t="s">
        <v>251</v>
      </c>
      <c r="X77">
        <v>1.1415525114155251E-4</v>
      </c>
      <c r="Y77">
        <v>1.7237235744060203E-4</v>
      </c>
      <c r="Z77" t="s">
        <v>598</v>
      </c>
      <c r="AA77" t="s">
        <v>25</v>
      </c>
      <c r="AC77" t="s">
        <v>22</v>
      </c>
      <c r="AD77" t="s">
        <v>598</v>
      </c>
      <c r="AE77">
        <v>8.5333433821993903E-5</v>
      </c>
      <c r="AG77" t="s">
        <v>99</v>
      </c>
      <c r="AH77" t="s">
        <v>598</v>
      </c>
      <c r="AI77">
        <v>0</v>
      </c>
    </row>
    <row r="78" spans="5:35" x14ac:dyDescent="0.45">
      <c r="E78" t="s">
        <v>479</v>
      </c>
      <c r="G78" t="s">
        <v>164</v>
      </c>
      <c r="I78" t="s">
        <v>249</v>
      </c>
      <c r="J78" t="s">
        <v>599</v>
      </c>
      <c r="K78">
        <v>0</v>
      </c>
      <c r="L78" t="s">
        <v>251</v>
      </c>
      <c r="N78" t="s">
        <v>419</v>
      </c>
      <c r="O78" t="s">
        <v>599</v>
      </c>
      <c r="P78">
        <v>5.1819613218572153E-5</v>
      </c>
      <c r="Q78" t="s">
        <v>251</v>
      </c>
      <c r="S78" t="s">
        <v>420</v>
      </c>
      <c r="T78" t="s">
        <v>599</v>
      </c>
      <c r="U78">
        <v>8.809665806550689E-5</v>
      </c>
      <c r="V78" t="s">
        <v>251</v>
      </c>
      <c r="X78">
        <v>1.1415525114155251E-4</v>
      </c>
      <c r="Y78">
        <v>1.5579809230208258E-4</v>
      </c>
      <c r="Z78" t="s">
        <v>599</v>
      </c>
      <c r="AA78" t="s">
        <v>25</v>
      </c>
      <c r="AC78" t="s">
        <v>22</v>
      </c>
      <c r="AD78" t="s">
        <v>599</v>
      </c>
      <c r="AE78">
        <v>9.1308067294890174E-5</v>
      </c>
      <c r="AG78" t="s">
        <v>99</v>
      </c>
      <c r="AH78" t="s">
        <v>599</v>
      </c>
      <c r="AI78">
        <v>0</v>
      </c>
    </row>
    <row r="79" spans="5:35" x14ac:dyDescent="0.45">
      <c r="E79" t="s">
        <v>480</v>
      </c>
      <c r="G79" t="s">
        <v>164</v>
      </c>
      <c r="I79" t="s">
        <v>249</v>
      </c>
      <c r="J79" t="s">
        <v>600</v>
      </c>
      <c r="K79">
        <v>0</v>
      </c>
      <c r="L79" t="s">
        <v>251</v>
      </c>
      <c r="N79" t="s">
        <v>419</v>
      </c>
      <c r="O79" t="s">
        <v>600</v>
      </c>
      <c r="P79">
        <v>5.0642549470151935E-5</v>
      </c>
      <c r="Q79" t="s">
        <v>251</v>
      </c>
      <c r="S79" t="s">
        <v>420</v>
      </c>
      <c r="T79" t="s">
        <v>600</v>
      </c>
      <c r="U79">
        <v>7.6495729645377407E-5</v>
      </c>
      <c r="V79" t="s">
        <v>251</v>
      </c>
      <c r="X79">
        <v>1.1415525114155251E-4</v>
      </c>
      <c r="Y79">
        <v>1.093901499142282E-4</v>
      </c>
      <c r="Z79" t="s">
        <v>600</v>
      </c>
      <c r="AA79" t="s">
        <v>25</v>
      </c>
      <c r="AC79" t="s">
        <v>22</v>
      </c>
      <c r="AD79" t="s">
        <v>600</v>
      </c>
      <c r="AE79">
        <v>1.0976807640008015E-4</v>
      </c>
      <c r="AG79" t="s">
        <v>99</v>
      </c>
      <c r="AH79" t="s">
        <v>600</v>
      </c>
      <c r="AI79">
        <v>0</v>
      </c>
    </row>
    <row r="80" spans="5:35" x14ac:dyDescent="0.45">
      <c r="E80" t="s">
        <v>481</v>
      </c>
      <c r="G80" t="s">
        <v>164</v>
      </c>
      <c r="I80" t="s">
        <v>249</v>
      </c>
      <c r="J80" t="s">
        <v>601</v>
      </c>
      <c r="K80">
        <v>0</v>
      </c>
      <c r="L80" t="s">
        <v>251</v>
      </c>
      <c r="N80" t="s">
        <v>419</v>
      </c>
      <c r="O80" t="s">
        <v>601</v>
      </c>
      <c r="P80">
        <v>4.7160428397304497E-5</v>
      </c>
      <c r="Q80" t="s">
        <v>251</v>
      </c>
      <c r="S80" t="s">
        <v>420</v>
      </c>
      <c r="T80" t="s">
        <v>601</v>
      </c>
      <c r="U80">
        <v>6.7236954875592907E-5</v>
      </c>
      <c r="V80" t="s">
        <v>251</v>
      </c>
      <c r="X80">
        <v>1.1415525114155251E-4</v>
      </c>
      <c r="Y80">
        <v>7.9556472664893237E-5</v>
      </c>
      <c r="Z80" t="s">
        <v>601</v>
      </c>
      <c r="AA80" t="s">
        <v>25</v>
      </c>
      <c r="AC80" t="s">
        <v>22</v>
      </c>
      <c r="AD80" t="s">
        <v>601</v>
      </c>
      <c r="AE80">
        <v>1.2841274516395385E-4</v>
      </c>
      <c r="AG80" t="s">
        <v>99</v>
      </c>
      <c r="AH80" t="s">
        <v>601</v>
      </c>
      <c r="AI80">
        <v>0</v>
      </c>
    </row>
    <row r="81" spans="5:35" x14ac:dyDescent="0.45">
      <c r="E81" t="s">
        <v>482</v>
      </c>
      <c r="G81" t="s">
        <v>164</v>
      </c>
      <c r="I81" t="s">
        <v>249</v>
      </c>
      <c r="J81" t="s">
        <v>602</v>
      </c>
      <c r="K81">
        <v>0</v>
      </c>
      <c r="L81" t="s">
        <v>251</v>
      </c>
      <c r="N81" t="s">
        <v>419</v>
      </c>
      <c r="O81" t="s">
        <v>602</v>
      </c>
      <c r="P81">
        <v>4.5693151453029491E-5</v>
      </c>
      <c r="Q81" t="s">
        <v>251</v>
      </c>
      <c r="S81" t="s">
        <v>420</v>
      </c>
      <c r="T81" t="s">
        <v>602</v>
      </c>
      <c r="U81">
        <v>6.1180206481437736E-5</v>
      </c>
      <c r="V81" t="s">
        <v>251</v>
      </c>
      <c r="X81">
        <v>1.1415525114155251E-4</v>
      </c>
      <c r="Y81">
        <v>5.6352501470966035E-5</v>
      </c>
      <c r="Z81" t="s">
        <v>602</v>
      </c>
      <c r="AA81" t="s">
        <v>25</v>
      </c>
      <c r="AC81" t="s">
        <v>22</v>
      </c>
      <c r="AD81" t="s">
        <v>602</v>
      </c>
      <c r="AE81">
        <v>1.3696665709523904E-4</v>
      </c>
      <c r="AG81" t="s">
        <v>99</v>
      </c>
      <c r="AH81" t="s">
        <v>602</v>
      </c>
      <c r="AI81">
        <v>0</v>
      </c>
    </row>
    <row r="82" spans="5:35" x14ac:dyDescent="0.45">
      <c r="E82" t="s">
        <v>483</v>
      </c>
      <c r="G82" t="s">
        <v>164</v>
      </c>
      <c r="I82" t="s">
        <v>249</v>
      </c>
      <c r="J82" t="s">
        <v>603</v>
      </c>
      <c r="K82">
        <v>0</v>
      </c>
      <c r="L82" t="s">
        <v>251</v>
      </c>
      <c r="N82" t="s">
        <v>419</v>
      </c>
      <c r="O82" t="s">
        <v>603</v>
      </c>
      <c r="P82">
        <v>4.6261046531795747E-5</v>
      </c>
      <c r="Q82" t="s">
        <v>251</v>
      </c>
      <c r="S82" t="s">
        <v>420</v>
      </c>
      <c r="T82" t="s">
        <v>603</v>
      </c>
      <c r="U82">
        <v>5.9893557737542827E-5</v>
      </c>
      <c r="V82" t="s">
        <v>251</v>
      </c>
      <c r="X82">
        <v>1.1415525114155251E-4</v>
      </c>
      <c r="Y82">
        <v>2.9833677249334962E-5</v>
      </c>
      <c r="Z82" t="s">
        <v>603</v>
      </c>
      <c r="AA82" t="s">
        <v>25</v>
      </c>
      <c r="AC82" t="s">
        <v>22</v>
      </c>
      <c r="AD82" t="s">
        <v>603</v>
      </c>
      <c r="AE82">
        <v>1.4573501250112467E-4</v>
      </c>
      <c r="AG82" t="s">
        <v>99</v>
      </c>
      <c r="AH82" t="s">
        <v>603</v>
      </c>
      <c r="AI82">
        <v>0</v>
      </c>
    </row>
    <row r="83" spans="5:35" x14ac:dyDescent="0.45">
      <c r="E83" t="s">
        <v>484</v>
      </c>
      <c r="G83" t="s">
        <v>434</v>
      </c>
      <c r="I83" t="s">
        <v>249</v>
      </c>
      <c r="J83" t="s">
        <v>604</v>
      </c>
      <c r="K83">
        <v>0</v>
      </c>
      <c r="L83" t="s">
        <v>251</v>
      </c>
      <c r="N83" t="s">
        <v>419</v>
      </c>
      <c r="O83" t="s">
        <v>604</v>
      </c>
      <c r="P83">
        <v>4.4499143765978162E-5</v>
      </c>
      <c r="Q83" t="s">
        <v>251</v>
      </c>
      <c r="S83" t="s">
        <v>420</v>
      </c>
      <c r="T83" t="s">
        <v>604</v>
      </c>
      <c r="U83">
        <v>5.9577225820407881E-5</v>
      </c>
      <c r="V83" t="s">
        <v>251</v>
      </c>
      <c r="X83">
        <v>1.1415525114155251E-4</v>
      </c>
      <c r="Y83">
        <v>2.1546544680075254E-5</v>
      </c>
      <c r="Z83" t="s">
        <v>604</v>
      </c>
      <c r="AA83" t="s">
        <v>25</v>
      </c>
      <c r="AC83" t="s">
        <v>22</v>
      </c>
      <c r="AD83" t="s">
        <v>604</v>
      </c>
      <c r="AE83">
        <v>1.4216691135430029E-4</v>
      </c>
      <c r="AG83" t="s">
        <v>99</v>
      </c>
      <c r="AH83" t="s">
        <v>604</v>
      </c>
      <c r="AI83">
        <v>0</v>
      </c>
    </row>
    <row r="84" spans="5:35" x14ac:dyDescent="0.45">
      <c r="E84" t="s">
        <v>485</v>
      </c>
      <c r="G84" t="s">
        <v>434</v>
      </c>
      <c r="I84" t="s">
        <v>249</v>
      </c>
      <c r="J84" t="s">
        <v>605</v>
      </c>
      <c r="K84">
        <v>0</v>
      </c>
      <c r="L84" t="s">
        <v>251</v>
      </c>
      <c r="N84" t="s">
        <v>419</v>
      </c>
      <c r="O84" t="s">
        <v>605</v>
      </c>
      <c r="P84">
        <v>4.4234966823909632E-5</v>
      </c>
      <c r="Q84" t="s">
        <v>251</v>
      </c>
      <c r="S84" t="s">
        <v>420</v>
      </c>
      <c r="T84" t="s">
        <v>605</v>
      </c>
      <c r="U84">
        <v>5.7133262606319879E-5</v>
      </c>
      <c r="V84" t="s">
        <v>251</v>
      </c>
      <c r="X84">
        <v>1.1415525114155251E-4</v>
      </c>
      <c r="Y84">
        <v>1.4916838624667481E-5</v>
      </c>
      <c r="Z84" t="s">
        <v>605</v>
      </c>
      <c r="AA84" t="s">
        <v>25</v>
      </c>
      <c r="AC84" t="s">
        <v>22</v>
      </c>
      <c r="AD84" t="s">
        <v>605</v>
      </c>
      <c r="AE84">
        <v>1.3834862615377537E-4</v>
      </c>
      <c r="AG84" t="s">
        <v>99</v>
      </c>
      <c r="AH84" t="s">
        <v>605</v>
      </c>
      <c r="AI84">
        <v>0</v>
      </c>
    </row>
    <row r="85" spans="5:35" x14ac:dyDescent="0.45">
      <c r="E85" t="s">
        <v>486</v>
      </c>
      <c r="G85" t="s">
        <v>434</v>
      </c>
      <c r="I85" t="s">
        <v>249</v>
      </c>
      <c r="J85" t="s">
        <v>606</v>
      </c>
      <c r="K85">
        <v>0</v>
      </c>
      <c r="L85" t="s">
        <v>251</v>
      </c>
      <c r="N85" t="s">
        <v>419</v>
      </c>
      <c r="O85" t="s">
        <v>606</v>
      </c>
      <c r="P85">
        <v>4.4101453381273371E-5</v>
      </c>
      <c r="Q85" t="s">
        <v>251</v>
      </c>
      <c r="S85" t="s">
        <v>420</v>
      </c>
      <c r="T85" t="s">
        <v>606</v>
      </c>
      <c r="U85">
        <v>5.5385318731688292E-5</v>
      </c>
      <c r="V85" t="s">
        <v>251</v>
      </c>
      <c r="X85">
        <v>1.1415525114155251E-4</v>
      </c>
      <c r="Y85">
        <v>1.6574265138519424E-5</v>
      </c>
      <c r="Z85" t="s">
        <v>606</v>
      </c>
      <c r="AA85" t="s">
        <v>25</v>
      </c>
      <c r="AC85" t="s">
        <v>22</v>
      </c>
      <c r="AD85" t="s">
        <v>606</v>
      </c>
      <c r="AE85">
        <v>1.3569190977400294E-4</v>
      </c>
      <c r="AG85" t="s">
        <v>99</v>
      </c>
      <c r="AH85" t="s">
        <v>606</v>
      </c>
      <c r="AI85">
        <v>0</v>
      </c>
    </row>
    <row r="86" spans="5:35" x14ac:dyDescent="0.45">
      <c r="E86" t="s">
        <v>487</v>
      </c>
      <c r="G86" t="s">
        <v>434</v>
      </c>
      <c r="I86" t="s">
        <v>249</v>
      </c>
      <c r="J86" t="s">
        <v>607</v>
      </c>
      <c r="K86">
        <v>0</v>
      </c>
      <c r="L86" t="s">
        <v>251</v>
      </c>
      <c r="N86" t="s">
        <v>419</v>
      </c>
      <c r="O86" t="s">
        <v>607</v>
      </c>
      <c r="P86">
        <v>4.4004452299967778E-5</v>
      </c>
      <c r="Q86" t="s">
        <v>251</v>
      </c>
      <c r="S86" t="s">
        <v>420</v>
      </c>
      <c r="T86" t="s">
        <v>607</v>
      </c>
      <c r="U86">
        <v>5.1995407682923491E-5</v>
      </c>
      <c r="V86" t="s">
        <v>251</v>
      </c>
      <c r="X86">
        <v>1.1415525114155251E-4</v>
      </c>
      <c r="Y86">
        <v>1.4585353321897093E-5</v>
      </c>
      <c r="Z86" t="s">
        <v>607</v>
      </c>
      <c r="AA86" t="s">
        <v>25</v>
      </c>
      <c r="AC86" t="s">
        <v>22</v>
      </c>
      <c r="AD86" t="s">
        <v>607</v>
      </c>
      <c r="AE86">
        <v>1.3569190977400294E-4</v>
      </c>
      <c r="AG86" t="s">
        <v>99</v>
      </c>
      <c r="AH86" t="s">
        <v>607</v>
      </c>
      <c r="AI86">
        <v>0</v>
      </c>
    </row>
    <row r="87" spans="5:35" x14ac:dyDescent="0.45">
      <c r="E87" t="s">
        <v>488</v>
      </c>
      <c r="G87" t="s">
        <v>434</v>
      </c>
      <c r="I87" t="s">
        <v>249</v>
      </c>
      <c r="J87" t="s">
        <v>608</v>
      </c>
      <c r="K87">
        <v>0</v>
      </c>
      <c r="L87" t="s">
        <v>251</v>
      </c>
      <c r="N87" t="s">
        <v>419</v>
      </c>
      <c r="O87" t="s">
        <v>608</v>
      </c>
      <c r="P87">
        <v>4.2487077012462368E-5</v>
      </c>
      <c r="Q87" t="s">
        <v>251</v>
      </c>
      <c r="S87" t="s">
        <v>420</v>
      </c>
      <c r="T87" t="s">
        <v>608</v>
      </c>
      <c r="U87">
        <v>5.1299614741577302E-5</v>
      </c>
      <c r="V87" t="s">
        <v>251</v>
      </c>
      <c r="X87">
        <v>1.1415525114155251E-4</v>
      </c>
      <c r="Y87">
        <v>2.1215059377304864E-5</v>
      </c>
      <c r="Z87" t="s">
        <v>608</v>
      </c>
      <c r="AA87" t="s">
        <v>25</v>
      </c>
      <c r="AC87" t="s">
        <v>22</v>
      </c>
      <c r="AD87" t="s">
        <v>608</v>
      </c>
      <c r="AE87">
        <v>1.3436950834730006E-4</v>
      </c>
      <c r="AG87" t="s">
        <v>99</v>
      </c>
      <c r="AH87" t="s">
        <v>608</v>
      </c>
      <c r="AI87">
        <v>0</v>
      </c>
    </row>
    <row r="88" spans="5:35" x14ac:dyDescent="0.45">
      <c r="E88" t="s">
        <v>489</v>
      </c>
      <c r="G88" t="s">
        <v>434</v>
      </c>
      <c r="I88" t="s">
        <v>249</v>
      </c>
      <c r="J88" t="s">
        <v>609</v>
      </c>
      <c r="K88">
        <v>0</v>
      </c>
      <c r="L88" t="s">
        <v>251</v>
      </c>
      <c r="N88" t="s">
        <v>419</v>
      </c>
      <c r="O88" t="s">
        <v>609</v>
      </c>
      <c r="P88">
        <v>4.0711811748859439E-5</v>
      </c>
      <c r="Q88" t="s">
        <v>251</v>
      </c>
      <c r="S88" t="s">
        <v>420</v>
      </c>
      <c r="T88" t="s">
        <v>609</v>
      </c>
      <c r="U88">
        <v>5.0782609338270538E-5</v>
      </c>
      <c r="V88" t="s">
        <v>251</v>
      </c>
      <c r="X88">
        <v>1.1415525114155251E-4</v>
      </c>
      <c r="Y88">
        <v>5.7678442682047593E-5</v>
      </c>
      <c r="Z88" t="s">
        <v>609</v>
      </c>
      <c r="AA88" t="s">
        <v>25</v>
      </c>
      <c r="AC88" t="s">
        <v>22</v>
      </c>
      <c r="AD88" t="s">
        <v>609</v>
      </c>
      <c r="AE88">
        <v>1.3436950834730006E-4</v>
      </c>
      <c r="AG88" t="s">
        <v>99</v>
      </c>
      <c r="AH88" t="s">
        <v>609</v>
      </c>
      <c r="AI88">
        <v>0</v>
      </c>
    </row>
    <row r="89" spans="5:35" x14ac:dyDescent="0.45">
      <c r="E89" t="s">
        <v>490</v>
      </c>
      <c r="G89" t="s">
        <v>434</v>
      </c>
      <c r="I89" t="s">
        <v>249</v>
      </c>
      <c r="J89" t="s">
        <v>610</v>
      </c>
      <c r="K89">
        <v>0</v>
      </c>
      <c r="L89" t="s">
        <v>251</v>
      </c>
      <c r="N89" t="s">
        <v>419</v>
      </c>
      <c r="O89" t="s">
        <v>610</v>
      </c>
      <c r="P89">
        <v>3.8615827402659132E-5</v>
      </c>
      <c r="Q89" t="s">
        <v>251</v>
      </c>
      <c r="S89" t="s">
        <v>420</v>
      </c>
      <c r="T89" t="s">
        <v>610</v>
      </c>
      <c r="U89">
        <v>5.3202695258249142E-5</v>
      </c>
      <c r="V89" t="s">
        <v>251</v>
      </c>
      <c r="X89">
        <v>1.1415525114155251E-4</v>
      </c>
      <c r="Y89">
        <v>1.6905750441289813E-4</v>
      </c>
      <c r="Z89" t="s">
        <v>610</v>
      </c>
      <c r="AA89" t="s">
        <v>25</v>
      </c>
      <c r="AC89" t="s">
        <v>22</v>
      </c>
      <c r="AD89" t="s">
        <v>610</v>
      </c>
      <c r="AE89">
        <v>1.3591231001178677E-4</v>
      </c>
      <c r="AG89" t="s">
        <v>99</v>
      </c>
      <c r="AH89" t="s">
        <v>610</v>
      </c>
      <c r="AI89">
        <v>0</v>
      </c>
    </row>
    <row r="90" spans="5:35" x14ac:dyDescent="0.45">
      <c r="E90" t="s">
        <v>491</v>
      </c>
      <c r="G90" t="s">
        <v>434</v>
      </c>
      <c r="I90" t="s">
        <v>249</v>
      </c>
      <c r="J90" t="s">
        <v>611</v>
      </c>
      <c r="K90">
        <v>1.1674552845265375E-6</v>
      </c>
      <c r="L90" t="s">
        <v>251</v>
      </c>
      <c r="N90" t="s">
        <v>419</v>
      </c>
      <c r="O90" t="s">
        <v>611</v>
      </c>
      <c r="P90">
        <v>4.1845524210227469E-5</v>
      </c>
      <c r="Q90" t="s">
        <v>251</v>
      </c>
      <c r="S90" t="s">
        <v>420</v>
      </c>
      <c r="T90" t="s">
        <v>611</v>
      </c>
      <c r="U90">
        <v>5.6800220836299827E-5</v>
      </c>
      <c r="V90" t="s">
        <v>251</v>
      </c>
      <c r="X90">
        <v>1.1415525114155251E-4</v>
      </c>
      <c r="Y90">
        <v>1.9060404909297337E-4</v>
      </c>
      <c r="Z90" t="s">
        <v>611</v>
      </c>
      <c r="AA90" t="s">
        <v>25</v>
      </c>
      <c r="AC90" t="s">
        <v>22</v>
      </c>
      <c r="AD90" t="s">
        <v>611</v>
      </c>
      <c r="AE90">
        <v>1.4780200932574584E-4</v>
      </c>
      <c r="AG90" t="s">
        <v>99</v>
      </c>
      <c r="AH90" t="s">
        <v>611</v>
      </c>
      <c r="AI90">
        <v>0</v>
      </c>
    </row>
    <row r="91" spans="5:35" x14ac:dyDescent="0.45">
      <c r="E91" t="s">
        <v>492</v>
      </c>
      <c r="G91" t="s">
        <v>434</v>
      </c>
      <c r="I91" t="s">
        <v>249</v>
      </c>
      <c r="J91" t="s">
        <v>612</v>
      </c>
      <c r="K91">
        <v>3.4350279544761811E-5</v>
      </c>
      <c r="L91" t="s">
        <v>251</v>
      </c>
      <c r="N91" t="s">
        <v>419</v>
      </c>
      <c r="O91" t="s">
        <v>612</v>
      </c>
      <c r="P91">
        <v>3.9344890510767599E-5</v>
      </c>
      <c r="Q91" t="s">
        <v>251</v>
      </c>
      <c r="S91" t="s">
        <v>420</v>
      </c>
      <c r="T91" t="s">
        <v>612</v>
      </c>
      <c r="U91">
        <v>6.7774610768942358E-5</v>
      </c>
      <c r="V91" t="s">
        <v>251</v>
      </c>
      <c r="X91">
        <v>1.1415525114155251E-4</v>
      </c>
      <c r="Y91">
        <v>1.4585353321897094E-4</v>
      </c>
      <c r="Z91" t="s">
        <v>612</v>
      </c>
      <c r="AA91" t="s">
        <v>25</v>
      </c>
      <c r="AC91" t="s">
        <v>22</v>
      </c>
      <c r="AD91" t="s">
        <v>612</v>
      </c>
      <c r="AE91">
        <v>1.5061955831146859E-4</v>
      </c>
      <c r="AG91" t="s">
        <v>99</v>
      </c>
      <c r="AH91" t="s">
        <v>612</v>
      </c>
      <c r="AI91">
        <v>0</v>
      </c>
    </row>
    <row r="92" spans="5:35" x14ac:dyDescent="0.45">
      <c r="E92" t="s">
        <v>493</v>
      </c>
      <c r="G92" t="s">
        <v>434</v>
      </c>
      <c r="I92" t="s">
        <v>249</v>
      </c>
      <c r="J92" t="s">
        <v>613</v>
      </c>
      <c r="K92">
        <v>5.4465530851961328E-5</v>
      </c>
      <c r="L92" t="s">
        <v>251</v>
      </c>
      <c r="N92" t="s">
        <v>419</v>
      </c>
      <c r="O92" t="s">
        <v>613</v>
      </c>
      <c r="P92">
        <v>2.9652874354868337E-5</v>
      </c>
      <c r="Q92" t="s">
        <v>251</v>
      </c>
      <c r="S92" t="s">
        <v>420</v>
      </c>
      <c r="T92" t="s">
        <v>613</v>
      </c>
      <c r="U92">
        <v>7.1337021978762545E-5</v>
      </c>
      <c r="V92" t="s">
        <v>251</v>
      </c>
      <c r="X92">
        <v>1.1415525114155251E-4</v>
      </c>
      <c r="Y92">
        <v>1.4452759200788939E-4</v>
      </c>
      <c r="Z92" t="s">
        <v>613</v>
      </c>
      <c r="AA92" t="s">
        <v>25</v>
      </c>
      <c r="AC92" t="s">
        <v>22</v>
      </c>
      <c r="AD92" t="s">
        <v>613</v>
      </c>
      <c r="AE92">
        <v>1.5763662534145048E-4</v>
      </c>
      <c r="AG92" t="s">
        <v>99</v>
      </c>
      <c r="AH92" t="s">
        <v>613</v>
      </c>
      <c r="AI92">
        <v>0</v>
      </c>
    </row>
    <row r="93" spans="5:35" x14ac:dyDescent="0.45">
      <c r="E93" t="s">
        <v>494</v>
      </c>
      <c r="G93" t="s">
        <v>434</v>
      </c>
      <c r="I93" t="s">
        <v>249</v>
      </c>
      <c r="J93" t="s">
        <v>614</v>
      </c>
      <c r="K93">
        <v>7.1974736236062322E-5</v>
      </c>
      <c r="L93" t="s">
        <v>251</v>
      </c>
      <c r="N93" t="s">
        <v>419</v>
      </c>
      <c r="O93" t="s">
        <v>614</v>
      </c>
      <c r="P93">
        <v>2.5341769434099131E-5</v>
      </c>
      <c r="Q93" t="s">
        <v>251</v>
      </c>
      <c r="S93" t="s">
        <v>420</v>
      </c>
      <c r="T93" t="s">
        <v>614</v>
      </c>
      <c r="U93">
        <v>6.6732109978240244E-5</v>
      </c>
      <c r="V93" t="s">
        <v>251</v>
      </c>
      <c r="X93">
        <v>1.1415525114155251E-4</v>
      </c>
      <c r="Y93">
        <v>1.408812536774151E-4</v>
      </c>
      <c r="Z93" t="s">
        <v>614</v>
      </c>
      <c r="AA93" t="s">
        <v>25</v>
      </c>
      <c r="AC93" t="s">
        <v>22</v>
      </c>
      <c r="AD93" t="s">
        <v>614</v>
      </c>
      <c r="AE93">
        <v>1.607460557231572E-4</v>
      </c>
      <c r="AG93" t="s">
        <v>99</v>
      </c>
      <c r="AH93" t="s">
        <v>614</v>
      </c>
      <c r="AI93">
        <v>0</v>
      </c>
    </row>
    <row r="94" spans="5:35" x14ac:dyDescent="0.45">
      <c r="E94" t="s">
        <v>495</v>
      </c>
      <c r="G94" t="s">
        <v>434</v>
      </c>
      <c r="I94" t="s">
        <v>249</v>
      </c>
      <c r="J94" t="s">
        <v>615</v>
      </c>
      <c r="K94">
        <v>9.5278243135412836E-5</v>
      </c>
      <c r="L94" t="s">
        <v>251</v>
      </c>
      <c r="N94" t="s">
        <v>419</v>
      </c>
      <c r="O94" t="s">
        <v>615</v>
      </c>
      <c r="P94">
        <v>3.0796740204960403E-5</v>
      </c>
      <c r="Q94" t="s">
        <v>251</v>
      </c>
      <c r="S94" t="s">
        <v>420</v>
      </c>
      <c r="T94" t="s">
        <v>615</v>
      </c>
      <c r="U94">
        <v>5.919997086820766E-5</v>
      </c>
      <c r="V94" t="s">
        <v>251</v>
      </c>
      <c r="X94">
        <v>1.1415525114155251E-4</v>
      </c>
      <c r="Y94">
        <v>1.4054976837464471E-4</v>
      </c>
      <c r="Z94" t="s">
        <v>615</v>
      </c>
      <c r="AA94" t="s">
        <v>25</v>
      </c>
      <c r="AC94" t="s">
        <v>22</v>
      </c>
      <c r="AD94" t="s">
        <v>615</v>
      </c>
      <c r="AE94">
        <v>1.5717795457633282E-4</v>
      </c>
      <c r="AG94" t="s">
        <v>99</v>
      </c>
      <c r="AH94" t="s">
        <v>615</v>
      </c>
      <c r="AI94">
        <v>0</v>
      </c>
    </row>
    <row r="95" spans="5:35" x14ac:dyDescent="0.45">
      <c r="E95" t="s">
        <v>496</v>
      </c>
      <c r="G95" t="s">
        <v>434</v>
      </c>
      <c r="I95" t="s">
        <v>249</v>
      </c>
      <c r="J95" t="s">
        <v>616</v>
      </c>
      <c r="K95">
        <v>1.176239729482E-4</v>
      </c>
      <c r="L95" t="s">
        <v>251</v>
      </c>
      <c r="N95" t="s">
        <v>419</v>
      </c>
      <c r="O95" t="s">
        <v>616</v>
      </c>
      <c r="P95">
        <v>2.866131419145021E-5</v>
      </c>
      <c r="Q95" t="s">
        <v>251</v>
      </c>
      <c r="S95" t="s">
        <v>420</v>
      </c>
      <c r="T95" t="s">
        <v>616</v>
      </c>
      <c r="U95">
        <v>5.0872603940587072E-5</v>
      </c>
      <c r="V95" t="s">
        <v>251</v>
      </c>
      <c r="X95">
        <v>1.1415525114155251E-4</v>
      </c>
      <c r="Y95">
        <v>1.4253868019126702E-4</v>
      </c>
      <c r="Z95" t="s">
        <v>616</v>
      </c>
      <c r="AA95" t="s">
        <v>25</v>
      </c>
      <c r="AC95" t="s">
        <v>22</v>
      </c>
      <c r="AD95" t="s">
        <v>616</v>
      </c>
      <c r="AE95">
        <v>1.4293533380495195E-4</v>
      </c>
      <c r="AG95" t="s">
        <v>99</v>
      </c>
      <c r="AH95" t="s">
        <v>616</v>
      </c>
      <c r="AI95">
        <v>0</v>
      </c>
    </row>
    <row r="96" spans="5:35" x14ac:dyDescent="0.45">
      <c r="E96" t="s">
        <v>497</v>
      </c>
      <c r="G96" t="s">
        <v>434</v>
      </c>
      <c r="I96" t="s">
        <v>249</v>
      </c>
      <c r="J96" t="s">
        <v>617</v>
      </c>
      <c r="K96">
        <v>1.0776810514560001E-4</v>
      </c>
      <c r="L96" t="s">
        <v>251</v>
      </c>
      <c r="N96" t="s">
        <v>419</v>
      </c>
      <c r="O96" t="s">
        <v>617</v>
      </c>
      <c r="P96">
        <v>2.584334668492916E-5</v>
      </c>
      <c r="Q96" t="s">
        <v>251</v>
      </c>
      <c r="S96" t="s">
        <v>420</v>
      </c>
      <c r="T96" t="s">
        <v>617</v>
      </c>
      <c r="U96">
        <v>4.4728438378380447E-5</v>
      </c>
      <c r="V96" t="s">
        <v>251</v>
      </c>
      <c r="X96">
        <v>1.1415525114155251E-4</v>
      </c>
      <c r="Y96">
        <v>1.4883690094390442E-4</v>
      </c>
      <c r="Z96" t="s">
        <v>617</v>
      </c>
      <c r="AA96" t="s">
        <v>25</v>
      </c>
      <c r="AC96" t="s">
        <v>22</v>
      </c>
      <c r="AD96" t="s">
        <v>617</v>
      </c>
      <c r="AE96">
        <v>1.2474337904301258E-4</v>
      </c>
      <c r="AG96" t="s">
        <v>99</v>
      </c>
      <c r="AH96" t="s">
        <v>617</v>
      </c>
      <c r="AI96">
        <v>0</v>
      </c>
    </row>
    <row r="97" spans="5:35" x14ac:dyDescent="0.45">
      <c r="E97" t="s">
        <v>498</v>
      </c>
      <c r="G97" t="s">
        <v>434</v>
      </c>
      <c r="I97" t="s">
        <v>249</v>
      </c>
      <c r="J97" t="s">
        <v>618</v>
      </c>
      <c r="K97">
        <v>1.006089100692E-4</v>
      </c>
      <c r="L97" t="s">
        <v>251</v>
      </c>
      <c r="N97" t="s">
        <v>419</v>
      </c>
      <c r="O97" t="s">
        <v>618</v>
      </c>
      <c r="P97">
        <v>2.3832261545094293E-5</v>
      </c>
      <c r="Q97" t="s">
        <v>251</v>
      </c>
      <c r="S97" t="s">
        <v>420</v>
      </c>
      <c r="T97" t="s">
        <v>618</v>
      </c>
      <c r="U97">
        <v>4.5620382344985283E-5</v>
      </c>
      <c r="V97" t="s">
        <v>251</v>
      </c>
      <c r="X97">
        <v>1.1415525114155251E-4</v>
      </c>
      <c r="Y97">
        <v>1.5049432745775637E-4</v>
      </c>
      <c r="Z97" t="s">
        <v>618</v>
      </c>
      <c r="AA97" t="s">
        <v>25</v>
      </c>
      <c r="AC97" t="s">
        <v>22</v>
      </c>
      <c r="AD97" t="s">
        <v>618</v>
      </c>
      <c r="AE97">
        <v>1.1412247028710623E-4</v>
      </c>
      <c r="AG97" t="s">
        <v>99</v>
      </c>
      <c r="AH97" t="s">
        <v>618</v>
      </c>
      <c r="AI97">
        <v>0</v>
      </c>
    </row>
    <row r="98" spans="5:35" x14ac:dyDescent="0.45">
      <c r="E98" t="s">
        <v>499</v>
      </c>
      <c r="G98" t="s">
        <v>434</v>
      </c>
      <c r="I98" t="s">
        <v>249</v>
      </c>
      <c r="J98" t="s">
        <v>619</v>
      </c>
      <c r="K98">
        <v>9.3775725353677339E-5</v>
      </c>
      <c r="L98" t="s">
        <v>251</v>
      </c>
      <c r="N98" t="s">
        <v>419</v>
      </c>
      <c r="O98" t="s">
        <v>619</v>
      </c>
      <c r="P98">
        <v>2.4164572293492236E-5</v>
      </c>
      <c r="Q98" t="s">
        <v>251</v>
      </c>
      <c r="S98" t="s">
        <v>420</v>
      </c>
      <c r="T98" t="s">
        <v>619</v>
      </c>
      <c r="U98">
        <v>5.2139079556697794E-5</v>
      </c>
      <c r="V98" t="s">
        <v>251</v>
      </c>
      <c r="X98">
        <v>1.1415525114155251E-4</v>
      </c>
      <c r="Y98">
        <v>1.7237235744060203E-4</v>
      </c>
      <c r="Z98" t="s">
        <v>619</v>
      </c>
      <c r="AA98" t="s">
        <v>25</v>
      </c>
      <c r="AC98" t="s">
        <v>22</v>
      </c>
      <c r="AD98" t="s">
        <v>619</v>
      </c>
      <c r="AE98">
        <v>9.3440588514528126E-5</v>
      </c>
      <c r="AG98" t="s">
        <v>99</v>
      </c>
      <c r="AH98" t="s">
        <v>619</v>
      </c>
      <c r="AI98">
        <v>0</v>
      </c>
    </row>
    <row r="99" spans="5:35" x14ac:dyDescent="0.45">
      <c r="E99" t="s">
        <v>500</v>
      </c>
      <c r="G99" t="s">
        <v>434</v>
      </c>
      <c r="I99" t="s">
        <v>249</v>
      </c>
      <c r="J99" t="s">
        <v>620</v>
      </c>
      <c r="K99">
        <v>8.6068357588442543E-5</v>
      </c>
      <c r="L99" t="s">
        <v>251</v>
      </c>
      <c r="N99" t="s">
        <v>419</v>
      </c>
      <c r="O99" t="s">
        <v>620</v>
      </c>
      <c r="P99">
        <v>2.4995836368786968E-5</v>
      </c>
      <c r="Q99" t="s">
        <v>251</v>
      </c>
      <c r="S99" t="s">
        <v>420</v>
      </c>
      <c r="T99" t="s">
        <v>620</v>
      </c>
      <c r="U99">
        <v>6.032169745863095E-5</v>
      </c>
      <c r="V99" t="s">
        <v>251</v>
      </c>
      <c r="X99">
        <v>1.1415525114155251E-4</v>
      </c>
      <c r="Y99">
        <v>2.2209515285616027E-4</v>
      </c>
      <c r="Z99" t="s">
        <v>620</v>
      </c>
      <c r="AA99" t="s">
        <v>25</v>
      </c>
      <c r="AC99" t="s">
        <v>22</v>
      </c>
      <c r="AD99" t="s">
        <v>620</v>
      </c>
      <c r="AE99">
        <v>8.9622303314003203E-5</v>
      </c>
      <c r="AG99" t="s">
        <v>99</v>
      </c>
      <c r="AH99" t="s">
        <v>620</v>
      </c>
      <c r="AI99">
        <v>0</v>
      </c>
    </row>
    <row r="100" spans="5:35" x14ac:dyDescent="0.45">
      <c r="E100" t="s">
        <v>501</v>
      </c>
      <c r="G100" t="s">
        <v>434</v>
      </c>
      <c r="I100" t="s">
        <v>249</v>
      </c>
      <c r="J100" t="s">
        <v>621</v>
      </c>
      <c r="K100">
        <v>6.09903040000963E-5</v>
      </c>
      <c r="L100" t="s">
        <v>251</v>
      </c>
      <c r="N100" t="s">
        <v>419</v>
      </c>
      <c r="O100" t="s">
        <v>621</v>
      </c>
      <c r="P100">
        <v>2.5601439498923502E-5</v>
      </c>
      <c r="Q100" t="s">
        <v>251</v>
      </c>
      <c r="S100" t="s">
        <v>420</v>
      </c>
      <c r="T100" t="s">
        <v>621</v>
      </c>
      <c r="U100">
        <v>6.7594174428298266E-5</v>
      </c>
      <c r="V100" t="s">
        <v>251</v>
      </c>
      <c r="X100">
        <v>1.1415525114155251E-4</v>
      </c>
      <c r="Y100">
        <v>2.2209515285616027E-4</v>
      </c>
      <c r="Z100" t="s">
        <v>621</v>
      </c>
      <c r="AA100" t="s">
        <v>25</v>
      </c>
      <c r="AC100" t="s">
        <v>22</v>
      </c>
      <c r="AD100" t="s">
        <v>621</v>
      </c>
      <c r="AE100">
        <v>8.5631271981161219E-5</v>
      </c>
      <c r="AG100" t="s">
        <v>99</v>
      </c>
      <c r="AH100" t="s">
        <v>621</v>
      </c>
      <c r="AI100">
        <v>0</v>
      </c>
    </row>
    <row r="101" spans="5:35" x14ac:dyDescent="0.45">
      <c r="E101" t="s">
        <v>502</v>
      </c>
      <c r="G101" t="s">
        <v>434</v>
      </c>
      <c r="I101" t="s">
        <v>249</v>
      </c>
      <c r="J101" t="s">
        <v>622</v>
      </c>
      <c r="K101">
        <v>3.2322467964585049E-6</v>
      </c>
      <c r="L101" t="s">
        <v>251</v>
      </c>
      <c r="N101" t="s">
        <v>419</v>
      </c>
      <c r="O101" t="s">
        <v>622</v>
      </c>
      <c r="P101">
        <v>2.8693943736878041E-5</v>
      </c>
      <c r="Q101" t="s">
        <v>251</v>
      </c>
      <c r="S101" t="s">
        <v>420</v>
      </c>
      <c r="T101" t="s">
        <v>622</v>
      </c>
      <c r="U101">
        <v>6.9745630753263737E-5</v>
      </c>
      <c r="V101" t="s">
        <v>251</v>
      </c>
      <c r="X101">
        <v>1.1415525114155251E-4</v>
      </c>
      <c r="Y101">
        <v>1.7237235744060203E-4</v>
      </c>
      <c r="Z101" t="s">
        <v>622</v>
      </c>
      <c r="AA101" t="s">
        <v>25</v>
      </c>
      <c r="AC101" t="s">
        <v>22</v>
      </c>
      <c r="AD101" t="s">
        <v>622</v>
      </c>
      <c r="AE101">
        <v>8.6846451670563853E-5</v>
      </c>
      <c r="AG101" t="s">
        <v>99</v>
      </c>
      <c r="AH101" t="s">
        <v>622</v>
      </c>
      <c r="AI101">
        <v>0</v>
      </c>
    </row>
    <row r="102" spans="5:35" x14ac:dyDescent="0.45">
      <c r="E102" t="s">
        <v>503</v>
      </c>
      <c r="G102" t="s">
        <v>434</v>
      </c>
      <c r="I102" t="s">
        <v>249</v>
      </c>
      <c r="J102" t="s">
        <v>623</v>
      </c>
      <c r="K102">
        <v>0</v>
      </c>
      <c r="L102" t="s">
        <v>251</v>
      </c>
      <c r="N102" t="s">
        <v>419</v>
      </c>
      <c r="O102" t="s">
        <v>623</v>
      </c>
      <c r="P102">
        <v>3.597427121552569E-5</v>
      </c>
      <c r="Q102" t="s">
        <v>251</v>
      </c>
      <c r="S102" t="s">
        <v>420</v>
      </c>
      <c r="T102" t="s">
        <v>623</v>
      </c>
      <c r="U102">
        <v>6.429807690388643E-5</v>
      </c>
      <c r="V102" t="s">
        <v>251</v>
      </c>
      <c r="X102">
        <v>1.1415525114155251E-4</v>
      </c>
      <c r="Y102">
        <v>1.5579809230208258E-4</v>
      </c>
      <c r="Z102" t="s">
        <v>623</v>
      </c>
      <c r="AA102" t="s">
        <v>25</v>
      </c>
      <c r="AC102" t="s">
        <v>22</v>
      </c>
      <c r="AD102" t="s">
        <v>623</v>
      </c>
      <c r="AE102">
        <v>9.1629732506790873E-5</v>
      </c>
      <c r="AG102" t="s">
        <v>99</v>
      </c>
      <c r="AH102" t="s">
        <v>623</v>
      </c>
      <c r="AI102">
        <v>0</v>
      </c>
    </row>
    <row r="103" spans="5:35" x14ac:dyDescent="0.45">
      <c r="E103" t="s">
        <v>504</v>
      </c>
      <c r="G103" t="s">
        <v>434</v>
      </c>
      <c r="I103" t="s">
        <v>249</v>
      </c>
      <c r="J103" t="s">
        <v>624</v>
      </c>
      <c r="K103">
        <v>0</v>
      </c>
      <c r="L103" t="s">
        <v>251</v>
      </c>
      <c r="N103" t="s">
        <v>419</v>
      </c>
      <c r="O103" t="s">
        <v>624</v>
      </c>
      <c r="P103">
        <v>4.3827917386146018E-5</v>
      </c>
      <c r="Q103" t="s">
        <v>251</v>
      </c>
      <c r="S103" t="s">
        <v>420</v>
      </c>
      <c r="T103" t="s">
        <v>624</v>
      </c>
      <c r="U103">
        <v>6.0080371498222193E-5</v>
      </c>
      <c r="V103" t="s">
        <v>251</v>
      </c>
      <c r="X103">
        <v>1.1415525114155251E-4</v>
      </c>
      <c r="Y103">
        <v>1.093901499142282E-4</v>
      </c>
      <c r="Z103" t="s">
        <v>624</v>
      </c>
      <c r="AA103" t="s">
        <v>25</v>
      </c>
      <c r="AC103" t="s">
        <v>22</v>
      </c>
      <c r="AD103" t="s">
        <v>624</v>
      </c>
      <c r="AE103">
        <v>1.0976807640008015E-4</v>
      </c>
      <c r="AG103" t="s">
        <v>99</v>
      </c>
      <c r="AH103" t="s">
        <v>624</v>
      </c>
      <c r="AI103">
        <v>0</v>
      </c>
    </row>
    <row r="104" spans="5:35" x14ac:dyDescent="0.45">
      <c r="E104" t="s">
        <v>505</v>
      </c>
      <c r="G104" t="s">
        <v>434</v>
      </c>
      <c r="I104" t="s">
        <v>249</v>
      </c>
      <c r="J104" t="s">
        <v>625</v>
      </c>
      <c r="K104">
        <v>0</v>
      </c>
      <c r="L104" t="s">
        <v>251</v>
      </c>
      <c r="N104" t="s">
        <v>419</v>
      </c>
      <c r="O104" t="s">
        <v>625</v>
      </c>
      <c r="P104">
        <v>4.7520183322475729E-5</v>
      </c>
      <c r="Q104" t="s">
        <v>251</v>
      </c>
      <c r="S104" t="s">
        <v>420</v>
      </c>
      <c r="T104" t="s">
        <v>625</v>
      </c>
      <c r="U104">
        <v>5.0372139819090582E-5</v>
      </c>
      <c r="V104" t="s">
        <v>251</v>
      </c>
      <c r="X104">
        <v>1.1415525114155251E-4</v>
      </c>
      <c r="Y104">
        <v>7.9556472664893237E-5</v>
      </c>
      <c r="Z104" t="s">
        <v>625</v>
      </c>
      <c r="AA104" t="s">
        <v>25</v>
      </c>
      <c r="AC104" t="s">
        <v>22</v>
      </c>
      <c r="AD104" t="s">
        <v>625</v>
      </c>
      <c r="AE104">
        <v>1.2981854127522356E-4</v>
      </c>
      <c r="AG104" t="s">
        <v>99</v>
      </c>
      <c r="AH104" t="s">
        <v>625</v>
      </c>
      <c r="AI104">
        <v>0</v>
      </c>
    </row>
    <row r="105" spans="5:35" x14ac:dyDescent="0.45">
      <c r="E105" t="s">
        <v>506</v>
      </c>
      <c r="G105" t="s">
        <v>434</v>
      </c>
      <c r="I105" t="s">
        <v>249</v>
      </c>
      <c r="J105" t="s">
        <v>626</v>
      </c>
      <c r="K105">
        <v>0</v>
      </c>
      <c r="L105" t="s">
        <v>251</v>
      </c>
      <c r="N105" t="s">
        <v>419</v>
      </c>
      <c r="O105" t="s">
        <v>626</v>
      </c>
      <c r="P105">
        <v>4.4157841581766655E-5</v>
      </c>
      <c r="Q105" t="s">
        <v>251</v>
      </c>
      <c r="S105" t="s">
        <v>420</v>
      </c>
      <c r="T105" t="s">
        <v>626</v>
      </c>
      <c r="U105">
        <v>4.7558686780736096E-5</v>
      </c>
      <c r="V105" t="s">
        <v>251</v>
      </c>
      <c r="X105">
        <v>1.1415525114155251E-4</v>
      </c>
      <c r="Y105">
        <v>5.6352501470966035E-5</v>
      </c>
      <c r="Z105" t="s">
        <v>626</v>
      </c>
      <c r="AA105" t="s">
        <v>25</v>
      </c>
      <c r="AC105" t="s">
        <v>22</v>
      </c>
      <c r="AD105" t="s">
        <v>626</v>
      </c>
      <c r="AE105">
        <v>1.3696665709523904E-4</v>
      </c>
      <c r="AG105" t="s">
        <v>99</v>
      </c>
      <c r="AH105" t="s">
        <v>626</v>
      </c>
      <c r="AI105">
        <v>0</v>
      </c>
    </row>
    <row r="106" spans="5:35" x14ac:dyDescent="0.45">
      <c r="E106" t="s">
        <v>507</v>
      </c>
      <c r="G106" t="s">
        <v>434</v>
      </c>
      <c r="I106" t="s">
        <v>249</v>
      </c>
      <c r="J106" t="s">
        <v>627</v>
      </c>
      <c r="K106">
        <v>0</v>
      </c>
      <c r="L106" t="s">
        <v>251</v>
      </c>
      <c r="N106" t="s">
        <v>419</v>
      </c>
      <c r="O106" t="s">
        <v>627</v>
      </c>
      <c r="P106">
        <v>4.29419329566179E-5</v>
      </c>
      <c r="Q106" t="s">
        <v>251</v>
      </c>
      <c r="S106" t="s">
        <v>420</v>
      </c>
      <c r="T106" t="s">
        <v>627</v>
      </c>
      <c r="U106">
        <v>4.8612016254802383E-5</v>
      </c>
      <c r="V106" t="s">
        <v>251</v>
      </c>
      <c r="X106">
        <v>1.1415525114155251E-4</v>
      </c>
      <c r="Y106">
        <v>2.9833677249334962E-5</v>
      </c>
      <c r="Z106" t="s">
        <v>627</v>
      </c>
      <c r="AA106" t="s">
        <v>25</v>
      </c>
      <c r="AC106" t="s">
        <v>22</v>
      </c>
      <c r="AD106" t="s">
        <v>627</v>
      </c>
      <c r="AE106">
        <v>1.4573501250112467E-4</v>
      </c>
      <c r="AG106" t="s">
        <v>99</v>
      </c>
      <c r="AH106" t="s">
        <v>627</v>
      </c>
      <c r="AI106">
        <v>0</v>
      </c>
    </row>
    <row r="107" spans="5:35" x14ac:dyDescent="0.45">
      <c r="E107" t="s">
        <v>192</v>
      </c>
      <c r="G107" t="s">
        <v>436</v>
      </c>
      <c r="I107" t="s">
        <v>249</v>
      </c>
      <c r="J107" t="s">
        <v>628</v>
      </c>
      <c r="K107">
        <v>0</v>
      </c>
      <c r="L107" t="s">
        <v>251</v>
      </c>
      <c r="N107" t="s">
        <v>419</v>
      </c>
      <c r="O107" t="s">
        <v>628</v>
      </c>
      <c r="P107">
        <v>7.2973699732356863E-5</v>
      </c>
      <c r="Q107" t="s">
        <v>251</v>
      </c>
      <c r="S107" t="s">
        <v>420</v>
      </c>
      <c r="T107" t="s">
        <v>628</v>
      </c>
      <c r="U107">
        <v>3.8970374488624574E-5</v>
      </c>
      <c r="V107" t="s">
        <v>251</v>
      </c>
      <c r="X107">
        <v>1.1415525114155251E-4</v>
      </c>
      <c r="Y107">
        <v>2.1546544680075254E-5</v>
      </c>
      <c r="Z107" t="s">
        <v>628</v>
      </c>
      <c r="AA107" t="s">
        <v>25</v>
      </c>
      <c r="AC107" t="s">
        <v>22</v>
      </c>
      <c r="AD107" t="s">
        <v>628</v>
      </c>
      <c r="AE107">
        <v>1.4677148929502693E-4</v>
      </c>
      <c r="AG107" t="s">
        <v>99</v>
      </c>
      <c r="AH107" t="s">
        <v>628</v>
      </c>
      <c r="AI107">
        <v>0</v>
      </c>
    </row>
    <row r="108" spans="5:35" x14ac:dyDescent="0.45">
      <c r="E108" t="s">
        <v>193</v>
      </c>
      <c r="G108" t="s">
        <v>436</v>
      </c>
      <c r="I108" t="s">
        <v>249</v>
      </c>
      <c r="J108" t="s">
        <v>629</v>
      </c>
      <c r="K108">
        <v>0</v>
      </c>
      <c r="L108" t="s">
        <v>251</v>
      </c>
      <c r="N108" t="s">
        <v>419</v>
      </c>
      <c r="O108" t="s">
        <v>629</v>
      </c>
      <c r="P108">
        <v>6.883737176469217E-5</v>
      </c>
      <c r="Q108" t="s">
        <v>251</v>
      </c>
      <c r="S108" t="s">
        <v>420</v>
      </c>
      <c r="T108" t="s">
        <v>629</v>
      </c>
      <c r="U108">
        <v>3.6793584770758812E-5</v>
      </c>
      <c r="V108" t="s">
        <v>251</v>
      </c>
      <c r="X108">
        <v>1.1415525114155251E-4</v>
      </c>
      <c r="Y108">
        <v>1.4916838624667481E-5</v>
      </c>
      <c r="Z108" t="s">
        <v>629</v>
      </c>
      <c r="AA108" t="s">
        <v>25</v>
      </c>
      <c r="AC108" t="s">
        <v>22</v>
      </c>
      <c r="AD108" t="s">
        <v>629</v>
      </c>
      <c r="AE108">
        <v>1.3903961068304353E-4</v>
      </c>
      <c r="AG108" t="s">
        <v>99</v>
      </c>
      <c r="AH108" t="s">
        <v>629</v>
      </c>
      <c r="AI108">
        <v>0</v>
      </c>
    </row>
    <row r="109" spans="5:35" x14ac:dyDescent="0.45">
      <c r="E109" t="s">
        <v>194</v>
      </c>
      <c r="G109" t="s">
        <v>436</v>
      </c>
      <c r="I109" t="s">
        <v>249</v>
      </c>
      <c r="J109" t="s">
        <v>630</v>
      </c>
      <c r="K109">
        <v>0</v>
      </c>
      <c r="L109" t="s">
        <v>251</v>
      </c>
      <c r="N109" t="s">
        <v>419</v>
      </c>
      <c r="O109" t="s">
        <v>630</v>
      </c>
      <c r="P109">
        <v>6.7775409987295396E-5</v>
      </c>
      <c r="Q109" t="s">
        <v>251</v>
      </c>
      <c r="S109" t="s">
        <v>420</v>
      </c>
      <c r="T109" t="s">
        <v>630</v>
      </c>
      <c r="U109">
        <v>3.6668995115145148E-5</v>
      </c>
      <c r="V109" t="s">
        <v>251</v>
      </c>
      <c r="X109">
        <v>1.1415525114155251E-4</v>
      </c>
      <c r="Y109">
        <v>1.6574265138519424E-5</v>
      </c>
      <c r="Z109" t="s">
        <v>630</v>
      </c>
      <c r="AA109" t="s">
        <v>25</v>
      </c>
      <c r="AC109" t="s">
        <v>22</v>
      </c>
      <c r="AD109" t="s">
        <v>630</v>
      </c>
      <c r="AE109">
        <v>1.4000460631874561E-4</v>
      </c>
      <c r="AG109" t="s">
        <v>99</v>
      </c>
      <c r="AH109" t="s">
        <v>630</v>
      </c>
      <c r="AI109">
        <v>0</v>
      </c>
    </row>
    <row r="110" spans="5:35" x14ac:dyDescent="0.45">
      <c r="E110" t="s">
        <v>195</v>
      </c>
      <c r="G110" t="s">
        <v>436</v>
      </c>
      <c r="I110" t="s">
        <v>249</v>
      </c>
      <c r="J110" t="s">
        <v>631</v>
      </c>
      <c r="K110">
        <v>0</v>
      </c>
      <c r="L110" t="s">
        <v>251</v>
      </c>
      <c r="N110" t="s">
        <v>419</v>
      </c>
      <c r="O110" t="s">
        <v>631</v>
      </c>
      <c r="P110">
        <v>6.3925502095942184E-5</v>
      </c>
      <c r="Q110" t="s">
        <v>251</v>
      </c>
      <c r="S110" t="s">
        <v>420</v>
      </c>
      <c r="T110" t="s">
        <v>631</v>
      </c>
      <c r="U110">
        <v>3.6937923755471966E-5</v>
      </c>
      <c r="V110" t="s">
        <v>251</v>
      </c>
      <c r="X110">
        <v>1.1415525114155251E-4</v>
      </c>
      <c r="Y110">
        <v>1.4585353321897093E-5</v>
      </c>
      <c r="Z110" t="s">
        <v>631</v>
      </c>
      <c r="AA110" t="s">
        <v>25</v>
      </c>
      <c r="AC110" t="s">
        <v>22</v>
      </c>
      <c r="AD110" t="s">
        <v>631</v>
      </c>
      <c r="AE110">
        <v>1.3911109184124368E-4</v>
      </c>
      <c r="AG110" t="s">
        <v>99</v>
      </c>
      <c r="AH110" t="s">
        <v>631</v>
      </c>
      <c r="AI110">
        <v>0</v>
      </c>
    </row>
    <row r="111" spans="5:35" x14ac:dyDescent="0.45">
      <c r="E111" t="s">
        <v>196</v>
      </c>
      <c r="G111" t="s">
        <v>436</v>
      </c>
      <c r="I111" t="s">
        <v>249</v>
      </c>
      <c r="J111" t="s">
        <v>632</v>
      </c>
      <c r="K111">
        <v>0</v>
      </c>
      <c r="L111" t="s">
        <v>251</v>
      </c>
      <c r="N111" t="s">
        <v>419</v>
      </c>
      <c r="O111" t="s">
        <v>632</v>
      </c>
      <c r="P111">
        <v>6.7481980844843022E-5</v>
      </c>
      <c r="Q111" t="s">
        <v>251</v>
      </c>
      <c r="S111" t="s">
        <v>420</v>
      </c>
      <c r="T111" t="s">
        <v>632</v>
      </c>
      <c r="U111">
        <v>3.6439771753160701E-5</v>
      </c>
      <c r="V111" t="s">
        <v>251</v>
      </c>
      <c r="X111">
        <v>1.1415525114155251E-4</v>
      </c>
      <c r="Y111">
        <v>2.1215059377304864E-5</v>
      </c>
      <c r="Z111" t="s">
        <v>632</v>
      </c>
      <c r="AA111" t="s">
        <v>25</v>
      </c>
      <c r="AC111" t="s">
        <v>22</v>
      </c>
      <c r="AD111" t="s">
        <v>632</v>
      </c>
      <c r="AE111">
        <v>1.3550725011531921E-4</v>
      </c>
      <c r="AG111" t="s">
        <v>99</v>
      </c>
      <c r="AH111" t="s">
        <v>632</v>
      </c>
      <c r="AI111">
        <v>0</v>
      </c>
    </row>
    <row r="112" spans="5:35" x14ac:dyDescent="0.45">
      <c r="E112" t="s">
        <v>197</v>
      </c>
      <c r="G112" t="s">
        <v>436</v>
      </c>
      <c r="I112" t="s">
        <v>249</v>
      </c>
      <c r="J112" t="s">
        <v>633</v>
      </c>
      <c r="K112">
        <v>0</v>
      </c>
      <c r="L112" t="s">
        <v>251</v>
      </c>
      <c r="N112" t="s">
        <v>419</v>
      </c>
      <c r="O112" t="s">
        <v>633</v>
      </c>
      <c r="P112">
        <v>6.8214760042182492E-5</v>
      </c>
      <c r="Q112" t="s">
        <v>251</v>
      </c>
      <c r="S112" t="s">
        <v>420</v>
      </c>
      <c r="T112" t="s">
        <v>633</v>
      </c>
      <c r="U112">
        <v>3.8139184452725441E-5</v>
      </c>
      <c r="V112" t="s">
        <v>251</v>
      </c>
      <c r="X112">
        <v>1.1415525114155251E-4</v>
      </c>
      <c r="Y112">
        <v>5.7678442682047593E-5</v>
      </c>
      <c r="Z112" t="s">
        <v>633</v>
      </c>
      <c r="AA112" t="s">
        <v>25</v>
      </c>
      <c r="AC112" t="s">
        <v>22</v>
      </c>
      <c r="AD112" t="s">
        <v>633</v>
      </c>
      <c r="AE112">
        <v>1.3436950834730006E-4</v>
      </c>
      <c r="AG112" t="s">
        <v>99</v>
      </c>
      <c r="AH112" t="s">
        <v>633</v>
      </c>
      <c r="AI112">
        <v>0</v>
      </c>
    </row>
    <row r="113" spans="5:35" x14ac:dyDescent="0.45">
      <c r="E113" t="s">
        <v>198</v>
      </c>
      <c r="G113" t="s">
        <v>436</v>
      </c>
      <c r="I113" t="s">
        <v>249</v>
      </c>
      <c r="J113" t="s">
        <v>634</v>
      </c>
      <c r="K113">
        <v>0</v>
      </c>
      <c r="L113" t="s">
        <v>251</v>
      </c>
      <c r="N113" t="s">
        <v>419</v>
      </c>
      <c r="O113" t="s">
        <v>634</v>
      </c>
      <c r="P113">
        <v>6.1413311171511535E-5</v>
      </c>
      <c r="Q113" t="s">
        <v>251</v>
      </c>
      <c r="S113" t="s">
        <v>420</v>
      </c>
      <c r="T113" t="s">
        <v>634</v>
      </c>
      <c r="U113">
        <v>4.419053891106071E-5</v>
      </c>
      <c r="V113" t="s">
        <v>251</v>
      </c>
      <c r="X113">
        <v>1.1415525114155251E-4</v>
      </c>
      <c r="Y113">
        <v>1.6905750441289813E-4</v>
      </c>
      <c r="Z113" t="s">
        <v>634</v>
      </c>
      <c r="AA113" t="s">
        <v>25</v>
      </c>
      <c r="AC113" t="s">
        <v>22</v>
      </c>
      <c r="AD113" t="s">
        <v>634</v>
      </c>
      <c r="AE113">
        <v>1.3591231001178677E-4</v>
      </c>
      <c r="AG113" t="s">
        <v>99</v>
      </c>
      <c r="AH113" t="s">
        <v>634</v>
      </c>
      <c r="AI113">
        <v>0</v>
      </c>
    </row>
    <row r="114" spans="5:35" x14ac:dyDescent="0.45">
      <c r="E114" t="s">
        <v>199</v>
      </c>
      <c r="G114" t="s">
        <v>436</v>
      </c>
      <c r="I114" t="s">
        <v>249</v>
      </c>
      <c r="J114" t="s">
        <v>635</v>
      </c>
      <c r="K114">
        <v>2.2376940184213463E-6</v>
      </c>
      <c r="L114" t="s">
        <v>251</v>
      </c>
      <c r="N114" t="s">
        <v>419</v>
      </c>
      <c r="O114" t="s">
        <v>635</v>
      </c>
      <c r="P114">
        <v>5.7096233341967625E-5</v>
      </c>
      <c r="Q114" t="s">
        <v>251</v>
      </c>
      <c r="S114" t="s">
        <v>420</v>
      </c>
      <c r="T114" t="s">
        <v>635</v>
      </c>
      <c r="U114">
        <v>5.9886036052209953E-5</v>
      </c>
      <c r="V114" t="s">
        <v>251</v>
      </c>
      <c r="X114">
        <v>1.1415525114155251E-4</v>
      </c>
      <c r="Y114">
        <v>1.9060404909297337E-4</v>
      </c>
      <c r="Z114" t="s">
        <v>635</v>
      </c>
      <c r="AA114" t="s">
        <v>25</v>
      </c>
      <c r="AC114" t="s">
        <v>22</v>
      </c>
      <c r="AD114" t="s">
        <v>635</v>
      </c>
      <c r="AE114">
        <v>1.4711102479647768E-4</v>
      </c>
      <c r="AG114" t="s">
        <v>99</v>
      </c>
      <c r="AH114" t="s">
        <v>635</v>
      </c>
      <c r="AI114">
        <v>0</v>
      </c>
    </row>
    <row r="115" spans="5:35" x14ac:dyDescent="0.45">
      <c r="E115" t="s">
        <v>200</v>
      </c>
      <c r="G115" t="s">
        <v>436</v>
      </c>
      <c r="I115" t="s">
        <v>249</v>
      </c>
      <c r="J115" t="s">
        <v>636</v>
      </c>
      <c r="K115">
        <v>5.2957596607750109E-5</v>
      </c>
      <c r="L115" t="s">
        <v>251</v>
      </c>
      <c r="N115" t="s">
        <v>419</v>
      </c>
      <c r="O115" t="s">
        <v>636</v>
      </c>
      <c r="P115">
        <v>5.9866010489506527E-5</v>
      </c>
      <c r="Q115" t="s">
        <v>251</v>
      </c>
      <c r="S115" t="s">
        <v>420</v>
      </c>
      <c r="T115" t="s">
        <v>636</v>
      </c>
      <c r="U115">
        <v>6.7831780756368935E-5</v>
      </c>
      <c r="V115" t="s">
        <v>251</v>
      </c>
      <c r="X115">
        <v>1.1415525114155251E-4</v>
      </c>
      <c r="Y115">
        <v>1.4585353321897094E-4</v>
      </c>
      <c r="Z115" t="s">
        <v>636</v>
      </c>
      <c r="AA115" t="s">
        <v>25</v>
      </c>
      <c r="AC115" t="s">
        <v>22</v>
      </c>
      <c r="AD115" t="s">
        <v>636</v>
      </c>
      <c r="AE115">
        <v>1.4953542741209962E-4</v>
      </c>
      <c r="AG115" t="s">
        <v>99</v>
      </c>
      <c r="AH115" t="s">
        <v>636</v>
      </c>
      <c r="AI115">
        <v>0</v>
      </c>
    </row>
    <row r="116" spans="5:35" x14ac:dyDescent="0.45">
      <c r="E116" t="s">
        <v>201</v>
      </c>
      <c r="G116" t="s">
        <v>436</v>
      </c>
      <c r="I116" t="s">
        <v>249</v>
      </c>
      <c r="J116" t="s">
        <v>637</v>
      </c>
      <c r="K116">
        <v>6.7294795175802384E-5</v>
      </c>
      <c r="L116" t="s">
        <v>251</v>
      </c>
      <c r="N116" t="s">
        <v>419</v>
      </c>
      <c r="O116" t="s">
        <v>637</v>
      </c>
      <c r="P116">
        <v>5.0760434280603593E-5</v>
      </c>
      <c r="Q116" t="s">
        <v>251</v>
      </c>
      <c r="S116" t="s">
        <v>420</v>
      </c>
      <c r="T116" t="s">
        <v>637</v>
      </c>
      <c r="U116">
        <v>6.9204176668041304E-5</v>
      </c>
      <c r="V116" t="s">
        <v>251</v>
      </c>
      <c r="X116">
        <v>1.1415525114155251E-4</v>
      </c>
      <c r="Y116">
        <v>1.4452759200788939E-4</v>
      </c>
      <c r="Z116" t="s">
        <v>637</v>
      </c>
      <c r="AA116" t="s">
        <v>25</v>
      </c>
      <c r="AC116" t="s">
        <v>22</v>
      </c>
      <c r="AD116" t="s">
        <v>637</v>
      </c>
      <c r="AE116">
        <v>1.5155477013125394E-4</v>
      </c>
      <c r="AG116" t="s">
        <v>99</v>
      </c>
      <c r="AH116" t="s">
        <v>637</v>
      </c>
      <c r="AI116">
        <v>0</v>
      </c>
    </row>
    <row r="117" spans="5:35" x14ac:dyDescent="0.45">
      <c r="E117" t="s">
        <v>202</v>
      </c>
      <c r="G117" t="s">
        <v>436</v>
      </c>
      <c r="I117" t="s">
        <v>249</v>
      </c>
      <c r="J117" t="s">
        <v>638</v>
      </c>
      <c r="K117">
        <v>7.9426807070358754E-5</v>
      </c>
      <c r="L117" t="s">
        <v>251</v>
      </c>
      <c r="N117" t="s">
        <v>419</v>
      </c>
      <c r="O117" t="s">
        <v>638</v>
      </c>
      <c r="P117">
        <v>4.3643839762781532E-5</v>
      </c>
      <c r="Q117" t="s">
        <v>251</v>
      </c>
      <c r="S117" t="s">
        <v>420</v>
      </c>
      <c r="T117" t="s">
        <v>638</v>
      </c>
      <c r="U117">
        <v>6.8843825535950029E-5</v>
      </c>
      <c r="V117" t="s">
        <v>251</v>
      </c>
      <c r="X117">
        <v>1.1415525114155251E-4</v>
      </c>
      <c r="Y117">
        <v>1.408812536774151E-4</v>
      </c>
      <c r="Z117" t="s">
        <v>638</v>
      </c>
      <c r="AA117" t="s">
        <v>25</v>
      </c>
      <c r="AC117" t="s">
        <v>22</v>
      </c>
      <c r="AD117" t="s">
        <v>638</v>
      </c>
      <c r="AE117">
        <v>1.5910198908455363E-4</v>
      </c>
      <c r="AG117" t="s">
        <v>99</v>
      </c>
      <c r="AH117" t="s">
        <v>638</v>
      </c>
      <c r="AI117">
        <v>0</v>
      </c>
    </row>
    <row r="118" spans="5:35" x14ac:dyDescent="0.45">
      <c r="E118" t="s">
        <v>203</v>
      </c>
      <c r="G118" t="s">
        <v>436</v>
      </c>
      <c r="I118" t="s">
        <v>249</v>
      </c>
      <c r="J118" t="s">
        <v>639</v>
      </c>
      <c r="K118">
        <v>9.5399329445278755E-5</v>
      </c>
      <c r="L118" t="s">
        <v>251</v>
      </c>
      <c r="N118" t="s">
        <v>419</v>
      </c>
      <c r="O118" t="s">
        <v>639</v>
      </c>
      <c r="P118">
        <v>3.6979236713451777E-5</v>
      </c>
      <c r="Q118" t="s">
        <v>251</v>
      </c>
      <c r="S118" t="s">
        <v>420</v>
      </c>
      <c r="T118" t="s">
        <v>639</v>
      </c>
      <c r="U118">
        <v>6.8043990300268532E-5</v>
      </c>
      <c r="V118" t="s">
        <v>251</v>
      </c>
      <c r="X118">
        <v>1.1415525114155251E-4</v>
      </c>
      <c r="Y118">
        <v>1.4054976837464471E-4</v>
      </c>
      <c r="Z118" t="s">
        <v>639</v>
      </c>
      <c r="AA118" t="s">
        <v>25</v>
      </c>
      <c r="AC118" t="s">
        <v>22</v>
      </c>
      <c r="AD118" t="s">
        <v>639</v>
      </c>
      <c r="AE118">
        <v>1.5422935680057642E-4</v>
      </c>
      <c r="AG118" t="s">
        <v>99</v>
      </c>
      <c r="AH118" t="s">
        <v>639</v>
      </c>
      <c r="AI118">
        <v>0</v>
      </c>
    </row>
    <row r="119" spans="5:35" x14ac:dyDescent="0.45">
      <c r="E119" t="s">
        <v>204</v>
      </c>
      <c r="G119" t="s">
        <v>436</v>
      </c>
      <c r="I119" t="s">
        <v>249</v>
      </c>
      <c r="J119" t="s">
        <v>640</v>
      </c>
      <c r="K119">
        <v>1.1216830636730001E-4</v>
      </c>
      <c r="L119" t="s">
        <v>251</v>
      </c>
      <c r="N119" t="s">
        <v>419</v>
      </c>
      <c r="O119" t="s">
        <v>640</v>
      </c>
      <c r="P119">
        <v>3.1842974756684173E-5</v>
      </c>
      <c r="Q119" t="s">
        <v>251</v>
      </c>
      <c r="S119" t="s">
        <v>420</v>
      </c>
      <c r="T119" t="s">
        <v>640</v>
      </c>
      <c r="U119">
        <v>6.338165040866804E-5</v>
      </c>
      <c r="V119" t="s">
        <v>251</v>
      </c>
      <c r="X119">
        <v>1.1415525114155251E-4</v>
      </c>
      <c r="Y119">
        <v>1.4253868019126702E-4</v>
      </c>
      <c r="Z119" t="s">
        <v>640</v>
      </c>
      <c r="AA119" t="s">
        <v>25</v>
      </c>
      <c r="AC119" t="s">
        <v>22</v>
      </c>
      <c r="AD119" t="s">
        <v>640</v>
      </c>
      <c r="AE119">
        <v>1.3928383797356071E-4</v>
      </c>
      <c r="AG119" t="s">
        <v>99</v>
      </c>
      <c r="AH119" t="s">
        <v>640</v>
      </c>
      <c r="AI119">
        <v>0</v>
      </c>
    </row>
    <row r="120" spans="5:35" x14ac:dyDescent="0.45">
      <c r="E120" t="s">
        <v>205</v>
      </c>
      <c r="G120" t="s">
        <v>436</v>
      </c>
      <c r="I120" t="s">
        <v>249</v>
      </c>
      <c r="J120" t="s">
        <v>641</v>
      </c>
      <c r="K120">
        <v>1.0351355807949999E-4</v>
      </c>
      <c r="L120" t="s">
        <v>251</v>
      </c>
      <c r="N120" t="s">
        <v>419</v>
      </c>
      <c r="O120" t="s">
        <v>641</v>
      </c>
      <c r="P120">
        <v>2.6184559545582505E-5</v>
      </c>
      <c r="Q120" t="s">
        <v>251</v>
      </c>
      <c r="S120" t="s">
        <v>420</v>
      </c>
      <c r="T120" t="s">
        <v>641</v>
      </c>
      <c r="U120">
        <v>5.770684587107647E-5</v>
      </c>
      <c r="V120" t="s">
        <v>251</v>
      </c>
      <c r="X120">
        <v>1.1415525114155251E-4</v>
      </c>
      <c r="Y120">
        <v>1.4883690094390442E-4</v>
      </c>
      <c r="Z120" t="s">
        <v>641</v>
      </c>
      <c r="AA120" t="s">
        <v>25</v>
      </c>
      <c r="AC120" t="s">
        <v>22</v>
      </c>
      <c r="AD120" t="s">
        <v>641</v>
      </c>
      <c r="AE120">
        <v>1.2283125806115844E-4</v>
      </c>
      <c r="AG120" t="s">
        <v>99</v>
      </c>
      <c r="AH120" t="s">
        <v>641</v>
      </c>
      <c r="AI120">
        <v>0</v>
      </c>
    </row>
    <row r="121" spans="5:35" x14ac:dyDescent="0.45">
      <c r="E121" t="s">
        <v>206</v>
      </c>
      <c r="G121" t="s">
        <v>436</v>
      </c>
      <c r="I121" t="s">
        <v>249</v>
      </c>
      <c r="J121" t="s">
        <v>642</v>
      </c>
      <c r="K121">
        <v>8.6392292498530871E-5</v>
      </c>
      <c r="L121" t="s">
        <v>251</v>
      </c>
      <c r="N121" t="s">
        <v>419</v>
      </c>
      <c r="O121" t="s">
        <v>642</v>
      </c>
      <c r="P121">
        <v>2.3880309378920752E-5</v>
      </c>
      <c r="Q121" t="s">
        <v>251</v>
      </c>
      <c r="S121" t="s">
        <v>420</v>
      </c>
      <c r="T121" t="s">
        <v>642</v>
      </c>
      <c r="U121">
        <v>5.0288246465792637E-5</v>
      </c>
      <c r="V121" t="s">
        <v>251</v>
      </c>
      <c r="X121">
        <v>1.1415525114155251E-4</v>
      </c>
      <c r="Y121">
        <v>1.5049432745775637E-4</v>
      </c>
      <c r="Z121" t="s">
        <v>642</v>
      </c>
      <c r="AA121" t="s">
        <v>25</v>
      </c>
      <c r="AC121" t="s">
        <v>22</v>
      </c>
      <c r="AD121" t="s">
        <v>642</v>
      </c>
      <c r="AE121">
        <v>1.1295494470317039E-4</v>
      </c>
      <c r="AG121" t="s">
        <v>99</v>
      </c>
      <c r="AH121" t="s">
        <v>642</v>
      </c>
      <c r="AI121">
        <v>0</v>
      </c>
    </row>
    <row r="122" spans="5:35" x14ac:dyDescent="0.45">
      <c r="E122" t="s">
        <v>207</v>
      </c>
      <c r="G122" t="s">
        <v>436</v>
      </c>
      <c r="I122" t="s">
        <v>249</v>
      </c>
      <c r="J122" t="s">
        <v>643</v>
      </c>
      <c r="K122">
        <v>7.5979244501276009E-5</v>
      </c>
      <c r="L122" t="s">
        <v>251</v>
      </c>
      <c r="N122" t="s">
        <v>419</v>
      </c>
      <c r="O122" t="s">
        <v>643</v>
      </c>
      <c r="P122">
        <v>2.3752855161685543E-5</v>
      </c>
      <c r="Q122" t="s">
        <v>251</v>
      </c>
      <c r="S122" t="s">
        <v>420</v>
      </c>
      <c r="T122" t="s">
        <v>643</v>
      </c>
      <c r="U122">
        <v>4.7420062005439659E-5</v>
      </c>
      <c r="V122" t="s">
        <v>251</v>
      </c>
      <c r="X122">
        <v>1.1415525114155251E-4</v>
      </c>
      <c r="Y122">
        <v>1.7237235744060203E-4</v>
      </c>
      <c r="Z122" t="s">
        <v>643</v>
      </c>
      <c r="AA122" t="s">
        <v>25</v>
      </c>
      <c r="AC122" t="s">
        <v>22</v>
      </c>
      <c r="AD122" t="s">
        <v>643</v>
      </c>
      <c r="AE122">
        <v>9.1278283478973438E-5</v>
      </c>
      <c r="AG122" t="s">
        <v>99</v>
      </c>
      <c r="AH122" t="s">
        <v>643</v>
      </c>
      <c r="AI122">
        <v>0</v>
      </c>
    </row>
    <row r="123" spans="5:35" x14ac:dyDescent="0.45">
      <c r="E123" t="s">
        <v>208</v>
      </c>
      <c r="G123" t="s">
        <v>436</v>
      </c>
      <c r="I123" t="s">
        <v>249</v>
      </c>
      <c r="J123" t="s">
        <v>644</v>
      </c>
      <c r="K123">
        <v>5.1895532962596335E-5</v>
      </c>
      <c r="L123" t="s">
        <v>251</v>
      </c>
      <c r="N123" t="s">
        <v>419</v>
      </c>
      <c r="O123" t="s">
        <v>644</v>
      </c>
      <c r="P123">
        <v>2.6232335266658249E-5</v>
      </c>
      <c r="Q123" t="s">
        <v>251</v>
      </c>
      <c r="S123" t="s">
        <v>420</v>
      </c>
      <c r="T123" t="s">
        <v>644</v>
      </c>
      <c r="U123">
        <v>4.9107457438109353E-5</v>
      </c>
      <c r="V123" t="s">
        <v>251</v>
      </c>
      <c r="X123">
        <v>1.1415525114155251E-4</v>
      </c>
      <c r="Y123">
        <v>2.2209515285616027E-4</v>
      </c>
      <c r="Z123" t="s">
        <v>644</v>
      </c>
      <c r="AA123" t="s">
        <v>25</v>
      </c>
      <c r="AC123" t="s">
        <v>22</v>
      </c>
      <c r="AD123" t="s">
        <v>644</v>
      </c>
      <c r="AE123">
        <v>8.8162896334083372E-5</v>
      </c>
      <c r="AG123" t="s">
        <v>99</v>
      </c>
      <c r="AH123" t="s">
        <v>644</v>
      </c>
      <c r="AI123">
        <v>0</v>
      </c>
    </row>
    <row r="124" spans="5:35" x14ac:dyDescent="0.45">
      <c r="E124" t="s">
        <v>209</v>
      </c>
      <c r="G124" t="s">
        <v>436</v>
      </c>
      <c r="I124" t="s">
        <v>249</v>
      </c>
      <c r="J124" t="s">
        <v>645</v>
      </c>
      <c r="K124">
        <v>2.5421013305160534E-5</v>
      </c>
      <c r="L124" t="s">
        <v>251</v>
      </c>
      <c r="N124" t="s">
        <v>419</v>
      </c>
      <c r="O124" t="s">
        <v>645</v>
      </c>
      <c r="P124">
        <v>3.2338884070188822E-5</v>
      </c>
      <c r="Q124" t="s">
        <v>251</v>
      </c>
      <c r="S124" t="s">
        <v>420</v>
      </c>
      <c r="T124" t="s">
        <v>645</v>
      </c>
      <c r="U124">
        <v>5.6139944159992667E-5</v>
      </c>
      <c r="V124" t="s">
        <v>251</v>
      </c>
      <c r="X124">
        <v>1.1415525114155251E-4</v>
      </c>
      <c r="Y124">
        <v>2.2209515285616027E-4</v>
      </c>
      <c r="Z124" t="s">
        <v>645</v>
      </c>
      <c r="AA124" t="s">
        <v>25</v>
      </c>
      <c r="AC124" t="s">
        <v>22</v>
      </c>
      <c r="AD124" t="s">
        <v>645</v>
      </c>
      <c r="AE124">
        <v>8.4159951474874697E-5</v>
      </c>
      <c r="AG124" t="s">
        <v>99</v>
      </c>
      <c r="AH124" t="s">
        <v>645</v>
      </c>
      <c r="AI124">
        <v>0</v>
      </c>
    </row>
    <row r="125" spans="5:35" x14ac:dyDescent="0.45">
      <c r="E125" t="s">
        <v>210</v>
      </c>
      <c r="G125" t="s">
        <v>436</v>
      </c>
      <c r="I125" t="s">
        <v>249</v>
      </c>
      <c r="J125" t="s">
        <v>646</v>
      </c>
      <c r="K125">
        <v>8.2856735838806223E-8</v>
      </c>
      <c r="L125" t="s">
        <v>251</v>
      </c>
      <c r="N125" t="s">
        <v>419</v>
      </c>
      <c r="O125" t="s">
        <v>646</v>
      </c>
      <c r="P125">
        <v>3.9504391147228681E-5</v>
      </c>
      <c r="Q125" t="s">
        <v>251</v>
      </c>
      <c r="S125" t="s">
        <v>420</v>
      </c>
      <c r="T125" t="s">
        <v>646</v>
      </c>
      <c r="U125">
        <v>6.5145323550747149E-5</v>
      </c>
      <c r="V125" t="s">
        <v>251</v>
      </c>
      <c r="X125">
        <v>1.1415525114155251E-4</v>
      </c>
      <c r="Y125">
        <v>1.7237235744060203E-4</v>
      </c>
      <c r="Z125" t="s">
        <v>646</v>
      </c>
      <c r="AA125" t="s">
        <v>25</v>
      </c>
      <c r="AC125" t="s">
        <v>22</v>
      </c>
      <c r="AD125" t="s">
        <v>646</v>
      </c>
      <c r="AE125">
        <v>8.5369174401093992E-5</v>
      </c>
      <c r="AG125" t="s">
        <v>99</v>
      </c>
      <c r="AH125" t="s">
        <v>646</v>
      </c>
      <c r="AI125">
        <v>0</v>
      </c>
    </row>
    <row r="126" spans="5:35" x14ac:dyDescent="0.45">
      <c r="E126" t="s">
        <v>211</v>
      </c>
      <c r="G126" t="s">
        <v>436</v>
      </c>
      <c r="I126" t="s">
        <v>249</v>
      </c>
      <c r="J126" t="s">
        <v>647</v>
      </c>
      <c r="K126">
        <v>0</v>
      </c>
      <c r="L126" t="s">
        <v>251</v>
      </c>
      <c r="N126" t="s">
        <v>419</v>
      </c>
      <c r="O126" t="s">
        <v>647</v>
      </c>
      <c r="P126">
        <v>4.5432406240170072E-5</v>
      </c>
      <c r="Q126" t="s">
        <v>251</v>
      </c>
      <c r="S126" t="s">
        <v>420</v>
      </c>
      <c r="T126" t="s">
        <v>647</v>
      </c>
      <c r="U126">
        <v>7.1621115679729004E-5</v>
      </c>
      <c r="V126" t="s">
        <v>251</v>
      </c>
      <c r="X126">
        <v>1.1415525114155251E-4</v>
      </c>
      <c r="Y126">
        <v>1.5579809230208258E-4</v>
      </c>
      <c r="Z126" t="s">
        <v>647</v>
      </c>
      <c r="AA126" t="s">
        <v>25</v>
      </c>
      <c r="AC126" t="s">
        <v>22</v>
      </c>
      <c r="AD126" t="s">
        <v>647</v>
      </c>
      <c r="AE126">
        <v>8.9378076023486006E-5</v>
      </c>
      <c r="AG126" t="s">
        <v>99</v>
      </c>
      <c r="AH126" t="s">
        <v>647</v>
      </c>
      <c r="AI126">
        <v>0</v>
      </c>
    </row>
    <row r="127" spans="5:35" x14ac:dyDescent="0.45">
      <c r="E127" t="s">
        <v>212</v>
      </c>
      <c r="G127" t="s">
        <v>436</v>
      </c>
      <c r="I127" t="s">
        <v>249</v>
      </c>
      <c r="J127" t="s">
        <v>648</v>
      </c>
      <c r="K127">
        <v>0</v>
      </c>
      <c r="L127" t="s">
        <v>251</v>
      </c>
      <c r="N127" t="s">
        <v>419</v>
      </c>
      <c r="O127" t="s">
        <v>648</v>
      </c>
      <c r="P127">
        <v>4.7555580915096098E-5</v>
      </c>
      <c r="Q127" t="s">
        <v>251</v>
      </c>
      <c r="S127" t="s">
        <v>420</v>
      </c>
      <c r="T127" t="s">
        <v>648</v>
      </c>
      <c r="U127">
        <v>7.1979919212038148E-5</v>
      </c>
      <c r="V127" t="s">
        <v>251</v>
      </c>
      <c r="X127">
        <v>1.1415525114155251E-4</v>
      </c>
      <c r="Y127">
        <v>1.093901499142282E-4</v>
      </c>
      <c r="Z127" t="s">
        <v>648</v>
      </c>
      <c r="AA127" t="s">
        <v>25</v>
      </c>
      <c r="AC127" t="s">
        <v>22</v>
      </c>
      <c r="AD127" t="s">
        <v>648</v>
      </c>
      <c r="AE127">
        <v>1.0783808512867598E-4</v>
      </c>
      <c r="AG127" t="s">
        <v>99</v>
      </c>
      <c r="AH127" t="s">
        <v>648</v>
      </c>
      <c r="AI127">
        <v>0</v>
      </c>
    </row>
    <row r="128" spans="5:35" x14ac:dyDescent="0.45">
      <c r="E128" t="s">
        <v>213</v>
      </c>
      <c r="G128" t="s">
        <v>436</v>
      </c>
      <c r="I128" t="s">
        <v>249</v>
      </c>
      <c r="J128" t="s">
        <v>649</v>
      </c>
      <c r="K128">
        <v>0</v>
      </c>
      <c r="L128" t="s">
        <v>251</v>
      </c>
      <c r="N128" t="s">
        <v>419</v>
      </c>
      <c r="O128" t="s">
        <v>649</v>
      </c>
      <c r="P128">
        <v>4.9437690242407299E-5</v>
      </c>
      <c r="Q128" t="s">
        <v>251</v>
      </c>
      <c r="S128" t="s">
        <v>420</v>
      </c>
      <c r="T128" t="s">
        <v>649</v>
      </c>
      <c r="U128">
        <v>7.1644095904857603E-5</v>
      </c>
      <c r="V128" t="s">
        <v>251</v>
      </c>
      <c r="X128">
        <v>1.1415525114155251E-4</v>
      </c>
      <c r="Y128">
        <v>7.9556472664893237E-5</v>
      </c>
      <c r="Z128" t="s">
        <v>649</v>
      </c>
      <c r="AA128" t="s">
        <v>25</v>
      </c>
      <c r="AC128" t="s">
        <v>22</v>
      </c>
      <c r="AD128" t="s">
        <v>649</v>
      </c>
      <c r="AE128">
        <v>1.2625044012839917E-4</v>
      </c>
      <c r="AG128" t="s">
        <v>99</v>
      </c>
      <c r="AH128" t="s">
        <v>649</v>
      </c>
      <c r="AI128">
        <v>0</v>
      </c>
    </row>
    <row r="129" spans="5:35" x14ac:dyDescent="0.45">
      <c r="E129" t="s">
        <v>214</v>
      </c>
      <c r="G129" t="s">
        <v>436</v>
      </c>
      <c r="I129" t="s">
        <v>249</v>
      </c>
      <c r="J129" t="s">
        <v>650</v>
      </c>
      <c r="K129">
        <v>0</v>
      </c>
      <c r="L129" t="s">
        <v>251</v>
      </c>
      <c r="N129" t="s">
        <v>419</v>
      </c>
      <c r="O129" t="s">
        <v>650</v>
      </c>
      <c r="P129">
        <v>4.8899936422588323E-5</v>
      </c>
      <c r="Q129" t="s">
        <v>251</v>
      </c>
      <c r="S129" t="s">
        <v>420</v>
      </c>
      <c r="T129" t="s">
        <v>650</v>
      </c>
      <c r="U129">
        <v>7.694564301510884E-5</v>
      </c>
      <c r="V129" t="s">
        <v>251</v>
      </c>
      <c r="X129">
        <v>1.1415525114155251E-4</v>
      </c>
      <c r="Y129">
        <v>5.6352501470966035E-5</v>
      </c>
      <c r="Z129" t="s">
        <v>650</v>
      </c>
      <c r="AA129" t="s">
        <v>25</v>
      </c>
      <c r="AC129" t="s">
        <v>22</v>
      </c>
      <c r="AD129" t="s">
        <v>650</v>
      </c>
      <c r="AE129">
        <v>1.3696665709523904E-4</v>
      </c>
      <c r="AG129" t="s">
        <v>99</v>
      </c>
      <c r="AH129" t="s">
        <v>650</v>
      </c>
      <c r="AI129">
        <v>0</v>
      </c>
    </row>
    <row r="130" spans="5:35" x14ac:dyDescent="0.45">
      <c r="E130" t="s">
        <v>215</v>
      </c>
      <c r="G130" t="s">
        <v>436</v>
      </c>
      <c r="I130" t="s">
        <v>249</v>
      </c>
      <c r="J130" t="s">
        <v>651</v>
      </c>
      <c r="K130">
        <v>0</v>
      </c>
      <c r="L130" t="s">
        <v>251</v>
      </c>
      <c r="N130" t="s">
        <v>419</v>
      </c>
      <c r="O130" t="s">
        <v>651</v>
      </c>
      <c r="P130">
        <v>4.812529291456436E-5</v>
      </c>
      <c r="Q130" t="s">
        <v>251</v>
      </c>
      <c r="S130" t="s">
        <v>420</v>
      </c>
      <c r="T130" t="s">
        <v>651</v>
      </c>
      <c r="U130">
        <v>7.9181033753468051E-5</v>
      </c>
      <c r="V130" t="s">
        <v>251</v>
      </c>
      <c r="X130">
        <v>1.1415525114155251E-4</v>
      </c>
      <c r="Y130">
        <v>2.9833677249334962E-5</v>
      </c>
      <c r="Z130" t="s">
        <v>651</v>
      </c>
      <c r="AA130" t="s">
        <v>25</v>
      </c>
      <c r="AC130" t="s">
        <v>22</v>
      </c>
      <c r="AD130" t="s">
        <v>651</v>
      </c>
      <c r="AE130">
        <v>1.4573501250112467E-4</v>
      </c>
      <c r="AG130" t="s">
        <v>99</v>
      </c>
      <c r="AH130" t="s">
        <v>651</v>
      </c>
      <c r="AI130">
        <v>0</v>
      </c>
    </row>
    <row r="131" spans="5:35" x14ac:dyDescent="0.45">
      <c r="E131" t="s">
        <v>216</v>
      </c>
      <c r="G131" t="s">
        <v>438</v>
      </c>
      <c r="I131" t="s">
        <v>249</v>
      </c>
      <c r="J131" t="s">
        <v>323</v>
      </c>
      <c r="K131">
        <v>0</v>
      </c>
      <c r="L131" t="s">
        <v>251</v>
      </c>
      <c r="N131" t="s">
        <v>419</v>
      </c>
      <c r="O131" t="s">
        <v>323</v>
      </c>
      <c r="P131">
        <v>2.4141775459495713E-2</v>
      </c>
      <c r="Q131" t="s">
        <v>251</v>
      </c>
      <c r="S131" t="s">
        <v>420</v>
      </c>
      <c r="T131" t="s">
        <v>323</v>
      </c>
      <c r="U131">
        <v>2.2693313561102026E-2</v>
      </c>
      <c r="V131" t="s">
        <v>251</v>
      </c>
      <c r="X131">
        <v>2.1232876712328767E-2</v>
      </c>
      <c r="Y131">
        <v>4.5420116185598634E-3</v>
      </c>
      <c r="Z131" t="s">
        <v>323</v>
      </c>
      <c r="AA131" t="s">
        <v>25</v>
      </c>
      <c r="AC131" t="s">
        <v>22</v>
      </c>
      <c r="AD131" t="s">
        <v>323</v>
      </c>
      <c r="AE131">
        <v>2.3979920575086799E-2</v>
      </c>
      <c r="AG131" t="s">
        <v>99</v>
      </c>
      <c r="AH131" t="s">
        <v>323</v>
      </c>
      <c r="AI131">
        <v>0.1032275574828907</v>
      </c>
    </row>
    <row r="132" spans="5:35" x14ac:dyDescent="0.45">
      <c r="E132" t="s">
        <v>217</v>
      </c>
      <c r="G132" t="s">
        <v>438</v>
      </c>
      <c r="I132" t="s">
        <v>249</v>
      </c>
      <c r="J132" t="s">
        <v>324</v>
      </c>
      <c r="K132">
        <v>0</v>
      </c>
      <c r="L132" t="s">
        <v>251</v>
      </c>
      <c r="N132" t="s">
        <v>419</v>
      </c>
      <c r="O132" t="s">
        <v>324</v>
      </c>
      <c r="P132">
        <v>3.8362604124315223E-3</v>
      </c>
      <c r="Q132" t="s">
        <v>251</v>
      </c>
      <c r="S132" t="s">
        <v>420</v>
      </c>
      <c r="T132" t="s">
        <v>324</v>
      </c>
      <c r="U132">
        <v>3.686837046252508E-3</v>
      </c>
      <c r="V132" t="s">
        <v>251</v>
      </c>
      <c r="X132">
        <v>3.5388127853881279E-3</v>
      </c>
      <c r="Y132">
        <v>5.240782636799844E-3</v>
      </c>
      <c r="Z132" t="s">
        <v>324</v>
      </c>
      <c r="AA132" t="s">
        <v>25</v>
      </c>
      <c r="AC132" t="s">
        <v>22</v>
      </c>
      <c r="AD132" t="s">
        <v>324</v>
      </c>
      <c r="AE132">
        <v>3.986693721138578E-3</v>
      </c>
      <c r="AG132" t="s">
        <v>99</v>
      </c>
      <c r="AH132" t="s">
        <v>324</v>
      </c>
      <c r="AI132">
        <v>5.6498111575230325E-2</v>
      </c>
    </row>
    <row r="133" spans="5:35" x14ac:dyDescent="0.45">
      <c r="E133" t="s">
        <v>218</v>
      </c>
      <c r="G133" t="s">
        <v>438</v>
      </c>
      <c r="I133" t="s">
        <v>249</v>
      </c>
      <c r="J133" t="s">
        <v>325</v>
      </c>
      <c r="K133">
        <v>7.8052309015312832E-4</v>
      </c>
      <c r="L133" t="s">
        <v>251</v>
      </c>
      <c r="N133" t="s">
        <v>419</v>
      </c>
      <c r="O133" t="s">
        <v>325</v>
      </c>
      <c r="P133">
        <v>3.7884128657880421E-3</v>
      </c>
      <c r="Q133" t="s">
        <v>251</v>
      </c>
      <c r="S133" t="s">
        <v>420</v>
      </c>
      <c r="T133" t="s">
        <v>325</v>
      </c>
      <c r="U133">
        <v>3.5999580091018047E-3</v>
      </c>
      <c r="V133" t="s">
        <v>251</v>
      </c>
      <c r="X133">
        <v>3.5388127853881279E-3</v>
      </c>
      <c r="Y133">
        <v>5.9087255218821738E-3</v>
      </c>
      <c r="Z133" t="s">
        <v>325</v>
      </c>
      <c r="AA133" t="s">
        <v>25</v>
      </c>
      <c r="AC133" t="s">
        <v>22</v>
      </c>
      <c r="AD133" t="s">
        <v>325</v>
      </c>
      <c r="AE133">
        <v>4.2316119961850413E-3</v>
      </c>
      <c r="AG133" t="s">
        <v>99</v>
      </c>
      <c r="AH133" t="s">
        <v>325</v>
      </c>
      <c r="AI133">
        <v>9.3579735387869789E-2</v>
      </c>
    </row>
    <row r="134" spans="5:35" x14ac:dyDescent="0.45">
      <c r="E134" t="s">
        <v>219</v>
      </c>
      <c r="G134" t="s">
        <v>438</v>
      </c>
      <c r="I134" t="s">
        <v>249</v>
      </c>
      <c r="J134" t="s">
        <v>326</v>
      </c>
      <c r="K134">
        <v>3.598844042367861E-2</v>
      </c>
      <c r="L134" t="s">
        <v>251</v>
      </c>
      <c r="N134" t="s">
        <v>419</v>
      </c>
      <c r="O134" t="s">
        <v>326</v>
      </c>
      <c r="P134">
        <v>1.7718370554977197E-2</v>
      </c>
      <c r="Q134" t="s">
        <v>251</v>
      </c>
      <c r="S134" t="s">
        <v>420</v>
      </c>
      <c r="T134" t="s">
        <v>326</v>
      </c>
      <c r="U134">
        <v>2.1919812724936486E-2</v>
      </c>
      <c r="V134" t="s">
        <v>251</v>
      </c>
      <c r="X134">
        <v>2.1232876712328767E-2</v>
      </c>
      <c r="Y134">
        <v>2.6758819580836844E-2</v>
      </c>
      <c r="Z134" t="s">
        <v>326</v>
      </c>
      <c r="AA134" t="s">
        <v>25</v>
      </c>
      <c r="AC134" t="s">
        <v>22</v>
      </c>
      <c r="AD134" t="s">
        <v>326</v>
      </c>
      <c r="AE134">
        <v>2.52893600851027E-2</v>
      </c>
      <c r="AG134" t="s">
        <v>99</v>
      </c>
      <c r="AH134" t="s">
        <v>326</v>
      </c>
      <c r="AI134">
        <v>0.13028808653136692</v>
      </c>
    </row>
    <row r="135" spans="5:35" x14ac:dyDescent="0.45">
      <c r="E135" t="s">
        <v>220</v>
      </c>
      <c r="G135" t="s">
        <v>438</v>
      </c>
      <c r="I135" t="s">
        <v>249</v>
      </c>
      <c r="J135" t="s">
        <v>327</v>
      </c>
      <c r="K135">
        <v>1.6768638501399199E-2</v>
      </c>
      <c r="L135" t="s">
        <v>251</v>
      </c>
      <c r="N135" t="s">
        <v>419</v>
      </c>
      <c r="O135" t="s">
        <v>327</v>
      </c>
      <c r="P135">
        <v>8.0509621699873263E-3</v>
      </c>
      <c r="Q135" t="s">
        <v>251</v>
      </c>
      <c r="S135" t="s">
        <v>420</v>
      </c>
      <c r="T135" t="s">
        <v>327</v>
      </c>
      <c r="U135">
        <v>1.0995196107660529E-2</v>
      </c>
      <c r="V135" t="s">
        <v>251</v>
      </c>
      <c r="X135">
        <v>1.0616438356164383E-2</v>
      </c>
      <c r="Y135">
        <v>1.6893816970390073E-2</v>
      </c>
      <c r="Z135" t="s">
        <v>327</v>
      </c>
      <c r="AA135" t="s">
        <v>25</v>
      </c>
      <c r="AC135" t="s">
        <v>22</v>
      </c>
      <c r="AD135" t="s">
        <v>327</v>
      </c>
      <c r="AE135">
        <v>8.9752722242677878E-3</v>
      </c>
      <c r="AG135" t="s">
        <v>99</v>
      </c>
      <c r="AH135" t="s">
        <v>327</v>
      </c>
      <c r="AI135">
        <v>0.11180787818753379</v>
      </c>
    </row>
    <row r="136" spans="5:35" x14ac:dyDescent="0.45">
      <c r="E136" t="s">
        <v>221</v>
      </c>
      <c r="G136" t="s">
        <v>438</v>
      </c>
      <c r="I136" t="s">
        <v>249</v>
      </c>
      <c r="J136" t="s">
        <v>328</v>
      </c>
      <c r="K136">
        <v>3.9152964462415398E-3</v>
      </c>
      <c r="L136" t="s">
        <v>251</v>
      </c>
      <c r="N136" t="s">
        <v>419</v>
      </c>
      <c r="O136" t="s">
        <v>328</v>
      </c>
      <c r="P136">
        <v>2.6456635384339232E-3</v>
      </c>
      <c r="Q136" t="s">
        <v>251</v>
      </c>
      <c r="S136" t="s">
        <v>420</v>
      </c>
      <c r="T136" t="s">
        <v>328</v>
      </c>
      <c r="U136">
        <v>3.6218907938387621E-3</v>
      </c>
      <c r="V136" t="s">
        <v>251</v>
      </c>
      <c r="X136">
        <v>3.5388127853881279E-3</v>
      </c>
      <c r="Y136">
        <v>6.8849497385409693E-3</v>
      </c>
      <c r="Z136" t="s">
        <v>328</v>
      </c>
      <c r="AA136" t="s">
        <v>25</v>
      </c>
      <c r="AC136" t="s">
        <v>22</v>
      </c>
      <c r="AD136" t="s">
        <v>328</v>
      </c>
      <c r="AE136">
        <v>2.5747442735004709E-3</v>
      </c>
      <c r="AG136" t="s">
        <v>99</v>
      </c>
      <c r="AH136" t="s">
        <v>328</v>
      </c>
      <c r="AI136">
        <v>2.9026495980946754E-2</v>
      </c>
    </row>
    <row r="137" spans="5:35" x14ac:dyDescent="0.45">
      <c r="E137" t="s">
        <v>222</v>
      </c>
      <c r="G137" t="s">
        <v>438</v>
      </c>
      <c r="I137" t="s">
        <v>249</v>
      </c>
      <c r="J137" t="s">
        <v>329</v>
      </c>
      <c r="K137">
        <v>9.7688216512112434E-4</v>
      </c>
      <c r="L137" t="s">
        <v>251</v>
      </c>
      <c r="N137" t="s">
        <v>419</v>
      </c>
      <c r="O137" t="s">
        <v>329</v>
      </c>
      <c r="P137">
        <v>2.930497437883046E-3</v>
      </c>
      <c r="Q137" t="s">
        <v>251</v>
      </c>
      <c r="S137" t="s">
        <v>420</v>
      </c>
      <c r="T137" t="s">
        <v>329</v>
      </c>
      <c r="U137">
        <v>3.5799806164893669E-3</v>
      </c>
      <c r="V137" t="s">
        <v>251</v>
      </c>
      <c r="X137">
        <v>3.5388127853881279E-3</v>
      </c>
      <c r="Y137">
        <v>5.3435430806586613E-3</v>
      </c>
      <c r="Z137" t="s">
        <v>329</v>
      </c>
      <c r="AA137" t="s">
        <v>25</v>
      </c>
      <c r="AC137" t="s">
        <v>22</v>
      </c>
      <c r="AD137" t="s">
        <v>329</v>
      </c>
      <c r="AE137">
        <v>2.6002451766883763E-3</v>
      </c>
      <c r="AG137" t="s">
        <v>99</v>
      </c>
      <c r="AH137" t="s">
        <v>329</v>
      </c>
      <c r="AI137">
        <v>3.6642143420682283E-2</v>
      </c>
    </row>
    <row r="138" spans="5:35" x14ac:dyDescent="0.45">
      <c r="E138" t="s">
        <v>223</v>
      </c>
      <c r="G138" t="s">
        <v>438</v>
      </c>
      <c r="I138" t="s">
        <v>249</v>
      </c>
      <c r="J138" t="s">
        <v>330</v>
      </c>
      <c r="K138">
        <v>0</v>
      </c>
      <c r="L138" t="s">
        <v>251</v>
      </c>
      <c r="N138" t="s">
        <v>419</v>
      </c>
      <c r="O138" t="s">
        <v>330</v>
      </c>
      <c r="P138">
        <v>1.9050993178450711E-2</v>
      </c>
      <c r="Q138" t="s">
        <v>251</v>
      </c>
      <c r="S138" t="s">
        <v>420</v>
      </c>
      <c r="T138" t="s">
        <v>330</v>
      </c>
      <c r="U138">
        <v>1.8281068833678568E-2</v>
      </c>
      <c r="V138" t="s">
        <v>251</v>
      </c>
      <c r="X138">
        <v>1.7694063926940638E-2</v>
      </c>
      <c r="Y138">
        <v>1.3358857701646654E-2</v>
      </c>
      <c r="Z138" t="s">
        <v>330</v>
      </c>
      <c r="AA138" t="s">
        <v>25</v>
      </c>
      <c r="AC138" t="s">
        <v>22</v>
      </c>
      <c r="AD138" t="s">
        <v>330</v>
      </c>
      <c r="AE138">
        <v>1.7683837421870352E-2</v>
      </c>
      <c r="AG138" t="s">
        <v>99</v>
      </c>
      <c r="AH138" t="s">
        <v>330</v>
      </c>
      <c r="AI138">
        <v>0.20480196779357418</v>
      </c>
    </row>
    <row r="139" spans="5:35" x14ac:dyDescent="0.45">
      <c r="E139" t="s">
        <v>224</v>
      </c>
      <c r="G139" t="s">
        <v>438</v>
      </c>
      <c r="I139" t="s">
        <v>249</v>
      </c>
      <c r="J139" t="s">
        <v>331</v>
      </c>
      <c r="K139">
        <v>0</v>
      </c>
      <c r="L139" t="s">
        <v>251</v>
      </c>
      <c r="N139" t="s">
        <v>419</v>
      </c>
      <c r="O139" t="s">
        <v>331</v>
      </c>
      <c r="P139">
        <v>2.1410138807545501E-2</v>
      </c>
      <c r="Q139" t="s">
        <v>251</v>
      </c>
      <c r="S139" t="s">
        <v>420</v>
      </c>
      <c r="T139" t="s">
        <v>331</v>
      </c>
      <c r="U139">
        <v>2.6249465071932956E-2</v>
      </c>
      <c r="V139" t="s">
        <v>251</v>
      </c>
      <c r="X139">
        <v>2.0547945205479451E-2</v>
      </c>
      <c r="Y139">
        <v>4.3954951147353507E-3</v>
      </c>
      <c r="Z139" t="s">
        <v>331</v>
      </c>
      <c r="AA139" t="s">
        <v>25</v>
      </c>
      <c r="AC139" t="s">
        <v>22</v>
      </c>
      <c r="AD139" t="s">
        <v>331</v>
      </c>
      <c r="AE139">
        <v>2.2606759283775407E-2</v>
      </c>
      <c r="AG139" t="s">
        <v>99</v>
      </c>
      <c r="AH139" t="s">
        <v>331</v>
      </c>
      <c r="AI139">
        <v>8.8143016980968714E-2</v>
      </c>
    </row>
    <row r="140" spans="5:35" x14ac:dyDescent="0.45">
      <c r="E140" t="s">
        <v>225</v>
      </c>
      <c r="G140" t="s">
        <v>438</v>
      </c>
      <c r="I140" t="s">
        <v>249</v>
      </c>
      <c r="J140" t="s">
        <v>332</v>
      </c>
      <c r="K140">
        <v>0</v>
      </c>
      <c r="L140" t="s">
        <v>251</v>
      </c>
      <c r="N140" t="s">
        <v>419</v>
      </c>
      <c r="O140" t="s">
        <v>332</v>
      </c>
      <c r="P140">
        <v>3.3649793564282855E-3</v>
      </c>
      <c r="Q140" t="s">
        <v>251</v>
      </c>
      <c r="S140" t="s">
        <v>420</v>
      </c>
      <c r="T140" t="s">
        <v>332</v>
      </c>
      <c r="U140">
        <v>4.3239104093754158E-3</v>
      </c>
      <c r="V140" t="s">
        <v>251</v>
      </c>
      <c r="X140">
        <v>3.4246575342465752E-3</v>
      </c>
      <c r="Y140">
        <v>5.0717251323869452E-3</v>
      </c>
      <c r="Z140" t="s">
        <v>332</v>
      </c>
      <c r="AA140" t="s">
        <v>25</v>
      </c>
      <c r="AC140" t="s">
        <v>22</v>
      </c>
      <c r="AD140" t="s">
        <v>332</v>
      </c>
      <c r="AE140">
        <v>3.7870434869834153E-3</v>
      </c>
      <c r="AG140" t="s">
        <v>99</v>
      </c>
      <c r="AH140" t="s">
        <v>332</v>
      </c>
      <c r="AI140">
        <v>6.2389684510912646E-2</v>
      </c>
    </row>
    <row r="141" spans="5:35" x14ac:dyDescent="0.45">
      <c r="E141" t="s">
        <v>226</v>
      </c>
      <c r="G141" t="s">
        <v>438</v>
      </c>
      <c r="I141" t="s">
        <v>249</v>
      </c>
      <c r="J141" t="s">
        <v>333</v>
      </c>
      <c r="K141">
        <v>2.4399224348561404E-3</v>
      </c>
      <c r="L141" t="s">
        <v>251</v>
      </c>
      <c r="N141" t="s">
        <v>419</v>
      </c>
      <c r="O141" t="s">
        <v>333</v>
      </c>
      <c r="P141">
        <v>3.2745380393421853E-3</v>
      </c>
      <c r="Q141" t="s">
        <v>251</v>
      </c>
      <c r="S141" t="s">
        <v>420</v>
      </c>
      <c r="T141" t="s">
        <v>333</v>
      </c>
      <c r="U141">
        <v>4.3395914697344669E-3</v>
      </c>
      <c r="V141" t="s">
        <v>251</v>
      </c>
      <c r="X141">
        <v>3.4246575342465752E-3</v>
      </c>
      <c r="Y141">
        <v>5.7181214727892006E-3</v>
      </c>
      <c r="Z141" t="s">
        <v>333</v>
      </c>
      <c r="AA141" t="s">
        <v>25</v>
      </c>
      <c r="AC141" t="s">
        <v>22</v>
      </c>
      <c r="AD141" t="s">
        <v>333</v>
      </c>
      <c r="AE141">
        <v>3.941454702222116E-3</v>
      </c>
      <c r="AG141" t="s">
        <v>99</v>
      </c>
      <c r="AH141" t="s">
        <v>333</v>
      </c>
      <c r="AI141">
        <v>8.4518430733525829E-2</v>
      </c>
    </row>
    <row r="142" spans="5:35" x14ac:dyDescent="0.45">
      <c r="E142" t="s">
        <v>227</v>
      </c>
      <c r="G142" t="s">
        <v>438</v>
      </c>
      <c r="I142" t="s">
        <v>249</v>
      </c>
      <c r="J142" t="s">
        <v>334</v>
      </c>
      <c r="K142">
        <v>4.3155137858268203E-2</v>
      </c>
      <c r="L142" t="s">
        <v>251</v>
      </c>
      <c r="N142" t="s">
        <v>419</v>
      </c>
      <c r="O142" t="s">
        <v>334</v>
      </c>
      <c r="P142">
        <v>1.5881404351991465E-2</v>
      </c>
      <c r="Q142" t="s">
        <v>251</v>
      </c>
      <c r="S142" t="s">
        <v>420</v>
      </c>
      <c r="T142" t="s">
        <v>334</v>
      </c>
      <c r="U142">
        <v>2.6935789471882899E-2</v>
      </c>
      <c r="V142" t="s">
        <v>251</v>
      </c>
      <c r="X142">
        <v>2.0547945205479451E-2</v>
      </c>
      <c r="Y142">
        <v>2.5895631852422749E-2</v>
      </c>
      <c r="Z142" t="s">
        <v>334</v>
      </c>
      <c r="AA142" t="s">
        <v>25</v>
      </c>
      <c r="AC142" t="s">
        <v>22</v>
      </c>
      <c r="AD142" t="s">
        <v>334</v>
      </c>
      <c r="AE142">
        <v>2.3848291693501163E-2</v>
      </c>
      <c r="AG142" t="s">
        <v>99</v>
      </c>
      <c r="AH142" t="s">
        <v>334</v>
      </c>
      <c r="AI142">
        <v>0.16258723674695275</v>
      </c>
    </row>
    <row r="143" spans="5:35" x14ac:dyDescent="0.45">
      <c r="E143" t="s">
        <v>228</v>
      </c>
      <c r="G143" t="s">
        <v>438</v>
      </c>
      <c r="I143" t="s">
        <v>249</v>
      </c>
      <c r="J143" t="s">
        <v>335</v>
      </c>
      <c r="K143">
        <v>2.0275233079119298E-2</v>
      </c>
      <c r="L143" t="s">
        <v>251</v>
      </c>
      <c r="N143" t="s">
        <v>419</v>
      </c>
      <c r="O143" t="s">
        <v>335</v>
      </c>
      <c r="P143">
        <v>8.3453331689178518E-3</v>
      </c>
      <c r="Q143" t="s">
        <v>251</v>
      </c>
      <c r="S143" t="s">
        <v>420</v>
      </c>
      <c r="T143" t="s">
        <v>335</v>
      </c>
      <c r="U143">
        <v>1.3699636629155852E-2</v>
      </c>
      <c r="V143" t="s">
        <v>251</v>
      </c>
      <c r="X143">
        <v>1.0273972602739725E-2</v>
      </c>
      <c r="Y143">
        <v>1.6348855132635558E-2</v>
      </c>
      <c r="Z143" t="s">
        <v>335</v>
      </c>
      <c r="AA143" t="s">
        <v>25</v>
      </c>
      <c r="AC143" t="s">
        <v>22</v>
      </c>
      <c r="AD143" t="s">
        <v>335</v>
      </c>
      <c r="AE143">
        <v>8.4942058652007213E-3</v>
      </c>
      <c r="AG143" t="s">
        <v>99</v>
      </c>
      <c r="AH143" t="s">
        <v>335</v>
      </c>
      <c r="AI143">
        <v>0.11108235712367542</v>
      </c>
    </row>
    <row r="144" spans="5:35" x14ac:dyDescent="0.45">
      <c r="E144" t="s">
        <v>229</v>
      </c>
      <c r="G144" t="s">
        <v>438</v>
      </c>
      <c r="I144" t="s">
        <v>249</v>
      </c>
      <c r="J144" t="s">
        <v>336</v>
      </c>
      <c r="K144">
        <v>5.0361110397378998E-3</v>
      </c>
      <c r="L144" t="s">
        <v>251</v>
      </c>
      <c r="N144" t="s">
        <v>419</v>
      </c>
      <c r="O144" t="s">
        <v>336</v>
      </c>
      <c r="P144">
        <v>2.7101989138802679E-3</v>
      </c>
      <c r="Q144" t="s">
        <v>251</v>
      </c>
      <c r="S144" t="s">
        <v>420</v>
      </c>
      <c r="T144" t="s">
        <v>336</v>
      </c>
      <c r="U144">
        <v>4.560671892703351E-3</v>
      </c>
      <c r="V144" t="s">
        <v>251</v>
      </c>
      <c r="X144">
        <v>3.4246575342465752E-3</v>
      </c>
      <c r="Y144">
        <v>6.662854585684809E-3</v>
      </c>
      <c r="Z144" t="s">
        <v>336</v>
      </c>
      <c r="AA144" t="s">
        <v>25</v>
      </c>
      <c r="AC144" t="s">
        <v>22</v>
      </c>
      <c r="AD144" t="s">
        <v>336</v>
      </c>
      <c r="AE144">
        <v>2.4346795414683202E-3</v>
      </c>
      <c r="AG144" t="s">
        <v>99</v>
      </c>
      <c r="AH144" t="s">
        <v>336</v>
      </c>
      <c r="AI144">
        <v>4.4484926020691873E-2</v>
      </c>
    </row>
    <row r="145" spans="5:35" x14ac:dyDescent="0.45">
      <c r="E145" t="s">
        <v>230</v>
      </c>
      <c r="G145" t="s">
        <v>438</v>
      </c>
      <c r="I145" t="s">
        <v>249</v>
      </c>
      <c r="J145" t="s">
        <v>337</v>
      </c>
      <c r="K145">
        <v>2.141299774250829E-3</v>
      </c>
      <c r="L145" t="s">
        <v>251</v>
      </c>
      <c r="N145" t="s">
        <v>419</v>
      </c>
      <c r="O145" t="s">
        <v>337</v>
      </c>
      <c r="P145">
        <v>2.9103640251873374E-3</v>
      </c>
      <c r="Q145" t="s">
        <v>251</v>
      </c>
      <c r="S145" t="s">
        <v>420</v>
      </c>
      <c r="T145" t="s">
        <v>337</v>
      </c>
      <c r="U145">
        <v>4.5395507813417611E-3</v>
      </c>
      <c r="V145" t="s">
        <v>251</v>
      </c>
      <c r="X145">
        <v>3.4246575342465752E-3</v>
      </c>
      <c r="Y145">
        <v>5.1711707232180593E-3</v>
      </c>
      <c r="Z145" t="s">
        <v>337</v>
      </c>
      <c r="AA145" t="s">
        <v>25</v>
      </c>
      <c r="AC145" t="s">
        <v>22</v>
      </c>
      <c r="AD145" t="s">
        <v>337</v>
      </c>
      <c r="AE145">
        <v>2.4583695886484882E-3</v>
      </c>
      <c r="AG145" t="s">
        <v>99</v>
      </c>
      <c r="AH145" t="s">
        <v>337</v>
      </c>
      <c r="AI145">
        <v>4.6166696860863832E-2</v>
      </c>
    </row>
    <row r="146" spans="5:35" x14ac:dyDescent="0.45">
      <c r="E146" t="s">
        <v>231</v>
      </c>
      <c r="G146" t="s">
        <v>438</v>
      </c>
      <c r="I146" t="s">
        <v>249</v>
      </c>
      <c r="J146" t="s">
        <v>338</v>
      </c>
      <c r="K146">
        <v>0</v>
      </c>
      <c r="L146" t="s">
        <v>251</v>
      </c>
      <c r="N146" t="s">
        <v>419</v>
      </c>
      <c r="O146" t="s">
        <v>338</v>
      </c>
      <c r="P146">
        <v>1.7935199983666588E-2</v>
      </c>
      <c r="Q146" t="s">
        <v>251</v>
      </c>
      <c r="S146" t="s">
        <v>420</v>
      </c>
      <c r="T146" t="s">
        <v>338</v>
      </c>
      <c r="U146">
        <v>2.2737702359565844E-2</v>
      </c>
      <c r="V146" t="s">
        <v>251</v>
      </c>
      <c r="X146">
        <v>1.7123287671232876E-2</v>
      </c>
      <c r="Y146">
        <v>1.2927926808045149E-2</v>
      </c>
      <c r="Z146" t="s">
        <v>338</v>
      </c>
      <c r="AA146" t="s">
        <v>25</v>
      </c>
      <c r="AC146" t="s">
        <v>22</v>
      </c>
      <c r="AD146" t="s">
        <v>338</v>
      </c>
      <c r="AE146">
        <v>1.6462850962142856E-2</v>
      </c>
      <c r="AG146" t="s">
        <v>99</v>
      </c>
      <c r="AH146" t="s">
        <v>338</v>
      </c>
      <c r="AI146">
        <v>0.20953783142379279</v>
      </c>
    </row>
    <row r="147" spans="5:35" x14ac:dyDescent="0.45">
      <c r="E147" t="s">
        <v>232</v>
      </c>
      <c r="G147" t="s">
        <v>438</v>
      </c>
      <c r="I147" t="s">
        <v>249</v>
      </c>
      <c r="J147" t="s">
        <v>652</v>
      </c>
      <c r="K147">
        <v>0</v>
      </c>
      <c r="L147" t="s">
        <v>251</v>
      </c>
      <c r="N147" t="s">
        <v>419</v>
      </c>
      <c r="O147" t="s">
        <v>652</v>
      </c>
      <c r="P147">
        <v>9.9011874439216421E-5</v>
      </c>
      <c r="Q147" t="s">
        <v>251</v>
      </c>
      <c r="S147" t="s">
        <v>420</v>
      </c>
      <c r="T147" t="s">
        <v>652</v>
      </c>
      <c r="U147">
        <v>1.7888538324510001E-4</v>
      </c>
      <c r="V147" t="s">
        <v>251</v>
      </c>
      <c r="X147">
        <v>1.1415525114155251E-4</v>
      </c>
      <c r="Y147">
        <v>2.1546544680075254E-5</v>
      </c>
      <c r="Z147" t="s">
        <v>652</v>
      </c>
      <c r="AA147" t="s">
        <v>25</v>
      </c>
      <c r="AC147" t="s">
        <v>22</v>
      </c>
      <c r="AD147" t="s">
        <v>652</v>
      </c>
      <c r="AE147">
        <v>1.3587679690555695E-4</v>
      </c>
      <c r="AG147" t="s">
        <v>99</v>
      </c>
      <c r="AH147" t="s">
        <v>652</v>
      </c>
      <c r="AI147">
        <v>0</v>
      </c>
    </row>
    <row r="148" spans="5:35" x14ac:dyDescent="0.45">
      <c r="E148" t="s">
        <v>233</v>
      </c>
      <c r="G148" t="s">
        <v>438</v>
      </c>
      <c r="I148" t="s">
        <v>249</v>
      </c>
      <c r="J148" t="s">
        <v>653</v>
      </c>
      <c r="K148">
        <v>0</v>
      </c>
      <c r="L148" t="s">
        <v>251</v>
      </c>
      <c r="N148" t="s">
        <v>419</v>
      </c>
      <c r="O148" t="s">
        <v>653</v>
      </c>
      <c r="P148">
        <v>9.2317901848417563E-5</v>
      </c>
      <c r="Q148" t="s">
        <v>251</v>
      </c>
      <c r="S148" t="s">
        <v>420</v>
      </c>
      <c r="T148" t="s">
        <v>653</v>
      </c>
      <c r="U148">
        <v>1.7584159365700001E-4</v>
      </c>
      <c r="V148" t="s">
        <v>251</v>
      </c>
      <c r="X148">
        <v>1.1415525114155251E-4</v>
      </c>
      <c r="Y148">
        <v>1.4916838624667481E-5</v>
      </c>
      <c r="Z148" t="s">
        <v>653</v>
      </c>
      <c r="AA148" t="s">
        <v>25</v>
      </c>
      <c r="AC148" t="s">
        <v>22</v>
      </c>
      <c r="AD148" t="s">
        <v>653</v>
      </c>
      <c r="AE148">
        <v>1.3320221023623444E-4</v>
      </c>
      <c r="AG148" t="s">
        <v>99</v>
      </c>
      <c r="AH148" t="s">
        <v>653</v>
      </c>
      <c r="AI148">
        <v>0</v>
      </c>
    </row>
    <row r="149" spans="5:35" x14ac:dyDescent="0.45">
      <c r="E149" t="s">
        <v>234</v>
      </c>
      <c r="G149" t="s">
        <v>438</v>
      </c>
      <c r="I149" t="s">
        <v>249</v>
      </c>
      <c r="J149" t="s">
        <v>654</v>
      </c>
      <c r="K149">
        <v>0</v>
      </c>
      <c r="L149" t="s">
        <v>251</v>
      </c>
      <c r="N149" t="s">
        <v>419</v>
      </c>
      <c r="O149" t="s">
        <v>654</v>
      </c>
      <c r="P149">
        <v>9.7704179405763098E-5</v>
      </c>
      <c r="Q149" t="s">
        <v>251</v>
      </c>
      <c r="S149" t="s">
        <v>420</v>
      </c>
      <c r="T149" t="s">
        <v>654</v>
      </c>
      <c r="U149">
        <v>1.734496916958E-4</v>
      </c>
      <c r="V149" t="s">
        <v>251</v>
      </c>
      <c r="X149">
        <v>1.1415525114155251E-4</v>
      </c>
      <c r="Y149">
        <v>1.6574265138519424E-5</v>
      </c>
      <c r="Z149" t="s">
        <v>654</v>
      </c>
      <c r="AA149" t="s">
        <v>25</v>
      </c>
      <c r="AC149" t="s">
        <v>22</v>
      </c>
      <c r="AD149" t="s">
        <v>654</v>
      </c>
      <c r="AE149">
        <v>1.324814418910496E-4</v>
      </c>
      <c r="AG149" t="s">
        <v>99</v>
      </c>
      <c r="AH149" t="s">
        <v>654</v>
      </c>
      <c r="AI149">
        <v>0</v>
      </c>
    </row>
    <row r="150" spans="5:35" x14ac:dyDescent="0.45">
      <c r="E150" t="s">
        <v>235</v>
      </c>
      <c r="G150" t="s">
        <v>438</v>
      </c>
      <c r="I150" t="s">
        <v>249</v>
      </c>
      <c r="J150" t="s">
        <v>655</v>
      </c>
      <c r="K150">
        <v>0</v>
      </c>
      <c r="L150" t="s">
        <v>251</v>
      </c>
      <c r="N150" t="s">
        <v>419</v>
      </c>
      <c r="O150" t="s">
        <v>655</v>
      </c>
      <c r="P150">
        <v>9.7135070326067761E-5</v>
      </c>
      <c r="Q150" t="s">
        <v>251</v>
      </c>
      <c r="S150" t="s">
        <v>420</v>
      </c>
      <c r="T150" t="s">
        <v>655</v>
      </c>
      <c r="U150">
        <v>1.7171897687779999E-4</v>
      </c>
      <c r="V150" t="s">
        <v>251</v>
      </c>
      <c r="X150">
        <v>1.1415525114155251E-4</v>
      </c>
      <c r="Y150">
        <v>1.4585353321897093E-5</v>
      </c>
      <c r="Z150" t="s">
        <v>655</v>
      </c>
      <c r="AA150" t="s">
        <v>25</v>
      </c>
      <c r="AC150" t="s">
        <v>22</v>
      </c>
      <c r="AD150" t="s">
        <v>655</v>
      </c>
      <c r="AE150">
        <v>1.324814418910496E-4</v>
      </c>
      <c r="AG150" t="s">
        <v>99</v>
      </c>
      <c r="AH150" t="s">
        <v>655</v>
      </c>
      <c r="AI150">
        <v>0</v>
      </c>
    </row>
    <row r="151" spans="5:35" x14ac:dyDescent="0.45">
      <c r="E151" t="s">
        <v>236</v>
      </c>
      <c r="G151" t="s">
        <v>438</v>
      </c>
      <c r="I151" t="s">
        <v>249</v>
      </c>
      <c r="J151" t="s">
        <v>656</v>
      </c>
      <c r="K151">
        <v>0</v>
      </c>
      <c r="L151" t="s">
        <v>251</v>
      </c>
      <c r="N151" t="s">
        <v>419</v>
      </c>
      <c r="O151" t="s">
        <v>656</v>
      </c>
      <c r="P151">
        <v>9.0717427573766478E-5</v>
      </c>
      <c r="Q151" t="s">
        <v>251</v>
      </c>
      <c r="S151" t="s">
        <v>420</v>
      </c>
      <c r="T151" t="s">
        <v>656</v>
      </c>
      <c r="U151">
        <v>1.6928037679770001E-4</v>
      </c>
      <c r="V151" t="s">
        <v>251</v>
      </c>
      <c r="X151">
        <v>1.1415525114155251E-4</v>
      </c>
      <c r="Y151">
        <v>2.1215059377304864E-5</v>
      </c>
      <c r="Z151" t="s">
        <v>656</v>
      </c>
      <c r="AA151" t="s">
        <v>25</v>
      </c>
      <c r="AC151" t="s">
        <v>22</v>
      </c>
      <c r="AD151" t="s">
        <v>656</v>
      </c>
      <c r="AE151">
        <v>1.3120073780663013E-4</v>
      </c>
      <c r="AG151" t="s">
        <v>99</v>
      </c>
      <c r="AH151" t="s">
        <v>656</v>
      </c>
      <c r="AI151">
        <v>0</v>
      </c>
    </row>
    <row r="152" spans="5:35" x14ac:dyDescent="0.45">
      <c r="E152" t="s">
        <v>237</v>
      </c>
      <c r="G152" t="s">
        <v>438</v>
      </c>
      <c r="I152" t="s">
        <v>249</v>
      </c>
      <c r="J152" t="s">
        <v>657</v>
      </c>
      <c r="K152">
        <v>0</v>
      </c>
      <c r="L152" t="s">
        <v>251</v>
      </c>
      <c r="N152" t="s">
        <v>419</v>
      </c>
      <c r="O152" t="s">
        <v>657</v>
      </c>
      <c r="P152">
        <v>8.7038299323636233E-5</v>
      </c>
      <c r="Q152" t="s">
        <v>251</v>
      </c>
      <c r="S152" t="s">
        <v>420</v>
      </c>
      <c r="T152" t="s">
        <v>657</v>
      </c>
      <c r="U152">
        <v>1.6511041646069999E-4</v>
      </c>
      <c r="V152" t="s">
        <v>251</v>
      </c>
      <c r="X152">
        <v>1.1415525114155251E-4</v>
      </c>
      <c r="Y152">
        <v>5.7678442682047593E-5</v>
      </c>
      <c r="Z152" t="s">
        <v>657</v>
      </c>
      <c r="AA152" t="s">
        <v>25</v>
      </c>
      <c r="AC152" t="s">
        <v>22</v>
      </c>
      <c r="AD152" t="s">
        <v>657</v>
      </c>
      <c r="AE152">
        <v>1.3229678223236583E-4</v>
      </c>
      <c r="AG152" t="s">
        <v>99</v>
      </c>
      <c r="AH152" t="s">
        <v>657</v>
      </c>
      <c r="AI152">
        <v>0</v>
      </c>
    </row>
    <row r="153" spans="5:35" x14ac:dyDescent="0.45">
      <c r="E153" t="s">
        <v>238</v>
      </c>
      <c r="G153" t="s">
        <v>438</v>
      </c>
      <c r="I153" t="s">
        <v>249</v>
      </c>
      <c r="J153" t="s">
        <v>658</v>
      </c>
      <c r="K153">
        <v>0</v>
      </c>
      <c r="L153" t="s">
        <v>251</v>
      </c>
      <c r="N153" t="s">
        <v>419</v>
      </c>
      <c r="O153" t="s">
        <v>658</v>
      </c>
      <c r="P153">
        <v>8.526000945648069E-5</v>
      </c>
      <c r="Q153" t="s">
        <v>251</v>
      </c>
      <c r="S153" t="s">
        <v>420</v>
      </c>
      <c r="T153" t="s">
        <v>658</v>
      </c>
      <c r="U153">
        <v>1.620963691464E-4</v>
      </c>
      <c r="V153" t="s">
        <v>251</v>
      </c>
      <c r="X153">
        <v>1.1415525114155251E-4</v>
      </c>
      <c r="Y153">
        <v>1.6905750441289813E-4</v>
      </c>
      <c r="Z153" t="s">
        <v>658</v>
      </c>
      <c r="AA153" t="s">
        <v>25</v>
      </c>
      <c r="AC153" t="s">
        <v>22</v>
      </c>
      <c r="AD153" t="s">
        <v>658</v>
      </c>
      <c r="AE153">
        <v>1.3383958389685252E-4</v>
      </c>
      <c r="AG153" t="s">
        <v>99</v>
      </c>
      <c r="AH153" t="s">
        <v>658</v>
      </c>
      <c r="AI153">
        <v>0</v>
      </c>
    </row>
    <row r="154" spans="5:35" x14ac:dyDescent="0.45">
      <c r="E154" t="s">
        <v>239</v>
      </c>
      <c r="G154" t="s">
        <v>438</v>
      </c>
      <c r="I154" t="s">
        <v>249</v>
      </c>
      <c r="J154" t="s">
        <v>659</v>
      </c>
      <c r="K154">
        <v>1.117936708321E-4</v>
      </c>
      <c r="L154" t="s">
        <v>251</v>
      </c>
      <c r="N154" t="s">
        <v>419</v>
      </c>
      <c r="O154" t="s">
        <v>659</v>
      </c>
      <c r="P154">
        <v>7.9829225194584345E-5</v>
      </c>
      <c r="Q154" t="s">
        <v>251</v>
      </c>
      <c r="S154" t="s">
        <v>420</v>
      </c>
      <c r="T154" t="s">
        <v>659</v>
      </c>
      <c r="U154">
        <v>1.440016246186E-4</v>
      </c>
      <c r="V154" t="s">
        <v>251</v>
      </c>
      <c r="X154">
        <v>1.1415525114155251E-4</v>
      </c>
      <c r="Y154">
        <v>1.9060404909297337E-4</v>
      </c>
      <c r="Z154" t="s">
        <v>659</v>
      </c>
      <c r="AA154" t="s">
        <v>25</v>
      </c>
      <c r="AC154" t="s">
        <v>22</v>
      </c>
      <c r="AD154" t="s">
        <v>659</v>
      </c>
      <c r="AE154">
        <v>1.3726472272727663E-4</v>
      </c>
      <c r="AG154" t="s">
        <v>99</v>
      </c>
      <c r="AH154" t="s">
        <v>659</v>
      </c>
      <c r="AI154">
        <v>0</v>
      </c>
    </row>
    <row r="155" spans="5:35" x14ac:dyDescent="0.45">
      <c r="E155" t="s">
        <v>508</v>
      </c>
      <c r="G155" t="s">
        <v>440</v>
      </c>
      <c r="I155" t="s">
        <v>249</v>
      </c>
      <c r="J155" t="s">
        <v>660</v>
      </c>
      <c r="K155">
        <v>1.902613883354E-4</v>
      </c>
      <c r="L155" t="s">
        <v>251</v>
      </c>
      <c r="N155" t="s">
        <v>419</v>
      </c>
      <c r="O155" t="s">
        <v>660</v>
      </c>
      <c r="P155">
        <v>7.2926153808321832E-5</v>
      </c>
      <c r="Q155" t="s">
        <v>251</v>
      </c>
      <c r="S155" t="s">
        <v>420</v>
      </c>
      <c r="T155" t="s">
        <v>660</v>
      </c>
      <c r="U155">
        <v>1.3495106829910001E-4</v>
      </c>
      <c r="V155" t="s">
        <v>251</v>
      </c>
      <c r="X155">
        <v>1.1415525114155251E-4</v>
      </c>
      <c r="Y155">
        <v>1.4585353321897094E-4</v>
      </c>
      <c r="Z155" t="s">
        <v>660</v>
      </c>
      <c r="AA155" t="s">
        <v>25</v>
      </c>
      <c r="AC155" t="s">
        <v>22</v>
      </c>
      <c r="AD155" t="s">
        <v>660</v>
      </c>
      <c r="AE155">
        <v>1.3807484252021168E-4</v>
      </c>
      <c r="AG155" t="s">
        <v>99</v>
      </c>
      <c r="AH155" t="s">
        <v>660</v>
      </c>
      <c r="AI155">
        <v>0</v>
      </c>
    </row>
    <row r="156" spans="5:35" x14ac:dyDescent="0.45">
      <c r="E156" t="s">
        <v>509</v>
      </c>
      <c r="G156" t="s">
        <v>440</v>
      </c>
      <c r="I156" t="s">
        <v>249</v>
      </c>
      <c r="J156" t="s">
        <v>661</v>
      </c>
      <c r="K156">
        <v>2.1555291863029999E-4</v>
      </c>
      <c r="L156" t="s">
        <v>251</v>
      </c>
      <c r="N156" t="s">
        <v>419</v>
      </c>
      <c r="O156" t="s">
        <v>661</v>
      </c>
      <c r="P156">
        <v>7.0819400444874594E-5</v>
      </c>
      <c r="Q156" t="s">
        <v>251</v>
      </c>
      <c r="S156" t="s">
        <v>420</v>
      </c>
      <c r="T156" t="s">
        <v>661</v>
      </c>
      <c r="U156">
        <v>1.2605769839E-4</v>
      </c>
      <c r="V156" t="s">
        <v>251</v>
      </c>
      <c r="X156">
        <v>1.1415525114155251E-4</v>
      </c>
      <c r="Y156">
        <v>1.4452759200788939E-4</v>
      </c>
      <c r="Z156" t="s">
        <v>661</v>
      </c>
      <c r="AA156" t="s">
        <v>25</v>
      </c>
      <c r="AC156" t="s">
        <v>22</v>
      </c>
      <c r="AD156" t="s">
        <v>661</v>
      </c>
      <c r="AE156">
        <v>1.3901005433999706E-4</v>
      </c>
      <c r="AG156" t="s">
        <v>99</v>
      </c>
      <c r="AH156" t="s">
        <v>661</v>
      </c>
      <c r="AI156">
        <v>0</v>
      </c>
    </row>
    <row r="157" spans="5:35" x14ac:dyDescent="0.45">
      <c r="E157" t="s">
        <v>510</v>
      </c>
      <c r="G157" t="s">
        <v>440</v>
      </c>
      <c r="I157" t="s">
        <v>249</v>
      </c>
      <c r="J157" t="s">
        <v>662</v>
      </c>
      <c r="K157">
        <v>2.3244854707060001E-4</v>
      </c>
      <c r="L157" t="s">
        <v>251</v>
      </c>
      <c r="N157" t="s">
        <v>419</v>
      </c>
      <c r="O157" t="s">
        <v>662</v>
      </c>
      <c r="P157">
        <v>7.795953145240669E-5</v>
      </c>
      <c r="Q157" t="s">
        <v>251</v>
      </c>
      <c r="S157" t="s">
        <v>420</v>
      </c>
      <c r="T157" t="s">
        <v>662</v>
      </c>
      <c r="U157">
        <v>1.251015483586E-4</v>
      </c>
      <c r="V157" t="s">
        <v>251</v>
      </c>
      <c r="X157">
        <v>1.1415525114155251E-4</v>
      </c>
      <c r="Y157">
        <v>1.408812536774151E-4</v>
      </c>
      <c r="Z157" t="s">
        <v>662</v>
      </c>
      <c r="AA157" t="s">
        <v>25</v>
      </c>
      <c r="AC157" t="s">
        <v>22</v>
      </c>
      <c r="AD157" t="s">
        <v>662</v>
      </c>
      <c r="AE157">
        <v>1.4417456801995822E-4</v>
      </c>
      <c r="AG157" t="s">
        <v>99</v>
      </c>
      <c r="AH157" t="s">
        <v>662</v>
      </c>
      <c r="AI157">
        <v>0</v>
      </c>
    </row>
    <row r="158" spans="5:35" x14ac:dyDescent="0.45">
      <c r="E158" t="s">
        <v>511</v>
      </c>
      <c r="G158" t="s">
        <v>440</v>
      </c>
      <c r="I158" t="s">
        <v>249</v>
      </c>
      <c r="J158" t="s">
        <v>663</v>
      </c>
      <c r="K158">
        <v>2.5328374536510003E-4</v>
      </c>
      <c r="L158" t="s">
        <v>251</v>
      </c>
      <c r="N158" t="s">
        <v>419</v>
      </c>
      <c r="O158" t="s">
        <v>663</v>
      </c>
      <c r="P158">
        <v>7.8056679523525637E-5</v>
      </c>
      <c r="Q158" t="s">
        <v>251</v>
      </c>
      <c r="S158" t="s">
        <v>420</v>
      </c>
      <c r="T158" t="s">
        <v>663</v>
      </c>
      <c r="U158">
        <v>1.2569594612990001E-4</v>
      </c>
      <c r="V158" t="s">
        <v>251</v>
      </c>
      <c r="X158">
        <v>1.1415525114155251E-4</v>
      </c>
      <c r="Y158">
        <v>1.4054976837464471E-4</v>
      </c>
      <c r="Z158" t="s">
        <v>663</v>
      </c>
      <c r="AA158" t="s">
        <v>25</v>
      </c>
      <c r="AC158" t="s">
        <v>22</v>
      </c>
      <c r="AD158" t="s">
        <v>663</v>
      </c>
      <c r="AE158">
        <v>1.3862286473307955E-4</v>
      </c>
      <c r="AG158" t="s">
        <v>99</v>
      </c>
      <c r="AH158" t="s">
        <v>663</v>
      </c>
      <c r="AI158">
        <v>0</v>
      </c>
    </row>
    <row r="159" spans="5:35" x14ac:dyDescent="0.45">
      <c r="E159" t="s">
        <v>512</v>
      </c>
      <c r="G159" t="s">
        <v>440</v>
      </c>
      <c r="I159" t="s">
        <v>249</v>
      </c>
      <c r="J159" t="s">
        <v>664</v>
      </c>
      <c r="K159">
        <v>2.7644433560649999E-4</v>
      </c>
      <c r="L159" t="s">
        <v>251</v>
      </c>
      <c r="N159" t="s">
        <v>419</v>
      </c>
      <c r="O159" t="s">
        <v>664</v>
      </c>
      <c r="P159">
        <v>7.6659841992412871E-5</v>
      </c>
      <c r="Q159" t="s">
        <v>251</v>
      </c>
      <c r="S159" t="s">
        <v>420</v>
      </c>
      <c r="T159" t="s">
        <v>664</v>
      </c>
      <c r="U159">
        <v>1.3046790430680001E-4</v>
      </c>
      <c r="V159" t="s">
        <v>251</v>
      </c>
      <c r="X159">
        <v>1.1415525114155251E-4</v>
      </c>
      <c r="Y159">
        <v>1.4253868019126702E-4</v>
      </c>
      <c r="Z159" t="s">
        <v>664</v>
      </c>
      <c r="AA159" t="s">
        <v>25</v>
      </c>
      <c r="AC159" t="s">
        <v>22</v>
      </c>
      <c r="AD159" t="s">
        <v>664</v>
      </c>
      <c r="AE159">
        <v>1.3305924791983417E-4</v>
      </c>
      <c r="AG159" t="s">
        <v>99</v>
      </c>
      <c r="AH159" t="s">
        <v>664</v>
      </c>
      <c r="AI159">
        <v>0</v>
      </c>
    </row>
    <row r="160" spans="5:35" x14ac:dyDescent="0.45">
      <c r="E160" t="s">
        <v>513</v>
      </c>
      <c r="G160" t="s">
        <v>440</v>
      </c>
      <c r="I160" t="s">
        <v>249</v>
      </c>
      <c r="J160" t="s">
        <v>665</v>
      </c>
      <c r="K160">
        <v>2.6916003726780002E-4</v>
      </c>
      <c r="L160" t="s">
        <v>251</v>
      </c>
      <c r="N160" t="s">
        <v>419</v>
      </c>
      <c r="O160" t="s">
        <v>665</v>
      </c>
      <c r="P160">
        <v>7.3611968701881998E-5</v>
      </c>
      <c r="Q160" t="s">
        <v>251</v>
      </c>
      <c r="S160" t="s">
        <v>420</v>
      </c>
      <c r="T160" t="s">
        <v>665</v>
      </c>
      <c r="U160">
        <v>1.3890406581209999E-4</v>
      </c>
      <c r="V160" t="s">
        <v>251</v>
      </c>
      <c r="X160">
        <v>1.1415525114155251E-4</v>
      </c>
      <c r="Y160">
        <v>1.4883690094390442E-4</v>
      </c>
      <c r="Z160" t="s">
        <v>665</v>
      </c>
      <c r="AA160" t="s">
        <v>25</v>
      </c>
      <c r="AC160" t="s">
        <v>22</v>
      </c>
      <c r="AD160" t="s">
        <v>665</v>
      </c>
      <c r="AE160">
        <v>1.187749298061699E-4</v>
      </c>
      <c r="AG160" t="s">
        <v>99</v>
      </c>
      <c r="AH160" t="s">
        <v>665</v>
      </c>
      <c r="AI160">
        <v>0</v>
      </c>
    </row>
    <row r="161" spans="5:35" x14ac:dyDescent="0.45">
      <c r="E161" t="s">
        <v>514</v>
      </c>
      <c r="G161" t="s">
        <v>440</v>
      </c>
      <c r="I161" t="s">
        <v>249</v>
      </c>
      <c r="J161" t="s">
        <v>666</v>
      </c>
      <c r="K161">
        <v>2.497588006954E-4</v>
      </c>
      <c r="L161" t="s">
        <v>251</v>
      </c>
      <c r="N161" t="s">
        <v>419</v>
      </c>
      <c r="O161" t="s">
        <v>666</v>
      </c>
      <c r="P161">
        <v>6.9312442531370519E-5</v>
      </c>
      <c r="Q161" t="s">
        <v>251</v>
      </c>
      <c r="S161" t="s">
        <v>420</v>
      </c>
      <c r="T161" t="s">
        <v>666</v>
      </c>
      <c r="U161">
        <v>1.4412052937559999E-4</v>
      </c>
      <c r="V161" t="s">
        <v>251</v>
      </c>
      <c r="X161">
        <v>1.1415525114155251E-4</v>
      </c>
      <c r="Y161">
        <v>1.5049432745775637E-4</v>
      </c>
      <c r="Z161" t="s">
        <v>666</v>
      </c>
      <c r="AA161" t="s">
        <v>25</v>
      </c>
      <c r="AC161" t="s">
        <v>22</v>
      </c>
      <c r="AD161" t="s">
        <v>666</v>
      </c>
      <c r="AE161">
        <v>1.0851738360444769E-4</v>
      </c>
      <c r="AG161" t="s">
        <v>99</v>
      </c>
      <c r="AH161" t="s">
        <v>666</v>
      </c>
      <c r="AI161">
        <v>0</v>
      </c>
    </row>
    <row r="162" spans="5:35" x14ac:dyDescent="0.45">
      <c r="E162" t="s">
        <v>515</v>
      </c>
      <c r="G162" t="s">
        <v>440</v>
      </c>
      <c r="I162" t="s">
        <v>249</v>
      </c>
      <c r="J162" t="s">
        <v>667</v>
      </c>
      <c r="K162">
        <v>2.3748179635440001E-4</v>
      </c>
      <c r="L162" t="s">
        <v>251</v>
      </c>
      <c r="N162" t="s">
        <v>419</v>
      </c>
      <c r="O162" t="s">
        <v>667</v>
      </c>
      <c r="P162">
        <v>6.287289023857355E-5</v>
      </c>
      <c r="Q162" t="s">
        <v>251</v>
      </c>
      <c r="S162" t="s">
        <v>420</v>
      </c>
      <c r="T162" t="s">
        <v>667</v>
      </c>
      <c r="U162">
        <v>1.4370004655720001E-4</v>
      </c>
      <c r="V162" t="s">
        <v>251</v>
      </c>
      <c r="X162">
        <v>1.1415525114155251E-4</v>
      </c>
      <c r="Y162">
        <v>1.7237235744060203E-4</v>
      </c>
      <c r="Z162" t="s">
        <v>667</v>
      </c>
      <c r="AA162" t="s">
        <v>25</v>
      </c>
      <c r="AC162" t="s">
        <v>22</v>
      </c>
      <c r="AD162" t="s">
        <v>667</v>
      </c>
      <c r="AE162">
        <v>8.9938239235590802E-5</v>
      </c>
      <c r="AG162" t="s">
        <v>99</v>
      </c>
      <c r="AH162" t="s">
        <v>667</v>
      </c>
      <c r="AI162">
        <v>0</v>
      </c>
    </row>
    <row r="163" spans="5:35" x14ac:dyDescent="0.45">
      <c r="E163" t="s">
        <v>516</v>
      </c>
      <c r="G163" t="s">
        <v>440</v>
      </c>
      <c r="I163" t="s">
        <v>249</v>
      </c>
      <c r="J163" t="s">
        <v>668</v>
      </c>
      <c r="K163">
        <v>2.206478996578E-4</v>
      </c>
      <c r="L163" t="s">
        <v>251</v>
      </c>
      <c r="N163" t="s">
        <v>419</v>
      </c>
      <c r="O163" t="s">
        <v>668</v>
      </c>
      <c r="P163">
        <v>5.8295998798269667E-5</v>
      </c>
      <c r="Q163" t="s">
        <v>251</v>
      </c>
      <c r="S163" t="s">
        <v>420</v>
      </c>
      <c r="T163" t="s">
        <v>668</v>
      </c>
      <c r="U163">
        <v>1.347659553941E-4</v>
      </c>
      <c r="V163" t="s">
        <v>251</v>
      </c>
      <c r="X163">
        <v>1.1415525114155251E-4</v>
      </c>
      <c r="Y163">
        <v>2.2209515285616027E-4</v>
      </c>
      <c r="Z163" t="s">
        <v>668</v>
      </c>
      <c r="AA163" t="s">
        <v>25</v>
      </c>
      <c r="AC163" t="s">
        <v>22</v>
      </c>
      <c r="AD163" t="s">
        <v>668</v>
      </c>
      <c r="AE163">
        <v>8.6602451852916922E-5</v>
      </c>
      <c r="AG163" t="s">
        <v>99</v>
      </c>
      <c r="AH163" t="s">
        <v>668</v>
      </c>
      <c r="AI163">
        <v>0</v>
      </c>
    </row>
    <row r="164" spans="5:35" x14ac:dyDescent="0.45">
      <c r="E164" t="s">
        <v>517</v>
      </c>
      <c r="G164" t="s">
        <v>440</v>
      </c>
      <c r="I164" t="s">
        <v>249</v>
      </c>
      <c r="J164" t="s">
        <v>669</v>
      </c>
      <c r="K164">
        <v>1.723403902744E-4</v>
      </c>
      <c r="L164" t="s">
        <v>251</v>
      </c>
      <c r="N164" t="s">
        <v>419</v>
      </c>
      <c r="O164" t="s">
        <v>669</v>
      </c>
      <c r="P164">
        <v>5.0835327776291437E-5</v>
      </c>
      <c r="Q164" t="s">
        <v>251</v>
      </c>
      <c r="S164" t="s">
        <v>420</v>
      </c>
      <c r="T164" t="s">
        <v>669</v>
      </c>
      <c r="U164">
        <v>1.2780750820389999E-4</v>
      </c>
      <c r="V164" t="s">
        <v>251</v>
      </c>
      <c r="X164">
        <v>1.1415525114155251E-4</v>
      </c>
      <c r="Y164">
        <v>2.2209515285616027E-4</v>
      </c>
      <c r="Z164" t="s">
        <v>669</v>
      </c>
      <c r="AA164" t="s">
        <v>25</v>
      </c>
      <c r="AC164" t="s">
        <v>22</v>
      </c>
      <c r="AD164" t="s">
        <v>669</v>
      </c>
      <c r="AE164">
        <v>8.2474414966857978E-5</v>
      </c>
      <c r="AG164" t="s">
        <v>99</v>
      </c>
      <c r="AH164" t="s">
        <v>669</v>
      </c>
      <c r="AI164">
        <v>0</v>
      </c>
    </row>
    <row r="165" spans="5:35" x14ac:dyDescent="0.45">
      <c r="E165" t="s">
        <v>518</v>
      </c>
      <c r="G165" t="s">
        <v>440</v>
      </c>
      <c r="I165" t="s">
        <v>249</v>
      </c>
      <c r="J165" t="s">
        <v>670</v>
      </c>
      <c r="K165">
        <v>6.3429838959689946E-5</v>
      </c>
      <c r="L165" t="s">
        <v>251</v>
      </c>
      <c r="N165" t="s">
        <v>419</v>
      </c>
      <c r="O165" t="s">
        <v>670</v>
      </c>
      <c r="P165">
        <v>4.3693083803145287E-5</v>
      </c>
      <c r="Q165" t="s">
        <v>251</v>
      </c>
      <c r="S165" t="s">
        <v>420</v>
      </c>
      <c r="T165" t="s">
        <v>670</v>
      </c>
      <c r="U165">
        <v>1.2589858391029999E-4</v>
      </c>
      <c r="V165" t="s">
        <v>251</v>
      </c>
      <c r="X165">
        <v>1.1415525114155251E-4</v>
      </c>
      <c r="Y165">
        <v>1.7237235744060203E-4</v>
      </c>
      <c r="Z165" t="s">
        <v>670</v>
      </c>
      <c r="AA165" t="s">
        <v>25</v>
      </c>
      <c r="AC165" t="s">
        <v>22</v>
      </c>
      <c r="AD165" t="s">
        <v>670</v>
      </c>
      <c r="AE165">
        <v>8.3689594656260612E-5</v>
      </c>
      <c r="AG165" t="s">
        <v>99</v>
      </c>
      <c r="AH165" t="s">
        <v>670</v>
      </c>
      <c r="AI165">
        <v>0</v>
      </c>
    </row>
    <row r="166" spans="5:35" x14ac:dyDescent="0.45">
      <c r="E166" t="s">
        <v>519</v>
      </c>
      <c r="G166" t="s">
        <v>440</v>
      </c>
      <c r="I166" t="s">
        <v>249</v>
      </c>
      <c r="J166" t="s">
        <v>671</v>
      </c>
      <c r="K166">
        <v>0</v>
      </c>
      <c r="L166" t="s">
        <v>251</v>
      </c>
      <c r="N166" t="s">
        <v>419</v>
      </c>
      <c r="O166" t="s">
        <v>671</v>
      </c>
      <c r="P166">
        <v>3.8169455730886046E-5</v>
      </c>
      <c r="Q166" t="s">
        <v>251</v>
      </c>
      <c r="S166" t="s">
        <v>420</v>
      </c>
      <c r="T166" t="s">
        <v>671</v>
      </c>
      <c r="U166">
        <v>1.2733183655939999E-4</v>
      </c>
      <c r="V166" t="s">
        <v>251</v>
      </c>
      <c r="X166">
        <v>1.1415525114155251E-4</v>
      </c>
      <c r="Y166">
        <v>1.5579809230208258E-4</v>
      </c>
      <c r="Z166" t="s">
        <v>671</v>
      </c>
      <c r="AA166" t="s">
        <v>25</v>
      </c>
      <c r="AC166" t="s">
        <v>22</v>
      </c>
      <c r="AD166" t="s">
        <v>671</v>
      </c>
      <c r="AE166">
        <v>8.7275566092635042E-5</v>
      </c>
      <c r="AG166" t="s">
        <v>99</v>
      </c>
      <c r="AH166" t="s">
        <v>671</v>
      </c>
      <c r="AI166">
        <v>0</v>
      </c>
    </row>
    <row r="167" spans="5:35" x14ac:dyDescent="0.45">
      <c r="E167" t="s">
        <v>520</v>
      </c>
      <c r="G167" t="s">
        <v>440</v>
      </c>
      <c r="I167" t="s">
        <v>249</v>
      </c>
      <c r="J167" t="s">
        <v>672</v>
      </c>
      <c r="K167">
        <v>0</v>
      </c>
      <c r="L167" t="s">
        <v>251</v>
      </c>
      <c r="N167" t="s">
        <v>419</v>
      </c>
      <c r="O167" t="s">
        <v>672</v>
      </c>
      <c r="P167">
        <v>3.6587430469457945E-5</v>
      </c>
      <c r="Q167" t="s">
        <v>251</v>
      </c>
      <c r="S167" t="s">
        <v>420</v>
      </c>
      <c r="T167" t="s">
        <v>672</v>
      </c>
      <c r="U167">
        <v>1.2454762944109999E-4</v>
      </c>
      <c r="V167" t="s">
        <v>251</v>
      </c>
      <c r="X167">
        <v>1.1415525114155251E-4</v>
      </c>
      <c r="Y167">
        <v>1.093901499142282E-4</v>
      </c>
      <c r="Z167" t="s">
        <v>672</v>
      </c>
      <c r="AA167" t="s">
        <v>25</v>
      </c>
      <c r="AC167" t="s">
        <v>22</v>
      </c>
      <c r="AD167" t="s">
        <v>672</v>
      </c>
      <c r="AE167">
        <v>1.033766969772199E-4</v>
      </c>
      <c r="AG167" t="s">
        <v>99</v>
      </c>
      <c r="AH167" t="s">
        <v>672</v>
      </c>
      <c r="AI167">
        <v>0</v>
      </c>
    </row>
    <row r="168" spans="5:35" x14ac:dyDescent="0.45">
      <c r="E168" t="s">
        <v>521</v>
      </c>
      <c r="G168" t="s">
        <v>440</v>
      </c>
      <c r="I168" t="s">
        <v>249</v>
      </c>
      <c r="J168" t="s">
        <v>673</v>
      </c>
      <c r="K168">
        <v>0</v>
      </c>
      <c r="L168" t="s">
        <v>251</v>
      </c>
      <c r="N168" t="s">
        <v>419</v>
      </c>
      <c r="O168" t="s">
        <v>673</v>
      </c>
      <c r="P168">
        <v>3.8311226332642122E-5</v>
      </c>
      <c r="Q168" t="s">
        <v>251</v>
      </c>
      <c r="S168" t="s">
        <v>420</v>
      </c>
      <c r="T168" t="s">
        <v>673</v>
      </c>
      <c r="U168">
        <v>1.201934818931E-4</v>
      </c>
      <c r="V168" t="s">
        <v>251</v>
      </c>
      <c r="X168">
        <v>1.1415525114155251E-4</v>
      </c>
      <c r="Y168">
        <v>7.9556472664893237E-5</v>
      </c>
      <c r="Z168" t="s">
        <v>673</v>
      </c>
      <c r="AA168" t="s">
        <v>25</v>
      </c>
      <c r="AC168" t="s">
        <v>22</v>
      </c>
      <c r="AD168" t="s">
        <v>673</v>
      </c>
      <c r="AE168">
        <v>1.2085384015715773E-4</v>
      </c>
      <c r="AG168" t="s">
        <v>99</v>
      </c>
      <c r="AH168" t="s">
        <v>673</v>
      </c>
      <c r="AI168">
        <v>0</v>
      </c>
    </row>
    <row r="169" spans="5:35" x14ac:dyDescent="0.45">
      <c r="E169" t="s">
        <v>522</v>
      </c>
      <c r="G169" t="s">
        <v>440</v>
      </c>
      <c r="I169" t="s">
        <v>249</v>
      </c>
      <c r="J169" t="s">
        <v>674</v>
      </c>
      <c r="K169">
        <v>0</v>
      </c>
      <c r="L169" t="s">
        <v>251</v>
      </c>
      <c r="N169" t="s">
        <v>419</v>
      </c>
      <c r="O169" t="s">
        <v>674</v>
      </c>
      <c r="P169">
        <v>3.866296388230255E-5</v>
      </c>
      <c r="Q169" t="s">
        <v>251</v>
      </c>
      <c r="S169" t="s">
        <v>420</v>
      </c>
      <c r="T169" t="s">
        <v>674</v>
      </c>
      <c r="U169">
        <v>1.113364856344E-4</v>
      </c>
      <c r="V169" t="s">
        <v>251</v>
      </c>
      <c r="X169">
        <v>1.1415525114155251E-4</v>
      </c>
      <c r="Y169">
        <v>5.6352501470966035E-5</v>
      </c>
      <c r="Z169" t="s">
        <v>674</v>
      </c>
      <c r="AA169" t="s">
        <v>25</v>
      </c>
      <c r="AC169" t="s">
        <v>22</v>
      </c>
      <c r="AD169" t="s">
        <v>674</v>
      </c>
      <c r="AE169">
        <v>1.2911587069245895E-4</v>
      </c>
      <c r="AG169" t="s">
        <v>99</v>
      </c>
      <c r="AH169" t="s">
        <v>674</v>
      </c>
      <c r="AI169">
        <v>0</v>
      </c>
    </row>
    <row r="170" spans="5:35" x14ac:dyDescent="0.45">
      <c r="E170" t="s">
        <v>523</v>
      </c>
      <c r="G170" t="s">
        <v>440</v>
      </c>
      <c r="I170" t="s">
        <v>249</v>
      </c>
      <c r="J170" t="s">
        <v>675</v>
      </c>
      <c r="K170">
        <v>0</v>
      </c>
      <c r="L170" t="s">
        <v>251</v>
      </c>
      <c r="N170" t="s">
        <v>419</v>
      </c>
      <c r="O170" t="s">
        <v>675</v>
      </c>
      <c r="P170">
        <v>3.9185326789081633E-5</v>
      </c>
      <c r="Q170" t="s">
        <v>251</v>
      </c>
      <c r="S170" t="s">
        <v>420</v>
      </c>
      <c r="T170" t="s">
        <v>675</v>
      </c>
      <c r="U170">
        <v>1.054125249144E-4</v>
      </c>
      <c r="V170" t="s">
        <v>251</v>
      </c>
      <c r="X170">
        <v>1.1415525114155251E-4</v>
      </c>
      <c r="Y170">
        <v>2.9833677249334962E-5</v>
      </c>
      <c r="Z170" t="s">
        <v>675</v>
      </c>
      <c r="AA170" t="s">
        <v>25</v>
      </c>
      <c r="AC170" t="s">
        <v>22</v>
      </c>
      <c r="AD170" t="s">
        <v>675</v>
      </c>
      <c r="AE170">
        <v>1.3741364180686026E-4</v>
      </c>
      <c r="AG170" t="s">
        <v>99</v>
      </c>
      <c r="AH170" t="s">
        <v>675</v>
      </c>
      <c r="AI170">
        <v>0</v>
      </c>
    </row>
    <row r="171" spans="5:35" x14ac:dyDescent="0.45">
      <c r="E171" t="s">
        <v>524</v>
      </c>
      <c r="G171" t="s">
        <v>440</v>
      </c>
      <c r="I171" t="s">
        <v>249</v>
      </c>
      <c r="J171" t="s">
        <v>339</v>
      </c>
      <c r="K171">
        <v>0</v>
      </c>
      <c r="L171" t="s">
        <v>251</v>
      </c>
      <c r="N171" t="s">
        <v>419</v>
      </c>
      <c r="O171" t="s">
        <v>339</v>
      </c>
      <c r="P171">
        <v>2.0353492684574481E-2</v>
      </c>
      <c r="Q171" t="s">
        <v>251</v>
      </c>
      <c r="S171" t="s">
        <v>420</v>
      </c>
      <c r="T171" t="s">
        <v>339</v>
      </c>
      <c r="U171">
        <v>2.1983392123639915E-2</v>
      </c>
      <c r="V171" t="s">
        <v>251</v>
      </c>
      <c r="X171">
        <v>1.8493150684931507E-2</v>
      </c>
      <c r="Y171">
        <v>3.9559456032618153E-3</v>
      </c>
      <c r="Z171" t="s">
        <v>339</v>
      </c>
      <c r="AA171" t="s">
        <v>25</v>
      </c>
      <c r="AC171" t="s">
        <v>22</v>
      </c>
      <c r="AD171" t="s">
        <v>339</v>
      </c>
      <c r="AE171">
        <v>1.9878764259360387E-2</v>
      </c>
      <c r="AG171" t="s">
        <v>99</v>
      </c>
      <c r="AH171" t="s">
        <v>339</v>
      </c>
      <c r="AI171">
        <v>6.1741688297016317E-2</v>
      </c>
    </row>
    <row r="172" spans="5:35" x14ac:dyDescent="0.45">
      <c r="E172" t="s">
        <v>525</v>
      </c>
      <c r="G172" t="s">
        <v>440</v>
      </c>
      <c r="I172" t="s">
        <v>249</v>
      </c>
      <c r="J172" t="s">
        <v>340</v>
      </c>
      <c r="K172">
        <v>7.0315540118089754E-4</v>
      </c>
      <c r="L172" t="s">
        <v>251</v>
      </c>
      <c r="N172" t="s">
        <v>419</v>
      </c>
      <c r="O172" t="s">
        <v>340</v>
      </c>
      <c r="P172">
        <v>3.2758363402851116E-3</v>
      </c>
      <c r="Q172" t="s">
        <v>251</v>
      </c>
      <c r="S172" t="s">
        <v>420</v>
      </c>
      <c r="T172" t="s">
        <v>340</v>
      </c>
      <c r="U172">
        <v>3.6095864449627985E-3</v>
      </c>
      <c r="V172" t="s">
        <v>251</v>
      </c>
      <c r="X172">
        <v>3.0821917808219177E-3</v>
      </c>
      <c r="Y172">
        <v>4.5645526191482504E-3</v>
      </c>
      <c r="Z172" t="s">
        <v>340</v>
      </c>
      <c r="AA172" t="s">
        <v>25</v>
      </c>
      <c r="AC172" t="s">
        <v>22</v>
      </c>
      <c r="AD172" t="s">
        <v>340</v>
      </c>
      <c r="AE172">
        <v>3.3235626328634226E-3</v>
      </c>
      <c r="AG172" t="s">
        <v>99</v>
      </c>
      <c r="AH172" t="s">
        <v>340</v>
      </c>
      <c r="AI172">
        <v>4.6187268705754514E-2</v>
      </c>
    </row>
    <row r="173" spans="5:35" x14ac:dyDescent="0.45">
      <c r="E173" t="s">
        <v>526</v>
      </c>
      <c r="G173" t="s">
        <v>440</v>
      </c>
      <c r="I173" t="s">
        <v>249</v>
      </c>
      <c r="J173" t="s">
        <v>341</v>
      </c>
      <c r="K173">
        <v>4.6031019600194997E-3</v>
      </c>
      <c r="L173" t="s">
        <v>251</v>
      </c>
      <c r="N173" t="s">
        <v>419</v>
      </c>
      <c r="O173" t="s">
        <v>341</v>
      </c>
      <c r="P173">
        <v>3.0197456603594549E-3</v>
      </c>
      <c r="Q173" t="s">
        <v>251</v>
      </c>
      <c r="S173" t="s">
        <v>420</v>
      </c>
      <c r="T173" t="s">
        <v>341</v>
      </c>
      <c r="U173">
        <v>3.6132225560368729E-3</v>
      </c>
      <c r="V173" t="s">
        <v>251</v>
      </c>
      <c r="X173">
        <v>3.0821917808219177E-3</v>
      </c>
      <c r="Y173">
        <v>5.146309325510281E-3</v>
      </c>
      <c r="Z173" t="s">
        <v>341</v>
      </c>
      <c r="AA173" t="s">
        <v>25</v>
      </c>
      <c r="AC173" t="s">
        <v>22</v>
      </c>
      <c r="AD173" t="s">
        <v>341</v>
      </c>
      <c r="AE173">
        <v>3.3638124816932932E-3</v>
      </c>
      <c r="AG173" t="s">
        <v>99</v>
      </c>
      <c r="AH173" t="s">
        <v>341</v>
      </c>
      <c r="AI173">
        <v>4.6288943459865672E-2</v>
      </c>
    </row>
    <row r="174" spans="5:35" x14ac:dyDescent="0.45">
      <c r="E174" t="s">
        <v>527</v>
      </c>
      <c r="G174" t="s">
        <v>440</v>
      </c>
      <c r="I174" t="s">
        <v>249</v>
      </c>
      <c r="J174" t="s">
        <v>342</v>
      </c>
      <c r="K174">
        <v>4.6317817936948801E-2</v>
      </c>
      <c r="L174" t="s">
        <v>251</v>
      </c>
      <c r="N174" t="s">
        <v>419</v>
      </c>
      <c r="O174" t="s">
        <v>342</v>
      </c>
      <c r="P174">
        <v>1.5831663212685559E-2</v>
      </c>
      <c r="Q174" t="s">
        <v>251</v>
      </c>
      <c r="S174" t="s">
        <v>420</v>
      </c>
      <c r="T174" t="s">
        <v>342</v>
      </c>
      <c r="U174">
        <v>2.0948318803653724E-2</v>
      </c>
      <c r="V174" t="s">
        <v>251</v>
      </c>
      <c r="X174">
        <v>1.8493150684931507E-2</v>
      </c>
      <c r="Y174">
        <v>2.330606866718047E-2</v>
      </c>
      <c r="Z174" t="s">
        <v>342</v>
      </c>
      <c r="AA174" t="s">
        <v>25</v>
      </c>
      <c r="AC174" t="s">
        <v>22</v>
      </c>
      <c r="AD174" t="s">
        <v>342</v>
      </c>
      <c r="AE174">
        <v>1.9680642315882291E-2</v>
      </c>
      <c r="AG174" t="s">
        <v>99</v>
      </c>
      <c r="AH174" t="s">
        <v>342</v>
      </c>
      <c r="AI174">
        <v>7.1456896218000221E-2</v>
      </c>
    </row>
    <row r="175" spans="5:35" x14ac:dyDescent="0.45">
      <c r="E175" t="s">
        <v>528</v>
      </c>
      <c r="G175" t="s">
        <v>440</v>
      </c>
      <c r="I175" t="s">
        <v>249</v>
      </c>
      <c r="J175" t="s">
        <v>343</v>
      </c>
      <c r="K175">
        <v>2.1741134519464599E-2</v>
      </c>
      <c r="L175" t="s">
        <v>251</v>
      </c>
      <c r="N175" t="s">
        <v>419</v>
      </c>
      <c r="O175" t="s">
        <v>343</v>
      </c>
      <c r="P175">
        <v>8.1280078200975381E-3</v>
      </c>
      <c r="Q175" t="s">
        <v>251</v>
      </c>
      <c r="S175" t="s">
        <v>420</v>
      </c>
      <c r="T175" t="s">
        <v>343</v>
      </c>
      <c r="U175">
        <v>1.0622089676381898E-2</v>
      </c>
      <c r="V175" t="s">
        <v>251</v>
      </c>
      <c r="X175">
        <v>9.2465753424657536E-3</v>
      </c>
      <c r="Y175">
        <v>1.4713969619372002E-2</v>
      </c>
      <c r="Z175" t="s">
        <v>343</v>
      </c>
      <c r="AA175" t="s">
        <v>25</v>
      </c>
      <c r="AC175" t="s">
        <v>22</v>
      </c>
      <c r="AD175" t="s">
        <v>343</v>
      </c>
      <c r="AE175">
        <v>7.3937444913692229E-3</v>
      </c>
      <c r="AG175" t="s">
        <v>99</v>
      </c>
      <c r="AH175" t="s">
        <v>343</v>
      </c>
      <c r="AI175">
        <v>9.5265426412288745E-2</v>
      </c>
    </row>
    <row r="176" spans="5:35" x14ac:dyDescent="0.45">
      <c r="E176" t="s">
        <v>529</v>
      </c>
      <c r="G176" t="s">
        <v>440</v>
      </c>
      <c r="I176" t="s">
        <v>249</v>
      </c>
      <c r="J176" t="s">
        <v>344</v>
      </c>
      <c r="K176">
        <v>5.4429442764548997E-3</v>
      </c>
      <c r="L176" t="s">
        <v>251</v>
      </c>
      <c r="N176" t="s">
        <v>419</v>
      </c>
      <c r="O176" t="s">
        <v>344</v>
      </c>
      <c r="P176">
        <v>2.6404195404428001E-3</v>
      </c>
      <c r="Q176" t="s">
        <v>251</v>
      </c>
      <c r="S176" t="s">
        <v>420</v>
      </c>
      <c r="T176" t="s">
        <v>344</v>
      </c>
      <c r="U176">
        <v>3.6175966888738116E-3</v>
      </c>
      <c r="V176" t="s">
        <v>251</v>
      </c>
      <c r="X176">
        <v>3.0821917808219177E-3</v>
      </c>
      <c r="Y176">
        <v>5.9965691271163281E-3</v>
      </c>
      <c r="Z176" t="s">
        <v>344</v>
      </c>
      <c r="AA176" t="s">
        <v>25</v>
      </c>
      <c r="AC176" t="s">
        <v>22</v>
      </c>
      <c r="AD176" t="s">
        <v>344</v>
      </c>
      <c r="AE176">
        <v>2.1339374575173472E-3</v>
      </c>
      <c r="AG176" t="s">
        <v>99</v>
      </c>
      <c r="AH176" t="s">
        <v>344</v>
      </c>
      <c r="AI176">
        <v>1.0510439963164142E-2</v>
      </c>
    </row>
    <row r="177" spans="5:35" x14ac:dyDescent="0.45">
      <c r="E177" t="s">
        <v>530</v>
      </c>
      <c r="G177" t="s">
        <v>440</v>
      </c>
      <c r="I177" t="s">
        <v>249</v>
      </c>
      <c r="J177" t="s">
        <v>345</v>
      </c>
      <c r="K177">
        <v>2.2485705869681179E-3</v>
      </c>
      <c r="L177" t="s">
        <v>251</v>
      </c>
      <c r="N177" t="s">
        <v>419</v>
      </c>
      <c r="O177" t="s">
        <v>345</v>
      </c>
      <c r="P177">
        <v>2.6318645795914215E-3</v>
      </c>
      <c r="Q177" t="s">
        <v>251</v>
      </c>
      <c r="S177" t="s">
        <v>420</v>
      </c>
      <c r="T177" t="s">
        <v>345</v>
      </c>
      <c r="U177">
        <v>3.6140824188195296E-3</v>
      </c>
      <c r="V177" t="s">
        <v>251</v>
      </c>
      <c r="X177">
        <v>3.0821917808219177E-3</v>
      </c>
      <c r="Y177">
        <v>4.6540536508962536E-3</v>
      </c>
      <c r="Z177" t="s">
        <v>345</v>
      </c>
      <c r="AA177" t="s">
        <v>25</v>
      </c>
      <c r="AC177" t="s">
        <v>22</v>
      </c>
      <c r="AD177" t="s">
        <v>345</v>
      </c>
      <c r="AE177">
        <v>2.1581695701471996E-3</v>
      </c>
      <c r="AG177" t="s">
        <v>99</v>
      </c>
      <c r="AH177" t="s">
        <v>345</v>
      </c>
      <c r="AI177">
        <v>1.2642862478523975E-2</v>
      </c>
    </row>
    <row r="178" spans="5:35" x14ac:dyDescent="0.45">
      <c r="E178" t="s">
        <v>531</v>
      </c>
      <c r="G178" t="s">
        <v>440</v>
      </c>
      <c r="I178" t="s">
        <v>249</v>
      </c>
      <c r="J178" t="s">
        <v>346</v>
      </c>
      <c r="K178">
        <v>0</v>
      </c>
      <c r="L178" t="s">
        <v>251</v>
      </c>
      <c r="N178" t="s">
        <v>419</v>
      </c>
      <c r="O178" t="s">
        <v>346</v>
      </c>
      <c r="P178">
        <v>1.5912489079975844E-2</v>
      </c>
      <c r="Q178" t="s">
        <v>251</v>
      </c>
      <c r="S178" t="s">
        <v>420</v>
      </c>
      <c r="T178" t="s">
        <v>346</v>
      </c>
      <c r="U178">
        <v>1.7851334080405745E-2</v>
      </c>
      <c r="V178" t="s">
        <v>251</v>
      </c>
      <c r="X178">
        <v>1.5410958904109588E-2</v>
      </c>
      <c r="Y178">
        <v>1.1635134127240635E-2</v>
      </c>
      <c r="Z178" t="s">
        <v>346</v>
      </c>
      <c r="AA178" t="s">
        <v>25</v>
      </c>
      <c r="AC178" t="s">
        <v>22</v>
      </c>
      <c r="AD178" t="s">
        <v>346</v>
      </c>
      <c r="AE178">
        <v>1.4013141024477592E-2</v>
      </c>
      <c r="AG178" t="s">
        <v>99</v>
      </c>
      <c r="AH178" t="s">
        <v>346</v>
      </c>
      <c r="AI178">
        <v>0.1838398519697364</v>
      </c>
    </row>
    <row r="179" spans="5:35" x14ac:dyDescent="0.45">
      <c r="E179" t="s">
        <v>532</v>
      </c>
      <c r="G179" t="s">
        <v>442</v>
      </c>
      <c r="I179" t="s">
        <v>249</v>
      </c>
      <c r="J179" t="s">
        <v>676</v>
      </c>
      <c r="K179">
        <v>0</v>
      </c>
      <c r="L179" t="s">
        <v>251</v>
      </c>
      <c r="N179" t="s">
        <v>419</v>
      </c>
      <c r="O179" t="s">
        <v>676</v>
      </c>
      <c r="P179">
        <v>7.4149238183574885E-5</v>
      </c>
      <c r="Q179" t="s">
        <v>251</v>
      </c>
      <c r="S179" t="s">
        <v>420</v>
      </c>
      <c r="T179" t="s">
        <v>676</v>
      </c>
      <c r="U179">
        <v>1.2604287376089999E-4</v>
      </c>
      <c r="V179" t="s">
        <v>251</v>
      </c>
      <c r="X179">
        <v>1.1415525114155251E-4</v>
      </c>
      <c r="Y179">
        <v>2.1546544680075254E-5</v>
      </c>
      <c r="Z179" t="s">
        <v>676</v>
      </c>
      <c r="AA179" t="s">
        <v>25</v>
      </c>
      <c r="AC179" t="s">
        <v>22</v>
      </c>
      <c r="AD179" t="s">
        <v>676</v>
      </c>
      <c r="AE179">
        <v>1.0176308150613614E-4</v>
      </c>
      <c r="AG179" t="s">
        <v>99</v>
      </c>
      <c r="AH179" t="s">
        <v>676</v>
      </c>
      <c r="AI179">
        <v>0</v>
      </c>
    </row>
    <row r="180" spans="5:35" x14ac:dyDescent="0.45">
      <c r="E180" t="s">
        <v>533</v>
      </c>
      <c r="G180" t="s">
        <v>442</v>
      </c>
      <c r="I180" t="s">
        <v>249</v>
      </c>
      <c r="J180" t="s">
        <v>677</v>
      </c>
      <c r="K180">
        <v>0</v>
      </c>
      <c r="L180" t="s">
        <v>251</v>
      </c>
      <c r="N180" t="s">
        <v>419</v>
      </c>
      <c r="O180" t="s">
        <v>677</v>
      </c>
      <c r="P180">
        <v>6.2105373092038806E-5</v>
      </c>
      <c r="Q180" t="s">
        <v>251</v>
      </c>
      <c r="S180" t="s">
        <v>420</v>
      </c>
      <c r="T180" t="s">
        <v>677</v>
      </c>
      <c r="U180">
        <v>1.2931344506150001E-4</v>
      </c>
      <c r="V180" t="s">
        <v>251</v>
      </c>
      <c r="X180">
        <v>1.1415525114155251E-4</v>
      </c>
      <c r="Y180">
        <v>1.4916838624667481E-5</v>
      </c>
      <c r="Z180" t="s">
        <v>677</v>
      </c>
      <c r="AA180" t="s">
        <v>25</v>
      </c>
      <c r="AC180" t="s">
        <v>22</v>
      </c>
      <c r="AD180" t="s">
        <v>677</v>
      </c>
      <c r="AE180">
        <v>1.0543244762707743E-4</v>
      </c>
      <c r="AG180" t="s">
        <v>99</v>
      </c>
      <c r="AH180" t="s">
        <v>677</v>
      </c>
      <c r="AI180">
        <v>0</v>
      </c>
    </row>
    <row r="181" spans="5:35" x14ac:dyDescent="0.45">
      <c r="E181" t="s">
        <v>534</v>
      </c>
      <c r="G181" t="s">
        <v>442</v>
      </c>
      <c r="I181" t="s">
        <v>249</v>
      </c>
      <c r="J181" t="s">
        <v>678</v>
      </c>
      <c r="K181">
        <v>0</v>
      </c>
      <c r="L181" t="s">
        <v>251</v>
      </c>
      <c r="N181" t="s">
        <v>419</v>
      </c>
      <c r="O181" t="s">
        <v>678</v>
      </c>
      <c r="P181">
        <v>5.2452323569642487E-5</v>
      </c>
      <c r="Q181" t="s">
        <v>251</v>
      </c>
      <c r="S181" t="s">
        <v>420</v>
      </c>
      <c r="T181" t="s">
        <v>678</v>
      </c>
      <c r="U181">
        <v>1.280377797747E-4</v>
      </c>
      <c r="V181" t="s">
        <v>251</v>
      </c>
      <c r="X181">
        <v>1.1415525114155251E-4</v>
      </c>
      <c r="Y181">
        <v>1.6574265138519424E-5</v>
      </c>
      <c r="Z181" t="s">
        <v>678</v>
      </c>
      <c r="AA181" t="s">
        <v>25</v>
      </c>
      <c r="AC181" t="s">
        <v>22</v>
      </c>
      <c r="AD181" t="s">
        <v>678</v>
      </c>
      <c r="AE181">
        <v>1.0378838098847385E-4</v>
      </c>
      <c r="AG181" t="s">
        <v>99</v>
      </c>
      <c r="AH181" t="s">
        <v>678</v>
      </c>
      <c r="AI181">
        <v>0</v>
      </c>
    </row>
    <row r="182" spans="5:35" x14ac:dyDescent="0.45">
      <c r="E182" t="s">
        <v>535</v>
      </c>
      <c r="G182" t="s">
        <v>442</v>
      </c>
      <c r="I182" t="s">
        <v>249</v>
      </c>
      <c r="J182" t="s">
        <v>679</v>
      </c>
      <c r="K182">
        <v>0</v>
      </c>
      <c r="L182" t="s">
        <v>251</v>
      </c>
      <c r="N182" t="s">
        <v>419</v>
      </c>
      <c r="O182" t="s">
        <v>679</v>
      </c>
      <c r="P182">
        <v>4.6519215932585289E-5</v>
      </c>
      <c r="Q182" t="s">
        <v>251</v>
      </c>
      <c r="S182" t="s">
        <v>420</v>
      </c>
      <c r="T182" t="s">
        <v>679</v>
      </c>
      <c r="U182">
        <v>1.2515038510139999E-4</v>
      </c>
      <c r="V182" t="s">
        <v>251</v>
      </c>
      <c r="X182">
        <v>1.1415525114155251E-4</v>
      </c>
      <c r="Y182">
        <v>1.4585353321897093E-5</v>
      </c>
      <c r="Z182" t="s">
        <v>679</v>
      </c>
      <c r="AA182" t="s">
        <v>25</v>
      </c>
      <c r="AC182" t="s">
        <v>22</v>
      </c>
      <c r="AD182" t="s">
        <v>679</v>
      </c>
      <c r="AE182">
        <v>1.0378838098847385E-4</v>
      </c>
      <c r="AG182" t="s">
        <v>99</v>
      </c>
      <c r="AH182" t="s">
        <v>679</v>
      </c>
      <c r="AI182">
        <v>0</v>
      </c>
    </row>
    <row r="183" spans="5:35" x14ac:dyDescent="0.45">
      <c r="E183" t="s">
        <v>536</v>
      </c>
      <c r="G183" t="s">
        <v>442</v>
      </c>
      <c r="I183" t="s">
        <v>249</v>
      </c>
      <c r="J183" t="s">
        <v>680</v>
      </c>
      <c r="K183">
        <v>0</v>
      </c>
      <c r="L183" t="s">
        <v>251</v>
      </c>
      <c r="N183" t="s">
        <v>419</v>
      </c>
      <c r="O183" t="s">
        <v>680</v>
      </c>
      <c r="P183">
        <v>4.5623875575217107E-5</v>
      </c>
      <c r="Q183" t="s">
        <v>251</v>
      </c>
      <c r="S183" t="s">
        <v>420</v>
      </c>
      <c r="T183" t="s">
        <v>680</v>
      </c>
      <c r="U183">
        <v>1.158400227367E-4</v>
      </c>
      <c r="V183" t="s">
        <v>251</v>
      </c>
      <c r="X183">
        <v>1.1415525114155251E-4</v>
      </c>
      <c r="Y183">
        <v>2.1215059377304864E-5</v>
      </c>
      <c r="Z183" t="s">
        <v>680</v>
      </c>
      <c r="AA183" t="s">
        <v>25</v>
      </c>
      <c r="AC183" t="s">
        <v>22</v>
      </c>
      <c r="AD183" t="s">
        <v>680</v>
      </c>
      <c r="AE183">
        <v>1.0378838098847385E-4</v>
      </c>
      <c r="AG183" t="s">
        <v>99</v>
      </c>
      <c r="AH183" t="s">
        <v>680</v>
      </c>
      <c r="AI183">
        <v>0</v>
      </c>
    </row>
    <row r="184" spans="5:35" x14ac:dyDescent="0.45">
      <c r="E184" t="s">
        <v>537</v>
      </c>
      <c r="G184" t="s">
        <v>442</v>
      </c>
      <c r="I184" t="s">
        <v>249</v>
      </c>
      <c r="J184" t="s">
        <v>681</v>
      </c>
      <c r="K184">
        <v>0</v>
      </c>
      <c r="L184" t="s">
        <v>251</v>
      </c>
      <c r="N184" t="s">
        <v>419</v>
      </c>
      <c r="O184" t="s">
        <v>681</v>
      </c>
      <c r="P184">
        <v>4.8585573063001122E-5</v>
      </c>
      <c r="Q184" t="s">
        <v>251</v>
      </c>
      <c r="S184" t="s">
        <v>420</v>
      </c>
      <c r="T184" t="s">
        <v>681</v>
      </c>
      <c r="U184">
        <v>1.005571956191E-4</v>
      </c>
      <c r="V184" t="s">
        <v>251</v>
      </c>
      <c r="X184">
        <v>1.1415525114155251E-4</v>
      </c>
      <c r="Y184">
        <v>5.7678442682047593E-5</v>
      </c>
      <c r="Z184" t="s">
        <v>681</v>
      </c>
      <c r="AA184" t="s">
        <v>25</v>
      </c>
      <c r="AC184" t="s">
        <v>22</v>
      </c>
      <c r="AD184" t="s">
        <v>681</v>
      </c>
      <c r="AE184">
        <v>1.0450914933365876E-4</v>
      </c>
      <c r="AG184" t="s">
        <v>99</v>
      </c>
      <c r="AH184" t="s">
        <v>681</v>
      </c>
      <c r="AI184">
        <v>0</v>
      </c>
    </row>
    <row r="185" spans="5:35" x14ac:dyDescent="0.45">
      <c r="E185" t="s">
        <v>538</v>
      </c>
      <c r="G185" t="s">
        <v>442</v>
      </c>
      <c r="I185" t="s">
        <v>249</v>
      </c>
      <c r="J185" t="s">
        <v>682</v>
      </c>
      <c r="K185">
        <v>4.3343647314013923E-5</v>
      </c>
      <c r="L185" t="s">
        <v>251</v>
      </c>
      <c r="N185" t="s">
        <v>419</v>
      </c>
      <c r="O185" t="s">
        <v>682</v>
      </c>
      <c r="P185">
        <v>5.0512587091239339E-5</v>
      </c>
      <c r="Q185" t="s">
        <v>251</v>
      </c>
      <c r="S185" t="s">
        <v>420</v>
      </c>
      <c r="T185" t="s">
        <v>682</v>
      </c>
      <c r="U185">
        <v>8.9310099965267818E-5</v>
      </c>
      <c r="V185" t="s">
        <v>251</v>
      </c>
      <c r="X185">
        <v>1.1415525114155251E-4</v>
      </c>
      <c r="Y185">
        <v>1.6905750441289813E-4</v>
      </c>
      <c r="Z185" t="s">
        <v>682</v>
      </c>
      <c r="AA185" t="s">
        <v>25</v>
      </c>
      <c r="AC185" t="s">
        <v>22</v>
      </c>
      <c r="AD185" t="s">
        <v>682</v>
      </c>
      <c r="AE185">
        <v>1.051465229942768E-4</v>
      </c>
      <c r="AG185" t="s">
        <v>99</v>
      </c>
      <c r="AH185" t="s">
        <v>682</v>
      </c>
      <c r="AI185">
        <v>0</v>
      </c>
    </row>
    <row r="186" spans="5:35" x14ac:dyDescent="0.45">
      <c r="E186" t="s">
        <v>539</v>
      </c>
      <c r="G186" t="s">
        <v>442</v>
      </c>
      <c r="I186" t="s">
        <v>249</v>
      </c>
      <c r="J186" t="s">
        <v>683</v>
      </c>
      <c r="K186">
        <v>1.9776507746789999E-4</v>
      </c>
      <c r="L186" t="s">
        <v>251</v>
      </c>
      <c r="N186" t="s">
        <v>419</v>
      </c>
      <c r="O186" t="s">
        <v>683</v>
      </c>
      <c r="P186">
        <v>4.7071615239422888E-5</v>
      </c>
      <c r="Q186" t="s">
        <v>251</v>
      </c>
      <c r="S186" t="s">
        <v>420</v>
      </c>
      <c r="T186" t="s">
        <v>683</v>
      </c>
      <c r="U186">
        <v>8.0147778219673982E-5</v>
      </c>
      <c r="V186" t="s">
        <v>251</v>
      </c>
      <c r="X186">
        <v>1.1415525114155251E-4</v>
      </c>
      <c r="Y186">
        <v>1.9060404909297337E-4</v>
      </c>
      <c r="Z186" t="s">
        <v>683</v>
      </c>
      <c r="AA186" t="s">
        <v>25</v>
      </c>
      <c r="AC186" t="s">
        <v>22</v>
      </c>
      <c r="AD186" t="s">
        <v>683</v>
      </c>
      <c r="AE186">
        <v>1.0730287126664814E-4</v>
      </c>
      <c r="AG186" t="s">
        <v>99</v>
      </c>
      <c r="AH186" t="s">
        <v>683</v>
      </c>
      <c r="AI186">
        <v>0</v>
      </c>
    </row>
    <row r="187" spans="5:35" x14ac:dyDescent="0.45">
      <c r="E187" t="s">
        <v>540</v>
      </c>
      <c r="G187" t="s">
        <v>442</v>
      </c>
      <c r="I187" t="s">
        <v>249</v>
      </c>
      <c r="J187" t="s">
        <v>684</v>
      </c>
      <c r="K187">
        <v>2.6776278122320001E-4</v>
      </c>
      <c r="L187" t="s">
        <v>251</v>
      </c>
      <c r="N187" t="s">
        <v>419</v>
      </c>
      <c r="O187" t="s">
        <v>684</v>
      </c>
      <c r="P187">
        <v>2.4008180333964915E-5</v>
      </c>
      <c r="Q187" t="s">
        <v>251</v>
      </c>
      <c r="S187" t="s">
        <v>420</v>
      </c>
      <c r="T187" t="s">
        <v>684</v>
      </c>
      <c r="U187">
        <v>6.7013085008220627E-5</v>
      </c>
      <c r="V187" t="s">
        <v>251</v>
      </c>
      <c r="X187">
        <v>1.1415525114155251E-4</v>
      </c>
      <c r="Y187">
        <v>1.4585353321897094E-4</v>
      </c>
      <c r="Z187" t="s">
        <v>684</v>
      </c>
      <c r="AA187" t="s">
        <v>25</v>
      </c>
      <c r="AC187" t="s">
        <v>22</v>
      </c>
      <c r="AD187" t="s">
        <v>684</v>
      </c>
      <c r="AE187">
        <v>1.1018594464738771E-4</v>
      </c>
      <c r="AG187" t="s">
        <v>99</v>
      </c>
      <c r="AH187" t="s">
        <v>684</v>
      </c>
      <c r="AI187">
        <v>0</v>
      </c>
    </row>
    <row r="188" spans="5:35" x14ac:dyDescent="0.45">
      <c r="E188" t="s">
        <v>541</v>
      </c>
      <c r="G188" t="s">
        <v>442</v>
      </c>
      <c r="I188" t="s">
        <v>249</v>
      </c>
      <c r="J188" t="s">
        <v>685</v>
      </c>
      <c r="K188">
        <v>2.9044294021140002E-4</v>
      </c>
      <c r="L188" t="s">
        <v>251</v>
      </c>
      <c r="N188" t="s">
        <v>419</v>
      </c>
      <c r="O188" t="s">
        <v>685</v>
      </c>
      <c r="P188">
        <v>2.1525875078393165E-5</v>
      </c>
      <c r="Q188" t="s">
        <v>251</v>
      </c>
      <c r="S188" t="s">
        <v>420</v>
      </c>
      <c r="T188" t="s">
        <v>685</v>
      </c>
      <c r="U188">
        <v>6.9805460221153111E-5</v>
      </c>
      <c r="V188" t="s">
        <v>251</v>
      </c>
      <c r="X188">
        <v>1.1415525114155251E-4</v>
      </c>
      <c r="Y188">
        <v>1.4452759200788939E-4</v>
      </c>
      <c r="Z188" t="s">
        <v>685</v>
      </c>
      <c r="AA188" t="s">
        <v>25</v>
      </c>
      <c r="AC188" t="s">
        <v>22</v>
      </c>
      <c r="AD188" t="s">
        <v>685</v>
      </c>
      <c r="AE188">
        <v>1.1066248570205542E-4</v>
      </c>
      <c r="AG188" t="s">
        <v>99</v>
      </c>
      <c r="AH188" t="s">
        <v>685</v>
      </c>
      <c r="AI188">
        <v>0</v>
      </c>
    </row>
    <row r="189" spans="5:35" x14ac:dyDescent="0.45">
      <c r="E189" t="s">
        <v>542</v>
      </c>
      <c r="G189" t="s">
        <v>442</v>
      </c>
      <c r="I189" t="s">
        <v>249</v>
      </c>
      <c r="J189" t="s">
        <v>686</v>
      </c>
      <c r="K189">
        <v>3.0268375677049999E-4</v>
      </c>
      <c r="L189" t="s">
        <v>251</v>
      </c>
      <c r="N189" t="s">
        <v>419</v>
      </c>
      <c r="O189" t="s">
        <v>686</v>
      </c>
      <c r="P189">
        <v>2.2018416554217533E-5</v>
      </c>
      <c r="Q189" t="s">
        <v>251</v>
      </c>
      <c r="S189" t="s">
        <v>420</v>
      </c>
      <c r="T189" t="s">
        <v>686</v>
      </c>
      <c r="U189">
        <v>8.4879809284477768E-5</v>
      </c>
      <c r="V189" t="s">
        <v>251</v>
      </c>
      <c r="X189">
        <v>1.1415525114155251E-4</v>
      </c>
      <c r="Y189">
        <v>1.408812536774151E-4</v>
      </c>
      <c r="Z189" t="s">
        <v>686</v>
      </c>
      <c r="AA189" t="s">
        <v>25</v>
      </c>
      <c r="AC189" t="s">
        <v>22</v>
      </c>
      <c r="AD189" t="s">
        <v>686</v>
      </c>
      <c r="AE189">
        <v>1.1443907356029693E-4</v>
      </c>
      <c r="AG189" t="s">
        <v>99</v>
      </c>
      <c r="AH189" t="s">
        <v>686</v>
      </c>
      <c r="AI189">
        <v>0</v>
      </c>
    </row>
    <row r="190" spans="5:35" x14ac:dyDescent="0.45">
      <c r="E190" t="s">
        <v>543</v>
      </c>
      <c r="G190" t="s">
        <v>442</v>
      </c>
      <c r="I190" t="s">
        <v>249</v>
      </c>
      <c r="J190" t="s">
        <v>687</v>
      </c>
      <c r="K190">
        <v>3.1976674527339999E-4</v>
      </c>
      <c r="L190" t="s">
        <v>251</v>
      </c>
      <c r="N190" t="s">
        <v>419</v>
      </c>
      <c r="O190" t="s">
        <v>687</v>
      </c>
      <c r="P190">
        <v>1.9391570221733368E-5</v>
      </c>
      <c r="Q190" t="s">
        <v>251</v>
      </c>
      <c r="S190" t="s">
        <v>420</v>
      </c>
      <c r="T190" t="s">
        <v>687</v>
      </c>
      <c r="U190">
        <v>9.6107238907283327E-5</v>
      </c>
      <c r="V190" t="s">
        <v>251</v>
      </c>
      <c r="X190">
        <v>1.1415525114155251E-4</v>
      </c>
      <c r="Y190">
        <v>1.4054976837464471E-4</v>
      </c>
      <c r="Z190" t="s">
        <v>687</v>
      </c>
      <c r="AA190" t="s">
        <v>25</v>
      </c>
      <c r="AC190" t="s">
        <v>22</v>
      </c>
      <c r="AD190" t="s">
        <v>687</v>
      </c>
      <c r="AE190">
        <v>1.134323805823114E-4</v>
      </c>
      <c r="AG190" t="s">
        <v>99</v>
      </c>
      <c r="AH190" t="s">
        <v>687</v>
      </c>
      <c r="AI190">
        <v>0</v>
      </c>
    </row>
    <row r="191" spans="5:35" x14ac:dyDescent="0.45">
      <c r="E191" t="s">
        <v>544</v>
      </c>
      <c r="G191" t="s">
        <v>442</v>
      </c>
      <c r="I191" t="s">
        <v>249</v>
      </c>
      <c r="J191" t="s">
        <v>688</v>
      </c>
      <c r="K191">
        <v>3.3715613772420001E-4</v>
      </c>
      <c r="L191" t="s">
        <v>251</v>
      </c>
      <c r="N191" t="s">
        <v>419</v>
      </c>
      <c r="O191" t="s">
        <v>688</v>
      </c>
      <c r="P191">
        <v>2.0360181455642373E-5</v>
      </c>
      <c r="Q191" t="s">
        <v>251</v>
      </c>
      <c r="S191" t="s">
        <v>420</v>
      </c>
      <c r="T191" t="s">
        <v>688</v>
      </c>
      <c r="U191">
        <v>1.042247924967E-4</v>
      </c>
      <c r="V191" t="s">
        <v>251</v>
      </c>
      <c r="X191">
        <v>1.1415525114155251E-4</v>
      </c>
      <c r="Y191">
        <v>1.4253868019126702E-4</v>
      </c>
      <c r="Z191" t="s">
        <v>688</v>
      </c>
      <c r="AA191" t="s">
        <v>25</v>
      </c>
      <c r="AC191" t="s">
        <v>22</v>
      </c>
      <c r="AD191" t="s">
        <v>688</v>
      </c>
      <c r="AE191">
        <v>1.1062674512295536E-4</v>
      </c>
      <c r="AG191" t="s">
        <v>99</v>
      </c>
      <c r="AH191" t="s">
        <v>688</v>
      </c>
      <c r="AI191">
        <v>0</v>
      </c>
    </row>
    <row r="192" spans="5:35" x14ac:dyDescent="0.45">
      <c r="E192" t="s">
        <v>545</v>
      </c>
      <c r="G192" t="s">
        <v>442</v>
      </c>
      <c r="I192" t="s">
        <v>249</v>
      </c>
      <c r="J192" t="s">
        <v>689</v>
      </c>
      <c r="K192">
        <v>3.2477411449999998E-4</v>
      </c>
      <c r="L192" t="s">
        <v>251</v>
      </c>
      <c r="N192" t="s">
        <v>419</v>
      </c>
      <c r="O192" t="s">
        <v>689</v>
      </c>
      <c r="P192">
        <v>2.2232830278852703E-5</v>
      </c>
      <c r="Q192" t="s">
        <v>251</v>
      </c>
      <c r="S192" t="s">
        <v>420</v>
      </c>
      <c r="T192" t="s">
        <v>689</v>
      </c>
      <c r="U192">
        <v>1.1939203109250001E-4</v>
      </c>
      <c r="V192" t="s">
        <v>251</v>
      </c>
      <c r="X192">
        <v>1.1415525114155251E-4</v>
      </c>
      <c r="Y192">
        <v>1.4883690094390442E-4</v>
      </c>
      <c r="Z192" t="s">
        <v>689</v>
      </c>
      <c r="AA192" t="s">
        <v>25</v>
      </c>
      <c r="AC192" t="s">
        <v>22</v>
      </c>
      <c r="AD192" t="s">
        <v>689</v>
      </c>
      <c r="AE192">
        <v>1.0518226357337691E-4</v>
      </c>
      <c r="AG192" t="s">
        <v>99</v>
      </c>
      <c r="AH192" t="s">
        <v>689</v>
      </c>
      <c r="AI192">
        <v>0</v>
      </c>
    </row>
    <row r="193" spans="5:35" x14ac:dyDescent="0.45">
      <c r="E193" t="s">
        <v>546</v>
      </c>
      <c r="G193" t="s">
        <v>442</v>
      </c>
      <c r="I193" t="s">
        <v>249</v>
      </c>
      <c r="J193" t="s">
        <v>690</v>
      </c>
      <c r="K193">
        <v>3.0485805024190002E-4</v>
      </c>
      <c r="L193" t="s">
        <v>251</v>
      </c>
      <c r="N193" t="s">
        <v>419</v>
      </c>
      <c r="O193" t="s">
        <v>690</v>
      </c>
      <c r="P193">
        <v>2.5500817996674905E-5</v>
      </c>
      <c r="Q193" t="s">
        <v>251</v>
      </c>
      <c r="S193" t="s">
        <v>420</v>
      </c>
      <c r="T193" t="s">
        <v>690</v>
      </c>
      <c r="U193">
        <v>1.3397055298020001E-4</v>
      </c>
      <c r="V193" t="s">
        <v>251</v>
      </c>
      <c r="X193">
        <v>1.1415525114155251E-4</v>
      </c>
      <c r="Y193">
        <v>1.5049432745775637E-4</v>
      </c>
      <c r="Z193" t="s">
        <v>690</v>
      </c>
      <c r="AA193" t="s">
        <v>25</v>
      </c>
      <c r="AC193" t="s">
        <v>22</v>
      </c>
      <c r="AD193" t="s">
        <v>690</v>
      </c>
      <c r="AE193">
        <v>9.9463770917364511E-5</v>
      </c>
      <c r="AG193" t="s">
        <v>99</v>
      </c>
      <c r="AH193" t="s">
        <v>690</v>
      </c>
      <c r="AI193">
        <v>0</v>
      </c>
    </row>
    <row r="194" spans="5:35" x14ac:dyDescent="0.45">
      <c r="E194" t="s">
        <v>547</v>
      </c>
      <c r="G194" t="s">
        <v>442</v>
      </c>
      <c r="I194" t="s">
        <v>249</v>
      </c>
      <c r="J194" t="s">
        <v>691</v>
      </c>
      <c r="K194">
        <v>2.8898967811790002E-4</v>
      </c>
      <c r="L194" t="s">
        <v>251</v>
      </c>
      <c r="N194" t="s">
        <v>419</v>
      </c>
      <c r="O194" t="s">
        <v>691</v>
      </c>
      <c r="P194">
        <v>2.7093569254175769E-5</v>
      </c>
      <c r="Q194" t="s">
        <v>251</v>
      </c>
      <c r="S194" t="s">
        <v>420</v>
      </c>
      <c r="T194" t="s">
        <v>691</v>
      </c>
      <c r="U194">
        <v>1.3531398526900001E-4</v>
      </c>
      <c r="V194" t="s">
        <v>251</v>
      </c>
      <c r="X194">
        <v>1.1415525114155251E-4</v>
      </c>
      <c r="Y194">
        <v>1.7237235744060203E-4</v>
      </c>
      <c r="Z194" t="s">
        <v>691</v>
      </c>
      <c r="AA194" t="s">
        <v>25</v>
      </c>
      <c r="AC194" t="s">
        <v>22</v>
      </c>
      <c r="AD194" t="s">
        <v>691</v>
      </c>
      <c r="AE194">
        <v>8.5507074778784286E-5</v>
      </c>
      <c r="AG194" t="s">
        <v>99</v>
      </c>
      <c r="AH194" t="s">
        <v>691</v>
      </c>
      <c r="AI194">
        <v>0</v>
      </c>
    </row>
    <row r="195" spans="5:35" x14ac:dyDescent="0.45">
      <c r="E195" t="s">
        <v>548</v>
      </c>
      <c r="G195" t="s">
        <v>442</v>
      </c>
      <c r="I195" t="s">
        <v>249</v>
      </c>
      <c r="J195" t="s">
        <v>692</v>
      </c>
      <c r="K195">
        <v>2.7293707973909999E-4</v>
      </c>
      <c r="L195" t="s">
        <v>251</v>
      </c>
      <c r="N195" t="s">
        <v>419</v>
      </c>
      <c r="O195" t="s">
        <v>692</v>
      </c>
      <c r="P195">
        <v>3.0039889068030518E-5</v>
      </c>
      <c r="Q195" t="s">
        <v>251</v>
      </c>
      <c r="S195" t="s">
        <v>420</v>
      </c>
      <c r="T195" t="s">
        <v>692</v>
      </c>
      <c r="U195">
        <v>1.23835068992E-4</v>
      </c>
      <c r="V195" t="s">
        <v>251</v>
      </c>
      <c r="X195">
        <v>1.1415525114155251E-4</v>
      </c>
      <c r="Y195">
        <v>2.2209515285616027E-4</v>
      </c>
      <c r="Z195" t="s">
        <v>692</v>
      </c>
      <c r="AA195" t="s">
        <v>25</v>
      </c>
      <c r="AC195" t="s">
        <v>22</v>
      </c>
      <c r="AD195" t="s">
        <v>692</v>
      </c>
      <c r="AE195">
        <v>8.0551047810240232E-5</v>
      </c>
      <c r="AG195" t="s">
        <v>99</v>
      </c>
      <c r="AH195" t="s">
        <v>692</v>
      </c>
      <c r="AI195">
        <v>0</v>
      </c>
    </row>
    <row r="196" spans="5:35" x14ac:dyDescent="0.45">
      <c r="E196" t="s">
        <v>549</v>
      </c>
      <c r="G196" t="s">
        <v>442</v>
      </c>
      <c r="I196" t="s">
        <v>249</v>
      </c>
      <c r="J196" t="s">
        <v>693</v>
      </c>
      <c r="K196">
        <v>2.254420524114E-4</v>
      </c>
      <c r="L196" t="s">
        <v>251</v>
      </c>
      <c r="N196" t="s">
        <v>419</v>
      </c>
      <c r="O196" t="s">
        <v>693</v>
      </c>
      <c r="P196">
        <v>3.0782655516270738E-5</v>
      </c>
      <c r="Q196" t="s">
        <v>251</v>
      </c>
      <c r="S196" t="s">
        <v>420</v>
      </c>
      <c r="T196" t="s">
        <v>693</v>
      </c>
      <c r="U196">
        <v>1.0689758038470001E-4</v>
      </c>
      <c r="V196" t="s">
        <v>251</v>
      </c>
      <c r="X196">
        <v>1.1415525114155251E-4</v>
      </c>
      <c r="Y196">
        <v>2.2209515285616027E-4</v>
      </c>
      <c r="Z196" t="s">
        <v>693</v>
      </c>
      <c r="AA196" t="s">
        <v>25</v>
      </c>
      <c r="AC196" t="s">
        <v>22</v>
      </c>
      <c r="AD196" t="s">
        <v>693</v>
      </c>
      <c r="AE196">
        <v>7.5231658287512037E-5</v>
      </c>
      <c r="AG196" t="s">
        <v>99</v>
      </c>
      <c r="AH196" t="s">
        <v>693</v>
      </c>
      <c r="AI196">
        <v>0</v>
      </c>
    </row>
    <row r="197" spans="5:35" x14ac:dyDescent="0.45">
      <c r="E197" t="s">
        <v>550</v>
      </c>
      <c r="G197" t="s">
        <v>442</v>
      </c>
      <c r="I197" t="s">
        <v>249</v>
      </c>
      <c r="J197" t="s">
        <v>694</v>
      </c>
      <c r="K197">
        <v>9.3359402806149762E-5</v>
      </c>
      <c r="L197" t="s">
        <v>251</v>
      </c>
      <c r="N197" t="s">
        <v>419</v>
      </c>
      <c r="O197" t="s">
        <v>694</v>
      </c>
      <c r="P197">
        <v>3.695367324594916E-5</v>
      </c>
      <c r="Q197" t="s">
        <v>251</v>
      </c>
      <c r="S197" t="s">
        <v>420</v>
      </c>
      <c r="T197" t="s">
        <v>694</v>
      </c>
      <c r="U197">
        <v>9.2034044938064155E-5</v>
      </c>
      <c r="V197" t="s">
        <v>251</v>
      </c>
      <c r="X197">
        <v>1.1415525114155251E-4</v>
      </c>
      <c r="Y197">
        <v>1.7237235744060203E-4</v>
      </c>
      <c r="Z197" t="s">
        <v>694</v>
      </c>
      <c r="AA197" t="s">
        <v>25</v>
      </c>
      <c r="AC197" t="s">
        <v>22</v>
      </c>
      <c r="AD197" t="s">
        <v>694</v>
      </c>
      <c r="AE197">
        <v>7.5463972051662543E-5</v>
      </c>
      <c r="AG197" t="s">
        <v>99</v>
      </c>
      <c r="AH197" t="s">
        <v>694</v>
      </c>
      <c r="AI197">
        <v>0</v>
      </c>
    </row>
    <row r="198" spans="5:35" x14ac:dyDescent="0.45">
      <c r="E198" t="s">
        <v>551</v>
      </c>
      <c r="G198" t="s">
        <v>442</v>
      </c>
      <c r="I198" t="s">
        <v>249</v>
      </c>
      <c r="J198" t="s">
        <v>695</v>
      </c>
      <c r="K198">
        <v>0</v>
      </c>
      <c r="L198" t="s">
        <v>251</v>
      </c>
      <c r="N198" t="s">
        <v>419</v>
      </c>
      <c r="O198" t="s">
        <v>695</v>
      </c>
      <c r="P198">
        <v>4.0118769833130997E-5</v>
      </c>
      <c r="Q198" t="s">
        <v>251</v>
      </c>
      <c r="S198" t="s">
        <v>420</v>
      </c>
      <c r="T198" t="s">
        <v>695</v>
      </c>
      <c r="U198">
        <v>7.3246548246319555E-5</v>
      </c>
      <c r="V198" t="s">
        <v>251</v>
      </c>
      <c r="X198">
        <v>1.1415525114155251E-4</v>
      </c>
      <c r="Y198">
        <v>1.5579809230208258E-4</v>
      </c>
      <c r="Z198" t="s">
        <v>695</v>
      </c>
      <c r="AA198" t="s">
        <v>25</v>
      </c>
      <c r="AC198" t="s">
        <v>22</v>
      </c>
      <c r="AD198" t="s">
        <v>695</v>
      </c>
      <c r="AE198">
        <v>7.598221044861366E-5</v>
      </c>
      <c r="AG198" t="s">
        <v>99</v>
      </c>
      <c r="AH198" t="s">
        <v>695</v>
      </c>
      <c r="AI198">
        <v>0</v>
      </c>
    </row>
    <row r="199" spans="5:35" x14ac:dyDescent="0.45">
      <c r="E199" t="s">
        <v>552</v>
      </c>
      <c r="G199" t="s">
        <v>442</v>
      </c>
      <c r="I199" t="s">
        <v>249</v>
      </c>
      <c r="J199" t="s">
        <v>696</v>
      </c>
      <c r="K199">
        <v>0</v>
      </c>
      <c r="L199" t="s">
        <v>251</v>
      </c>
      <c r="N199" t="s">
        <v>419</v>
      </c>
      <c r="O199" t="s">
        <v>696</v>
      </c>
      <c r="P199">
        <v>4.6729203990118233E-5</v>
      </c>
      <c r="Q199" t="s">
        <v>251</v>
      </c>
      <c r="S199" t="s">
        <v>420</v>
      </c>
      <c r="T199" t="s">
        <v>696</v>
      </c>
      <c r="U199">
        <v>7.4369314966199869E-5</v>
      </c>
      <c r="V199" t="s">
        <v>251</v>
      </c>
      <c r="X199">
        <v>1.1415525114155251E-4</v>
      </c>
      <c r="Y199">
        <v>1.093901499142282E-4</v>
      </c>
      <c r="Z199" t="s">
        <v>696</v>
      </c>
      <c r="AA199" t="s">
        <v>25</v>
      </c>
      <c r="AC199" t="s">
        <v>22</v>
      </c>
      <c r="AD199" t="s">
        <v>696</v>
      </c>
      <c r="AE199">
        <v>8.1724530157359425E-5</v>
      </c>
      <c r="AG199" t="s">
        <v>99</v>
      </c>
      <c r="AH199" t="s">
        <v>696</v>
      </c>
      <c r="AI199">
        <v>0</v>
      </c>
    </row>
    <row r="200" spans="5:35" x14ac:dyDescent="0.45">
      <c r="E200" t="s">
        <v>553</v>
      </c>
      <c r="G200" t="s">
        <v>442</v>
      </c>
      <c r="I200" t="s">
        <v>249</v>
      </c>
      <c r="J200" t="s">
        <v>697</v>
      </c>
      <c r="K200">
        <v>0</v>
      </c>
      <c r="L200" t="s">
        <v>251</v>
      </c>
      <c r="N200" t="s">
        <v>419</v>
      </c>
      <c r="O200" t="s">
        <v>697</v>
      </c>
      <c r="P200">
        <v>5.4867949821239762E-5</v>
      </c>
      <c r="Q200" t="s">
        <v>251</v>
      </c>
      <c r="S200" t="s">
        <v>420</v>
      </c>
      <c r="T200" t="s">
        <v>697</v>
      </c>
      <c r="U200">
        <v>7.1405190812889725E-5</v>
      </c>
      <c r="V200" t="s">
        <v>251</v>
      </c>
      <c r="X200">
        <v>1.1415525114155251E-4</v>
      </c>
      <c r="Y200">
        <v>7.9556472664893237E-5</v>
      </c>
      <c r="Z200" t="s">
        <v>697</v>
      </c>
      <c r="AA200" t="s">
        <v>25</v>
      </c>
      <c r="AC200" t="s">
        <v>22</v>
      </c>
      <c r="AD200" t="s">
        <v>697</v>
      </c>
      <c r="AE200">
        <v>8.7788515078005876E-5</v>
      </c>
      <c r="AG200" t="s">
        <v>99</v>
      </c>
      <c r="AH200" t="s">
        <v>697</v>
      </c>
      <c r="AI200">
        <v>0</v>
      </c>
    </row>
    <row r="201" spans="5:35" x14ac:dyDescent="0.45">
      <c r="E201" t="s">
        <v>554</v>
      </c>
      <c r="G201" t="s">
        <v>442</v>
      </c>
      <c r="I201" t="s">
        <v>249</v>
      </c>
      <c r="J201" t="s">
        <v>698</v>
      </c>
      <c r="K201">
        <v>0</v>
      </c>
      <c r="L201" t="s">
        <v>251</v>
      </c>
      <c r="N201" t="s">
        <v>419</v>
      </c>
      <c r="O201" t="s">
        <v>698</v>
      </c>
      <c r="P201">
        <v>6.8770197054584883E-5</v>
      </c>
      <c r="Q201" t="s">
        <v>251</v>
      </c>
      <c r="S201" t="s">
        <v>420</v>
      </c>
      <c r="T201" t="s">
        <v>698</v>
      </c>
      <c r="U201">
        <v>6.1930348138479685E-5</v>
      </c>
      <c r="V201" t="s">
        <v>251</v>
      </c>
      <c r="X201">
        <v>1.1415525114155251E-4</v>
      </c>
      <c r="Y201">
        <v>5.6352501470966035E-5</v>
      </c>
      <c r="Z201" t="s">
        <v>698</v>
      </c>
      <c r="AA201" t="s">
        <v>25</v>
      </c>
      <c r="AC201" t="s">
        <v>22</v>
      </c>
      <c r="AD201" t="s">
        <v>698</v>
      </c>
      <c r="AE201">
        <v>9.6908319511708989E-5</v>
      </c>
      <c r="AG201" t="s">
        <v>99</v>
      </c>
      <c r="AH201" t="s">
        <v>698</v>
      </c>
      <c r="AI201">
        <v>0</v>
      </c>
    </row>
    <row r="202" spans="5:35" x14ac:dyDescent="0.45">
      <c r="E202" t="s">
        <v>555</v>
      </c>
      <c r="G202" t="s">
        <v>442</v>
      </c>
      <c r="I202" t="s">
        <v>249</v>
      </c>
      <c r="J202" t="s">
        <v>699</v>
      </c>
      <c r="K202">
        <v>0</v>
      </c>
      <c r="L202" t="s">
        <v>251</v>
      </c>
      <c r="N202" t="s">
        <v>419</v>
      </c>
      <c r="O202" t="s">
        <v>699</v>
      </c>
      <c r="P202">
        <v>8.197170466648859E-5</v>
      </c>
      <c r="Q202" t="s">
        <v>251</v>
      </c>
      <c r="S202" t="s">
        <v>420</v>
      </c>
      <c r="T202" t="s">
        <v>699</v>
      </c>
      <c r="U202">
        <v>6.1193126966661355E-5</v>
      </c>
      <c r="V202" t="s">
        <v>251</v>
      </c>
      <c r="X202">
        <v>1.1415525114155251E-4</v>
      </c>
      <c r="Y202">
        <v>2.9833677249334962E-5</v>
      </c>
      <c r="Z202" t="s">
        <v>699</v>
      </c>
      <c r="AA202" t="s">
        <v>25</v>
      </c>
      <c r="AC202" t="s">
        <v>22</v>
      </c>
      <c r="AD202" t="s">
        <v>699</v>
      </c>
      <c r="AE202">
        <v>1.0269233656273814E-4</v>
      </c>
      <c r="AG202" t="s">
        <v>99</v>
      </c>
      <c r="AH202" t="s">
        <v>699</v>
      </c>
      <c r="AI202">
        <v>0</v>
      </c>
    </row>
    <row r="203" spans="5:35" x14ac:dyDescent="0.45">
      <c r="E203" t="s">
        <v>556</v>
      </c>
      <c r="G203" t="s">
        <v>444</v>
      </c>
      <c r="I203" t="s">
        <v>249</v>
      </c>
      <c r="J203" t="s">
        <v>700</v>
      </c>
      <c r="K203">
        <v>0</v>
      </c>
      <c r="L203" t="s">
        <v>251</v>
      </c>
      <c r="N203" t="s">
        <v>419</v>
      </c>
      <c r="O203" t="s">
        <v>700</v>
      </c>
      <c r="P203">
        <v>2.3639833951319999E-4</v>
      </c>
      <c r="Q203" t="s">
        <v>251</v>
      </c>
      <c r="S203" t="s">
        <v>420</v>
      </c>
      <c r="T203" t="s">
        <v>700</v>
      </c>
      <c r="U203">
        <v>1.161454874279E-4</v>
      </c>
      <c r="V203" t="s">
        <v>251</v>
      </c>
      <c r="X203">
        <v>1.1415525114155251E-4</v>
      </c>
      <c r="Y203">
        <v>2.1546544680075254E-5</v>
      </c>
      <c r="Z203" t="s">
        <v>700</v>
      </c>
      <c r="AA203" t="s">
        <v>25</v>
      </c>
      <c r="AC203" t="s">
        <v>22</v>
      </c>
      <c r="AD203" t="s">
        <v>700</v>
      </c>
      <c r="AE203">
        <v>1.3158263800196735E-4</v>
      </c>
      <c r="AG203" t="s">
        <v>99</v>
      </c>
      <c r="AH203" t="s">
        <v>700</v>
      </c>
      <c r="AI203">
        <v>0</v>
      </c>
    </row>
    <row r="204" spans="5:35" x14ac:dyDescent="0.45">
      <c r="E204" t="s">
        <v>557</v>
      </c>
      <c r="G204" t="s">
        <v>444</v>
      </c>
      <c r="I204" t="s">
        <v>249</v>
      </c>
      <c r="J204" t="s">
        <v>701</v>
      </c>
      <c r="K204">
        <v>0</v>
      </c>
      <c r="L204" t="s">
        <v>251</v>
      </c>
      <c r="N204" t="s">
        <v>419</v>
      </c>
      <c r="O204" t="s">
        <v>701</v>
      </c>
      <c r="P204">
        <v>2.478622143669E-4</v>
      </c>
      <c r="Q204" t="s">
        <v>251</v>
      </c>
      <c r="S204" t="s">
        <v>420</v>
      </c>
      <c r="T204" t="s">
        <v>701</v>
      </c>
      <c r="U204">
        <v>1.416567454477E-4</v>
      </c>
      <c r="V204" t="s">
        <v>251</v>
      </c>
      <c r="X204">
        <v>1.1415525114155251E-4</v>
      </c>
      <c r="Y204">
        <v>1.4916838624667481E-5</v>
      </c>
      <c r="Z204" t="s">
        <v>701</v>
      </c>
      <c r="AA204" t="s">
        <v>25</v>
      </c>
      <c r="AC204" t="s">
        <v>22</v>
      </c>
      <c r="AD204" t="s">
        <v>701</v>
      </c>
      <c r="AE204">
        <v>1.2991474431063043E-4</v>
      </c>
      <c r="AG204" t="s">
        <v>99</v>
      </c>
      <c r="AH204" t="s">
        <v>701</v>
      </c>
      <c r="AI204">
        <v>0</v>
      </c>
    </row>
    <row r="205" spans="5:35" x14ac:dyDescent="0.45">
      <c r="E205" t="s">
        <v>558</v>
      </c>
      <c r="G205" t="s">
        <v>444</v>
      </c>
      <c r="I205" t="s">
        <v>249</v>
      </c>
      <c r="J205" t="s">
        <v>702</v>
      </c>
      <c r="K205">
        <v>0</v>
      </c>
      <c r="L205" t="s">
        <v>251</v>
      </c>
      <c r="N205" t="s">
        <v>419</v>
      </c>
      <c r="O205" t="s">
        <v>702</v>
      </c>
      <c r="P205">
        <v>2.523924050206E-4</v>
      </c>
      <c r="Q205" t="s">
        <v>251</v>
      </c>
      <c r="S205" t="s">
        <v>420</v>
      </c>
      <c r="T205" t="s">
        <v>702</v>
      </c>
      <c r="U205">
        <v>1.5360246256200001E-4</v>
      </c>
      <c r="V205" t="s">
        <v>251</v>
      </c>
      <c r="X205">
        <v>1.1415525114155251E-4</v>
      </c>
      <c r="Y205">
        <v>1.6574265138519424E-5</v>
      </c>
      <c r="Z205" t="s">
        <v>702</v>
      </c>
      <c r="AA205" t="s">
        <v>25</v>
      </c>
      <c r="AC205" t="s">
        <v>22</v>
      </c>
      <c r="AD205" t="s">
        <v>702</v>
      </c>
      <c r="AE205">
        <v>1.2998026870564728E-4</v>
      </c>
      <c r="AG205" t="s">
        <v>99</v>
      </c>
      <c r="AH205" t="s">
        <v>702</v>
      </c>
      <c r="AI205">
        <v>0</v>
      </c>
    </row>
    <row r="206" spans="5:35" x14ac:dyDescent="0.45">
      <c r="E206" t="s">
        <v>559</v>
      </c>
      <c r="G206" t="s">
        <v>444</v>
      </c>
      <c r="I206" t="s">
        <v>249</v>
      </c>
      <c r="J206" t="s">
        <v>703</v>
      </c>
      <c r="K206">
        <v>0</v>
      </c>
      <c r="L206" t="s">
        <v>251</v>
      </c>
      <c r="N206" t="s">
        <v>419</v>
      </c>
      <c r="O206" t="s">
        <v>703</v>
      </c>
      <c r="P206">
        <v>2.5569157415530002E-4</v>
      </c>
      <c r="Q206" t="s">
        <v>251</v>
      </c>
      <c r="S206" t="s">
        <v>420</v>
      </c>
      <c r="T206" t="s">
        <v>703</v>
      </c>
      <c r="U206">
        <v>1.591645524577E-4</v>
      </c>
      <c r="V206" t="s">
        <v>251</v>
      </c>
      <c r="X206">
        <v>1.1415525114155251E-4</v>
      </c>
      <c r="Y206">
        <v>1.4585353321897093E-5</v>
      </c>
      <c r="Z206" t="s">
        <v>703</v>
      </c>
      <c r="AA206" t="s">
        <v>25</v>
      </c>
      <c r="AC206" t="s">
        <v>22</v>
      </c>
      <c r="AD206" t="s">
        <v>703</v>
      </c>
      <c r="AE206">
        <v>1.2998026870564728E-4</v>
      </c>
      <c r="AG206" t="s">
        <v>99</v>
      </c>
      <c r="AH206" t="s">
        <v>703</v>
      </c>
      <c r="AI206">
        <v>0</v>
      </c>
    </row>
    <row r="207" spans="5:35" x14ac:dyDescent="0.45">
      <c r="E207" t="s">
        <v>560</v>
      </c>
      <c r="G207" t="s">
        <v>444</v>
      </c>
      <c r="I207" t="s">
        <v>249</v>
      </c>
      <c r="J207" t="s">
        <v>704</v>
      </c>
      <c r="K207">
        <v>0</v>
      </c>
      <c r="L207" t="s">
        <v>251</v>
      </c>
      <c r="N207" t="s">
        <v>419</v>
      </c>
      <c r="O207" t="s">
        <v>704</v>
      </c>
      <c r="P207">
        <v>2.5304480479629998E-4</v>
      </c>
      <c r="Q207" t="s">
        <v>251</v>
      </c>
      <c r="S207" t="s">
        <v>420</v>
      </c>
      <c r="T207" t="s">
        <v>704</v>
      </c>
      <c r="U207">
        <v>1.671230496459E-4</v>
      </c>
      <c r="V207" t="s">
        <v>251</v>
      </c>
      <c r="X207">
        <v>1.1415525114155251E-4</v>
      </c>
      <c r="Y207">
        <v>2.1215059377304864E-5</v>
      </c>
      <c r="Z207" t="s">
        <v>704</v>
      </c>
      <c r="AA207" t="s">
        <v>25</v>
      </c>
      <c r="AC207" t="s">
        <v>22</v>
      </c>
      <c r="AD207" t="s">
        <v>704</v>
      </c>
      <c r="AE207">
        <v>1.2984326315243028E-4</v>
      </c>
      <c r="AG207" t="s">
        <v>99</v>
      </c>
      <c r="AH207" t="s">
        <v>704</v>
      </c>
      <c r="AI207">
        <v>0</v>
      </c>
    </row>
    <row r="208" spans="5:35" x14ac:dyDescent="0.45">
      <c r="E208" t="s">
        <v>561</v>
      </c>
      <c r="G208" t="s">
        <v>444</v>
      </c>
      <c r="I208" t="s">
        <v>249</v>
      </c>
      <c r="J208" t="s">
        <v>705</v>
      </c>
      <c r="K208">
        <v>0</v>
      </c>
      <c r="L208" t="s">
        <v>251</v>
      </c>
      <c r="N208" t="s">
        <v>419</v>
      </c>
      <c r="O208" t="s">
        <v>705</v>
      </c>
      <c r="P208">
        <v>2.482646638311E-4</v>
      </c>
      <c r="Q208" t="s">
        <v>251</v>
      </c>
      <c r="S208" t="s">
        <v>420</v>
      </c>
      <c r="T208" t="s">
        <v>705</v>
      </c>
      <c r="U208">
        <v>1.715509371765E-4</v>
      </c>
      <c r="V208" t="s">
        <v>251</v>
      </c>
      <c r="X208">
        <v>1.1415525114155251E-4</v>
      </c>
      <c r="Y208">
        <v>5.7678442682047593E-5</v>
      </c>
      <c r="Z208" t="s">
        <v>705</v>
      </c>
      <c r="AA208" t="s">
        <v>25</v>
      </c>
      <c r="AC208" t="s">
        <v>22</v>
      </c>
      <c r="AD208" t="s">
        <v>705</v>
      </c>
      <c r="AE208">
        <v>1.2997431194246387E-4</v>
      </c>
      <c r="AG208" t="s">
        <v>99</v>
      </c>
      <c r="AH208" t="s">
        <v>705</v>
      </c>
      <c r="AI208">
        <v>0</v>
      </c>
    </row>
    <row r="209" spans="5:35" x14ac:dyDescent="0.45">
      <c r="E209" t="s">
        <v>562</v>
      </c>
      <c r="G209" t="s">
        <v>444</v>
      </c>
      <c r="I209" t="s">
        <v>249</v>
      </c>
      <c r="J209" t="s">
        <v>706</v>
      </c>
      <c r="K209">
        <v>4.4889140950900199E-5</v>
      </c>
      <c r="L209" t="s">
        <v>251</v>
      </c>
      <c r="N209" t="s">
        <v>419</v>
      </c>
      <c r="O209" t="s">
        <v>706</v>
      </c>
      <c r="P209">
        <v>2.40070792932E-4</v>
      </c>
      <c r="Q209" t="s">
        <v>251</v>
      </c>
      <c r="S209" t="s">
        <v>420</v>
      </c>
      <c r="T209" t="s">
        <v>706</v>
      </c>
      <c r="U209">
        <v>1.7472732000129999E-4</v>
      </c>
      <c r="V209" t="s">
        <v>251</v>
      </c>
      <c r="X209">
        <v>1.1415525114155251E-4</v>
      </c>
      <c r="Y209">
        <v>1.6905750441289813E-4</v>
      </c>
      <c r="Z209" t="s">
        <v>706</v>
      </c>
      <c r="AA209" t="s">
        <v>25</v>
      </c>
      <c r="AC209" t="s">
        <v>22</v>
      </c>
      <c r="AD209" t="s">
        <v>706</v>
      </c>
      <c r="AE209">
        <v>1.3031384744391461E-4</v>
      </c>
      <c r="AG209" t="s">
        <v>99</v>
      </c>
      <c r="AH209" t="s">
        <v>706</v>
      </c>
      <c r="AI209">
        <v>0</v>
      </c>
    </row>
    <row r="210" spans="5:35" x14ac:dyDescent="0.45">
      <c r="E210" t="s">
        <v>563</v>
      </c>
      <c r="G210" t="s">
        <v>444</v>
      </c>
      <c r="I210" t="s">
        <v>249</v>
      </c>
      <c r="J210" t="s">
        <v>707</v>
      </c>
      <c r="K210">
        <v>1.8412409618130001E-4</v>
      </c>
      <c r="L210" t="s">
        <v>251</v>
      </c>
      <c r="N210" t="s">
        <v>419</v>
      </c>
      <c r="O210" t="s">
        <v>707</v>
      </c>
      <c r="P210">
        <v>2.280112480073E-4</v>
      </c>
      <c r="Q210" t="s">
        <v>251</v>
      </c>
      <c r="S210" t="s">
        <v>420</v>
      </c>
      <c r="T210" t="s">
        <v>707</v>
      </c>
      <c r="U210">
        <v>1.7728009904080001E-4</v>
      </c>
      <c r="V210" t="s">
        <v>251</v>
      </c>
      <c r="X210">
        <v>1.1415525114155251E-4</v>
      </c>
      <c r="Y210">
        <v>1.9060404909297337E-4</v>
      </c>
      <c r="Z210" t="s">
        <v>707</v>
      </c>
      <c r="AA210" t="s">
        <v>25</v>
      </c>
      <c r="AC210" t="s">
        <v>22</v>
      </c>
      <c r="AD210" t="s">
        <v>707</v>
      </c>
      <c r="AE210">
        <v>1.3112396723684972E-4</v>
      </c>
      <c r="AG210" t="s">
        <v>99</v>
      </c>
      <c r="AH210" t="s">
        <v>707</v>
      </c>
      <c r="AI210">
        <v>0</v>
      </c>
    </row>
    <row r="211" spans="5:35" x14ac:dyDescent="0.45">
      <c r="E211" t="s">
        <v>564</v>
      </c>
      <c r="G211" t="s">
        <v>444</v>
      </c>
      <c r="I211" t="s">
        <v>249</v>
      </c>
      <c r="J211" t="s">
        <v>708</v>
      </c>
      <c r="K211">
        <v>2.5389258056410002E-4</v>
      </c>
      <c r="L211" t="s">
        <v>251</v>
      </c>
      <c r="N211" t="s">
        <v>419</v>
      </c>
      <c r="O211" t="s">
        <v>708</v>
      </c>
      <c r="P211">
        <v>2.3516218373739999E-4</v>
      </c>
      <c r="Q211" t="s">
        <v>251</v>
      </c>
      <c r="S211" t="s">
        <v>420</v>
      </c>
      <c r="T211" t="s">
        <v>708</v>
      </c>
      <c r="U211">
        <v>1.7848559486650001E-4</v>
      </c>
      <c r="V211" t="s">
        <v>251</v>
      </c>
      <c r="X211">
        <v>1.1415525114155251E-4</v>
      </c>
      <c r="Y211">
        <v>1.4585353321897094E-4</v>
      </c>
      <c r="Z211" t="s">
        <v>708</v>
      </c>
      <c r="AA211" t="s">
        <v>25</v>
      </c>
      <c r="AC211" t="s">
        <v>22</v>
      </c>
      <c r="AD211" t="s">
        <v>708</v>
      </c>
      <c r="AE211">
        <v>1.3145158921193373E-4</v>
      </c>
      <c r="AG211" t="s">
        <v>99</v>
      </c>
      <c r="AH211" t="s">
        <v>708</v>
      </c>
      <c r="AI211">
        <v>0</v>
      </c>
    </row>
    <row r="212" spans="5:35" x14ac:dyDescent="0.45">
      <c r="E212" t="s">
        <v>565</v>
      </c>
      <c r="G212" t="s">
        <v>444</v>
      </c>
      <c r="I212" t="s">
        <v>249</v>
      </c>
      <c r="J212" t="s">
        <v>709</v>
      </c>
      <c r="K212">
        <v>2.8311240212379999E-4</v>
      </c>
      <c r="L212" t="s">
        <v>251</v>
      </c>
      <c r="N212" t="s">
        <v>419</v>
      </c>
      <c r="O212" t="s">
        <v>709</v>
      </c>
      <c r="P212">
        <v>2.36554265482E-4</v>
      </c>
      <c r="Q212" t="s">
        <v>251</v>
      </c>
      <c r="S212" t="s">
        <v>420</v>
      </c>
      <c r="T212" t="s">
        <v>709</v>
      </c>
      <c r="U212">
        <v>1.773526201074E-4</v>
      </c>
      <c r="V212" t="s">
        <v>251</v>
      </c>
      <c r="X212">
        <v>1.1415525114155251E-4</v>
      </c>
      <c r="Y212">
        <v>1.4452759200788939E-4</v>
      </c>
      <c r="Z212" t="s">
        <v>709</v>
      </c>
      <c r="AA212" t="s">
        <v>25</v>
      </c>
      <c r="AC212" t="s">
        <v>22</v>
      </c>
      <c r="AD212" t="s">
        <v>709</v>
      </c>
      <c r="AE212">
        <v>1.3238680103171913E-4</v>
      </c>
      <c r="AG212" t="s">
        <v>99</v>
      </c>
      <c r="AH212" t="s">
        <v>709</v>
      </c>
      <c r="AI212">
        <v>0</v>
      </c>
    </row>
    <row r="213" spans="5:35" x14ac:dyDescent="0.45">
      <c r="E213" t="s">
        <v>566</v>
      </c>
      <c r="G213" t="s">
        <v>444</v>
      </c>
      <c r="I213" t="s">
        <v>249</v>
      </c>
      <c r="J213" t="s">
        <v>710</v>
      </c>
      <c r="K213">
        <v>2.9856160714240003E-4</v>
      </c>
      <c r="L213" t="s">
        <v>251</v>
      </c>
      <c r="N213" t="s">
        <v>419</v>
      </c>
      <c r="O213" t="s">
        <v>710</v>
      </c>
      <c r="P213">
        <v>2.418117477248E-4</v>
      </c>
      <c r="Q213" t="s">
        <v>251</v>
      </c>
      <c r="S213" t="s">
        <v>420</v>
      </c>
      <c r="T213" t="s">
        <v>710</v>
      </c>
      <c r="U213">
        <v>1.7625413503E-4</v>
      </c>
      <c r="V213" t="s">
        <v>251</v>
      </c>
      <c r="X213">
        <v>1.1415525114155251E-4</v>
      </c>
      <c r="Y213">
        <v>1.408812536774151E-4</v>
      </c>
      <c r="Z213" t="s">
        <v>710</v>
      </c>
      <c r="AA213" t="s">
        <v>25</v>
      </c>
      <c r="AC213" t="s">
        <v>22</v>
      </c>
      <c r="AD213" t="s">
        <v>710</v>
      </c>
      <c r="AE213">
        <v>1.3137415129055028E-4</v>
      </c>
      <c r="AG213" t="s">
        <v>99</v>
      </c>
      <c r="AH213" t="s">
        <v>710</v>
      </c>
      <c r="AI213">
        <v>0</v>
      </c>
    </row>
    <row r="214" spans="5:35" x14ac:dyDescent="0.45">
      <c r="E214" t="s">
        <v>567</v>
      </c>
      <c r="G214" t="s">
        <v>444</v>
      </c>
      <c r="I214" t="s">
        <v>249</v>
      </c>
      <c r="J214" t="s">
        <v>711</v>
      </c>
      <c r="K214">
        <v>3.1763977802929999E-4</v>
      </c>
      <c r="L214" t="s">
        <v>251</v>
      </c>
      <c r="N214" t="s">
        <v>419</v>
      </c>
      <c r="O214" t="s">
        <v>711</v>
      </c>
      <c r="P214">
        <v>2.485351427174E-4</v>
      </c>
      <c r="Q214" t="s">
        <v>251</v>
      </c>
      <c r="S214" t="s">
        <v>420</v>
      </c>
      <c r="T214" t="s">
        <v>711</v>
      </c>
      <c r="U214">
        <v>1.7454170401550001E-4</v>
      </c>
      <c r="V214" t="s">
        <v>251</v>
      </c>
      <c r="X214">
        <v>1.1415525114155251E-4</v>
      </c>
      <c r="Y214">
        <v>1.4054976837464471E-4</v>
      </c>
      <c r="Z214" t="s">
        <v>711</v>
      </c>
      <c r="AA214" t="s">
        <v>25</v>
      </c>
      <c r="AC214" t="s">
        <v>22</v>
      </c>
      <c r="AD214" t="s">
        <v>711</v>
      </c>
      <c r="AE214">
        <v>1.2830046148794359E-4</v>
      </c>
      <c r="AG214" t="s">
        <v>99</v>
      </c>
      <c r="AH214" t="s">
        <v>711</v>
      </c>
      <c r="AI214">
        <v>0</v>
      </c>
    </row>
    <row r="215" spans="5:35" x14ac:dyDescent="0.45">
      <c r="E215" t="s">
        <v>568</v>
      </c>
      <c r="G215" t="s">
        <v>444</v>
      </c>
      <c r="I215" t="s">
        <v>249</v>
      </c>
      <c r="J215" t="s">
        <v>712</v>
      </c>
      <c r="K215">
        <v>3.3370764331769998E-4</v>
      </c>
      <c r="L215" t="s">
        <v>251</v>
      </c>
      <c r="N215" t="s">
        <v>419</v>
      </c>
      <c r="O215" t="s">
        <v>712</v>
      </c>
      <c r="P215">
        <v>2.4895624962509999E-4</v>
      </c>
      <c r="Q215" t="s">
        <v>251</v>
      </c>
      <c r="S215" t="s">
        <v>420</v>
      </c>
      <c r="T215" t="s">
        <v>712</v>
      </c>
      <c r="U215">
        <v>1.736912042774E-4</v>
      </c>
      <c r="V215" t="s">
        <v>251</v>
      </c>
      <c r="X215">
        <v>1.1415525114155251E-4</v>
      </c>
      <c r="Y215">
        <v>1.4253868019126702E-4</v>
      </c>
      <c r="Z215" t="s">
        <v>712</v>
      </c>
      <c r="AA215" t="s">
        <v>25</v>
      </c>
      <c r="AC215" t="s">
        <v>22</v>
      </c>
      <c r="AD215" t="s">
        <v>712</v>
      </c>
      <c r="AE215">
        <v>1.2435112749738505E-4</v>
      </c>
      <c r="AG215" t="s">
        <v>99</v>
      </c>
      <c r="AH215" t="s">
        <v>712</v>
      </c>
      <c r="AI215">
        <v>0</v>
      </c>
    </row>
    <row r="216" spans="5:35" x14ac:dyDescent="0.45">
      <c r="E216" t="s">
        <v>569</v>
      </c>
      <c r="G216" t="s">
        <v>444</v>
      </c>
      <c r="I216" t="s">
        <v>249</v>
      </c>
      <c r="J216" t="s">
        <v>713</v>
      </c>
      <c r="K216">
        <v>3.220774010033E-4</v>
      </c>
      <c r="L216" t="s">
        <v>251</v>
      </c>
      <c r="N216" t="s">
        <v>419</v>
      </c>
      <c r="O216" t="s">
        <v>713</v>
      </c>
      <c r="P216">
        <v>2.5116313975480001E-4</v>
      </c>
      <c r="Q216" t="s">
        <v>251</v>
      </c>
      <c r="S216" t="s">
        <v>420</v>
      </c>
      <c r="T216" t="s">
        <v>713</v>
      </c>
      <c r="U216">
        <v>1.735624153702E-4</v>
      </c>
      <c r="V216" t="s">
        <v>251</v>
      </c>
      <c r="X216">
        <v>1.1415525114155251E-4</v>
      </c>
      <c r="Y216">
        <v>1.4883690094390442E-4</v>
      </c>
      <c r="Z216" t="s">
        <v>713</v>
      </c>
      <c r="AA216" t="s">
        <v>25</v>
      </c>
      <c r="AC216" t="s">
        <v>22</v>
      </c>
      <c r="AD216" t="s">
        <v>713</v>
      </c>
      <c r="AE216">
        <v>1.1183001128599127E-4</v>
      </c>
      <c r="AG216" t="s">
        <v>99</v>
      </c>
      <c r="AH216" t="s">
        <v>713</v>
      </c>
      <c r="AI216">
        <v>0</v>
      </c>
    </row>
    <row r="217" spans="5:35" x14ac:dyDescent="0.45">
      <c r="E217" t="s">
        <v>570</v>
      </c>
      <c r="G217" t="s">
        <v>444</v>
      </c>
      <c r="I217" t="s">
        <v>249</v>
      </c>
      <c r="J217" t="s">
        <v>714</v>
      </c>
      <c r="K217">
        <v>3.0415900638710002E-4</v>
      </c>
      <c r="L217" t="s">
        <v>251</v>
      </c>
      <c r="N217" t="s">
        <v>419</v>
      </c>
      <c r="O217" t="s">
        <v>714</v>
      </c>
      <c r="P217">
        <v>2.52329082799E-4</v>
      </c>
      <c r="Q217" t="s">
        <v>251</v>
      </c>
      <c r="S217" t="s">
        <v>420</v>
      </c>
      <c r="T217" t="s">
        <v>714</v>
      </c>
      <c r="U217">
        <v>1.7402312297E-4</v>
      </c>
      <c r="V217" t="s">
        <v>251</v>
      </c>
      <c r="X217">
        <v>1.1415525114155251E-4</v>
      </c>
      <c r="Y217">
        <v>1.5049432745775637E-4</v>
      </c>
      <c r="Z217" t="s">
        <v>714</v>
      </c>
      <c r="AA217" t="s">
        <v>25</v>
      </c>
      <c r="AC217" t="s">
        <v>22</v>
      </c>
      <c r="AD217" t="s">
        <v>714</v>
      </c>
      <c r="AE217">
        <v>1.0455680343912551E-4</v>
      </c>
      <c r="AG217" t="s">
        <v>99</v>
      </c>
      <c r="AH217" t="s">
        <v>714</v>
      </c>
      <c r="AI217">
        <v>0</v>
      </c>
    </row>
    <row r="218" spans="5:35" x14ac:dyDescent="0.45">
      <c r="E218" t="s">
        <v>571</v>
      </c>
      <c r="G218" t="s">
        <v>444</v>
      </c>
      <c r="I218" t="s">
        <v>249</v>
      </c>
      <c r="J218" t="s">
        <v>715</v>
      </c>
      <c r="K218">
        <v>2.8760647941680002E-4</v>
      </c>
      <c r="L218" t="s">
        <v>251</v>
      </c>
      <c r="N218" t="s">
        <v>419</v>
      </c>
      <c r="O218" t="s">
        <v>715</v>
      </c>
      <c r="P218">
        <v>2.5291185693890003E-4</v>
      </c>
      <c r="Q218" t="s">
        <v>251</v>
      </c>
      <c r="S218" t="s">
        <v>420</v>
      </c>
      <c r="T218" t="s">
        <v>715</v>
      </c>
      <c r="U218">
        <v>1.737972906695E-4</v>
      </c>
      <c r="V218" t="s">
        <v>251</v>
      </c>
      <c r="X218">
        <v>1.1415525114155251E-4</v>
      </c>
      <c r="Y218">
        <v>1.7237235744060203E-4</v>
      </c>
      <c r="Z218" t="s">
        <v>715</v>
      </c>
      <c r="AA218" t="s">
        <v>25</v>
      </c>
      <c r="AC218" t="s">
        <v>22</v>
      </c>
      <c r="AD218" t="s">
        <v>715</v>
      </c>
      <c r="AE218">
        <v>8.8080396473989853E-5</v>
      </c>
      <c r="AG218" t="s">
        <v>99</v>
      </c>
      <c r="AH218" t="s">
        <v>715</v>
      </c>
      <c r="AI218">
        <v>0</v>
      </c>
    </row>
    <row r="219" spans="5:35" x14ac:dyDescent="0.45">
      <c r="E219" t="s">
        <v>572</v>
      </c>
      <c r="G219" t="s">
        <v>444</v>
      </c>
      <c r="I219" t="s">
        <v>249</v>
      </c>
      <c r="J219" t="s">
        <v>716</v>
      </c>
      <c r="K219">
        <v>2.6531558678480002E-4</v>
      </c>
      <c r="L219" t="s">
        <v>251</v>
      </c>
      <c r="N219" t="s">
        <v>419</v>
      </c>
      <c r="O219" t="s">
        <v>716</v>
      </c>
      <c r="P219">
        <v>2.5173640861899998E-4</v>
      </c>
      <c r="Q219" t="s">
        <v>251</v>
      </c>
      <c r="S219" t="s">
        <v>420</v>
      </c>
      <c r="T219" t="s">
        <v>716</v>
      </c>
      <c r="U219">
        <v>1.7502025254330001E-4</v>
      </c>
      <c r="V219" t="s">
        <v>251</v>
      </c>
      <c r="X219">
        <v>1.1415525114155251E-4</v>
      </c>
      <c r="Y219">
        <v>2.2209515285616027E-4</v>
      </c>
      <c r="Z219" t="s">
        <v>716</v>
      </c>
      <c r="AA219" t="s">
        <v>25</v>
      </c>
      <c r="AC219" t="s">
        <v>22</v>
      </c>
      <c r="AD219" t="s">
        <v>716</v>
      </c>
      <c r="AE219">
        <v>8.4244240983914886E-5</v>
      </c>
      <c r="AG219" t="s">
        <v>99</v>
      </c>
      <c r="AH219" t="s">
        <v>716</v>
      </c>
      <c r="AI219">
        <v>0</v>
      </c>
    </row>
    <row r="220" spans="5:35" x14ac:dyDescent="0.45">
      <c r="E220" t="s">
        <v>573</v>
      </c>
      <c r="G220" t="s">
        <v>444</v>
      </c>
      <c r="I220" t="s">
        <v>249</v>
      </c>
      <c r="J220" t="s">
        <v>717</v>
      </c>
      <c r="K220">
        <v>2.130299183723E-4</v>
      </c>
      <c r="L220" t="s">
        <v>251</v>
      </c>
      <c r="N220" t="s">
        <v>419</v>
      </c>
      <c r="O220" t="s">
        <v>717</v>
      </c>
      <c r="P220">
        <v>2.4636790067639999E-4</v>
      </c>
      <c r="Q220" t="s">
        <v>251</v>
      </c>
      <c r="S220" t="s">
        <v>420</v>
      </c>
      <c r="T220" t="s">
        <v>717</v>
      </c>
      <c r="U220">
        <v>1.7647419503900001E-4</v>
      </c>
      <c r="V220" t="s">
        <v>251</v>
      </c>
      <c r="X220">
        <v>1.1415525114155251E-4</v>
      </c>
      <c r="Y220">
        <v>2.2209515285616027E-4</v>
      </c>
      <c r="Z220" t="s">
        <v>717</v>
      </c>
      <c r="AA220" t="s">
        <v>25</v>
      </c>
      <c r="AC220" t="s">
        <v>22</v>
      </c>
      <c r="AD220" t="s">
        <v>717</v>
      </c>
      <c r="AE220">
        <v>8.0259166414256255E-5</v>
      </c>
      <c r="AG220" t="s">
        <v>99</v>
      </c>
      <c r="AH220" t="s">
        <v>717</v>
      </c>
      <c r="AI220">
        <v>0</v>
      </c>
    </row>
    <row r="221" spans="5:35" x14ac:dyDescent="0.45">
      <c r="E221" t="s">
        <v>574</v>
      </c>
      <c r="G221" t="s">
        <v>444</v>
      </c>
      <c r="I221" t="s">
        <v>249</v>
      </c>
      <c r="J221" t="s">
        <v>718</v>
      </c>
      <c r="K221">
        <v>9.4496314342162595E-5</v>
      </c>
      <c r="L221" t="s">
        <v>251</v>
      </c>
      <c r="N221" t="s">
        <v>419</v>
      </c>
      <c r="O221" t="s">
        <v>718</v>
      </c>
      <c r="P221">
        <v>2.3029239233220001E-4</v>
      </c>
      <c r="Q221" t="s">
        <v>251</v>
      </c>
      <c r="S221" t="s">
        <v>420</v>
      </c>
      <c r="T221" t="s">
        <v>718</v>
      </c>
      <c r="U221">
        <v>1.782573783624E-4</v>
      </c>
      <c r="V221" t="s">
        <v>251</v>
      </c>
      <c r="X221">
        <v>1.1415525114155251E-4</v>
      </c>
      <c r="Y221">
        <v>1.7237235744060203E-4</v>
      </c>
      <c r="Z221" t="s">
        <v>718</v>
      </c>
      <c r="AA221" t="s">
        <v>25</v>
      </c>
      <c r="AC221" t="s">
        <v>22</v>
      </c>
      <c r="AD221" t="s">
        <v>718</v>
      </c>
      <c r="AE221">
        <v>8.1474346103658889E-5</v>
      </c>
      <c r="AG221" t="s">
        <v>99</v>
      </c>
      <c r="AH221" t="s">
        <v>718</v>
      </c>
      <c r="AI221">
        <v>0</v>
      </c>
    </row>
    <row r="222" spans="5:35" x14ac:dyDescent="0.45">
      <c r="E222" t="s">
        <v>575</v>
      </c>
      <c r="G222" t="s">
        <v>444</v>
      </c>
      <c r="I222" t="s">
        <v>249</v>
      </c>
      <c r="J222" t="s">
        <v>719</v>
      </c>
      <c r="K222">
        <v>0</v>
      </c>
      <c r="L222" t="s">
        <v>251</v>
      </c>
      <c r="N222" t="s">
        <v>419</v>
      </c>
      <c r="O222" t="s">
        <v>719</v>
      </c>
      <c r="P222">
        <v>2.231079517285E-4</v>
      </c>
      <c r="Q222" t="s">
        <v>251</v>
      </c>
      <c r="S222" t="s">
        <v>420</v>
      </c>
      <c r="T222" t="s">
        <v>719</v>
      </c>
      <c r="U222">
        <v>1.8003537509460001E-4</v>
      </c>
      <c r="V222" t="s">
        <v>251</v>
      </c>
      <c r="X222">
        <v>1.1415525114155251E-4</v>
      </c>
      <c r="Y222">
        <v>1.5579809230208258E-4</v>
      </c>
      <c r="Z222" t="s">
        <v>719</v>
      </c>
      <c r="AA222" t="s">
        <v>25</v>
      </c>
      <c r="AC222" t="s">
        <v>22</v>
      </c>
      <c r="AD222" t="s">
        <v>719</v>
      </c>
      <c r="AE222">
        <v>8.2207027975210467E-5</v>
      </c>
      <c r="AG222" t="s">
        <v>99</v>
      </c>
      <c r="AH222" t="s">
        <v>719</v>
      </c>
      <c r="AI222">
        <v>0</v>
      </c>
    </row>
    <row r="223" spans="5:35" x14ac:dyDescent="0.45">
      <c r="E223" t="s">
        <v>576</v>
      </c>
      <c r="G223" t="s">
        <v>444</v>
      </c>
      <c r="I223" t="s">
        <v>249</v>
      </c>
      <c r="J223" t="s">
        <v>720</v>
      </c>
      <c r="K223">
        <v>0</v>
      </c>
      <c r="L223" t="s">
        <v>251</v>
      </c>
      <c r="N223" t="s">
        <v>419</v>
      </c>
      <c r="O223" t="s">
        <v>720</v>
      </c>
      <c r="P223">
        <v>2.1894274108660001E-4</v>
      </c>
      <c r="Q223" t="s">
        <v>251</v>
      </c>
      <c r="S223" t="s">
        <v>420</v>
      </c>
      <c r="T223" t="s">
        <v>720</v>
      </c>
      <c r="U223">
        <v>1.746434383443E-4</v>
      </c>
      <c r="V223" t="s">
        <v>251</v>
      </c>
      <c r="X223">
        <v>1.1415525114155251E-4</v>
      </c>
      <c r="Y223">
        <v>1.093901499142282E-4</v>
      </c>
      <c r="Z223" t="s">
        <v>720</v>
      </c>
      <c r="AA223" t="s">
        <v>25</v>
      </c>
      <c r="AC223" t="s">
        <v>22</v>
      </c>
      <c r="AD223" t="s">
        <v>720</v>
      </c>
      <c r="AE223">
        <v>9.6294772903824299E-5</v>
      </c>
      <c r="AG223" t="s">
        <v>99</v>
      </c>
      <c r="AH223" t="s">
        <v>720</v>
      </c>
      <c r="AI223">
        <v>0</v>
      </c>
    </row>
    <row r="224" spans="5:35" x14ac:dyDescent="0.45">
      <c r="E224" t="s">
        <v>577</v>
      </c>
      <c r="G224" t="s">
        <v>444</v>
      </c>
      <c r="I224" t="s">
        <v>249</v>
      </c>
      <c r="J224" t="s">
        <v>721</v>
      </c>
      <c r="K224">
        <v>0</v>
      </c>
      <c r="L224" t="s">
        <v>251</v>
      </c>
      <c r="N224" t="s">
        <v>419</v>
      </c>
      <c r="O224" t="s">
        <v>721</v>
      </c>
      <c r="P224">
        <v>2.119913293562E-4</v>
      </c>
      <c r="Q224" t="s">
        <v>251</v>
      </c>
      <c r="S224" t="s">
        <v>420</v>
      </c>
      <c r="T224" t="s">
        <v>721</v>
      </c>
      <c r="U224">
        <v>1.732919921084E-4</v>
      </c>
      <c r="V224" t="s">
        <v>251</v>
      </c>
      <c r="X224">
        <v>1.1415525114155251E-4</v>
      </c>
      <c r="Y224">
        <v>7.9556472664893237E-5</v>
      </c>
      <c r="Z224" t="s">
        <v>721</v>
      </c>
      <c r="AA224" t="s">
        <v>25</v>
      </c>
      <c r="AC224" t="s">
        <v>22</v>
      </c>
      <c r="AD224" t="s">
        <v>721</v>
      </c>
      <c r="AE224">
        <v>1.0979279827728684E-4</v>
      </c>
      <c r="AG224" t="s">
        <v>99</v>
      </c>
      <c r="AH224" t="s">
        <v>721</v>
      </c>
      <c r="AI224">
        <v>0</v>
      </c>
    </row>
    <row r="225" spans="5:35" x14ac:dyDescent="0.45">
      <c r="E225" t="s">
        <v>578</v>
      </c>
      <c r="G225" t="s">
        <v>444</v>
      </c>
      <c r="I225" t="s">
        <v>249</v>
      </c>
      <c r="J225" t="s">
        <v>722</v>
      </c>
      <c r="K225">
        <v>0</v>
      </c>
      <c r="L225" t="s">
        <v>251</v>
      </c>
      <c r="N225" t="s">
        <v>419</v>
      </c>
      <c r="O225" t="s">
        <v>722</v>
      </c>
      <c r="P225">
        <v>1.988367593883E-4</v>
      </c>
      <c r="Q225" t="s">
        <v>251</v>
      </c>
      <c r="S225" t="s">
        <v>420</v>
      </c>
      <c r="T225" t="s">
        <v>722</v>
      </c>
      <c r="U225">
        <v>1.7198316382929999E-4</v>
      </c>
      <c r="V225" t="s">
        <v>251</v>
      </c>
      <c r="X225">
        <v>1.1415525114155251E-4</v>
      </c>
      <c r="Y225">
        <v>5.6352501470966035E-5</v>
      </c>
      <c r="Z225" t="s">
        <v>722</v>
      </c>
      <c r="AA225" t="s">
        <v>25</v>
      </c>
      <c r="AC225" t="s">
        <v>22</v>
      </c>
      <c r="AD225" t="s">
        <v>722</v>
      </c>
      <c r="AE225">
        <v>1.1856711044635586E-4</v>
      </c>
      <c r="AG225" t="s">
        <v>99</v>
      </c>
      <c r="AH225" t="s">
        <v>722</v>
      </c>
      <c r="AI225">
        <v>0</v>
      </c>
    </row>
    <row r="226" spans="5:35" x14ac:dyDescent="0.45">
      <c r="E226" t="s">
        <v>579</v>
      </c>
      <c r="G226" t="s">
        <v>444</v>
      </c>
      <c r="I226" t="s">
        <v>249</v>
      </c>
      <c r="J226" t="s">
        <v>723</v>
      </c>
      <c r="K226">
        <v>0</v>
      </c>
      <c r="L226" t="s">
        <v>251</v>
      </c>
      <c r="N226" t="s">
        <v>419</v>
      </c>
      <c r="O226" t="s">
        <v>723</v>
      </c>
      <c r="P226">
        <v>1.8173274602579999E-4</v>
      </c>
      <c r="Q226" t="s">
        <v>251</v>
      </c>
      <c r="S226" t="s">
        <v>420</v>
      </c>
      <c r="T226" t="s">
        <v>723</v>
      </c>
      <c r="U226">
        <v>1.6783960246689999E-4</v>
      </c>
      <c r="V226" t="s">
        <v>251</v>
      </c>
      <c r="X226">
        <v>1.1415525114155251E-4</v>
      </c>
      <c r="Y226">
        <v>2.9833677249334962E-5</v>
      </c>
      <c r="Z226" t="s">
        <v>723</v>
      </c>
      <c r="AA226" t="s">
        <v>25</v>
      </c>
      <c r="AC226" t="s">
        <v>22</v>
      </c>
      <c r="AD226" t="s">
        <v>723</v>
      </c>
      <c r="AE226">
        <v>1.290331433594952E-4</v>
      </c>
      <c r="AG226" t="s">
        <v>99</v>
      </c>
      <c r="AH226" t="s">
        <v>723</v>
      </c>
      <c r="AI226">
        <v>0</v>
      </c>
    </row>
    <row r="227" spans="5:35" x14ac:dyDescent="0.45">
      <c r="E227" t="s">
        <v>240</v>
      </c>
      <c r="G227" t="s">
        <v>152</v>
      </c>
      <c r="I227" t="s">
        <v>249</v>
      </c>
      <c r="J227" t="s">
        <v>724</v>
      </c>
      <c r="K227">
        <v>0</v>
      </c>
      <c r="L227" t="s">
        <v>251</v>
      </c>
      <c r="N227" t="s">
        <v>419</v>
      </c>
      <c r="O227" t="s">
        <v>724</v>
      </c>
      <c r="P227">
        <v>1.8219655887899999E-4</v>
      </c>
      <c r="Q227" t="s">
        <v>251</v>
      </c>
      <c r="S227" t="s">
        <v>420</v>
      </c>
      <c r="T227" t="s">
        <v>724</v>
      </c>
      <c r="U227">
        <v>1.8630264643110001E-4</v>
      </c>
      <c r="V227" t="s">
        <v>251</v>
      </c>
      <c r="X227">
        <v>1.1415525114155251E-4</v>
      </c>
      <c r="Y227">
        <v>2.1546544680075254E-5</v>
      </c>
      <c r="Z227" t="s">
        <v>724</v>
      </c>
      <c r="AA227" t="s">
        <v>25</v>
      </c>
      <c r="AC227" t="s">
        <v>22</v>
      </c>
      <c r="AD227" t="s">
        <v>724</v>
      </c>
      <c r="AE227">
        <v>1.3155285418605064E-4</v>
      </c>
      <c r="AG227" t="s">
        <v>99</v>
      </c>
      <c r="AH227" t="s">
        <v>724</v>
      </c>
      <c r="AI227">
        <v>0</v>
      </c>
    </row>
    <row r="228" spans="5:35" x14ac:dyDescent="0.45">
      <c r="E228" t="s">
        <v>241</v>
      </c>
      <c r="G228" t="s">
        <v>152</v>
      </c>
      <c r="I228" t="s">
        <v>249</v>
      </c>
      <c r="J228" t="s">
        <v>725</v>
      </c>
      <c r="K228">
        <v>0</v>
      </c>
      <c r="L228" t="s">
        <v>251</v>
      </c>
      <c r="N228" t="s">
        <v>419</v>
      </c>
      <c r="O228" t="s">
        <v>725</v>
      </c>
      <c r="P228">
        <v>1.9129651268640001E-4</v>
      </c>
      <c r="Q228" t="s">
        <v>251</v>
      </c>
      <c r="S228" t="s">
        <v>420</v>
      </c>
      <c r="T228" t="s">
        <v>725</v>
      </c>
      <c r="U228">
        <v>1.856425376854E-4</v>
      </c>
      <c r="V228" t="s">
        <v>251</v>
      </c>
      <c r="X228">
        <v>1.1415525114155251E-4</v>
      </c>
      <c r="Y228">
        <v>1.4916838624667481E-5</v>
      </c>
      <c r="Z228" t="s">
        <v>725</v>
      </c>
      <c r="AA228" t="s">
        <v>25</v>
      </c>
      <c r="AC228" t="s">
        <v>22</v>
      </c>
      <c r="AD228" t="s">
        <v>725</v>
      </c>
      <c r="AE228">
        <v>1.2991474431063043E-4</v>
      </c>
      <c r="AG228" t="s">
        <v>99</v>
      </c>
      <c r="AH228" t="s">
        <v>725</v>
      </c>
      <c r="AI228">
        <v>0</v>
      </c>
    </row>
    <row r="229" spans="5:35" x14ac:dyDescent="0.45">
      <c r="E229" t="s">
        <v>242</v>
      </c>
      <c r="G229" t="s">
        <v>152</v>
      </c>
      <c r="I229" t="s">
        <v>249</v>
      </c>
      <c r="J229" t="s">
        <v>726</v>
      </c>
      <c r="K229">
        <v>0</v>
      </c>
      <c r="L229" t="s">
        <v>251</v>
      </c>
      <c r="N229" t="s">
        <v>419</v>
      </c>
      <c r="O229" t="s">
        <v>726</v>
      </c>
      <c r="P229">
        <v>1.914411513659E-4</v>
      </c>
      <c r="Q229" t="s">
        <v>251</v>
      </c>
      <c r="S229" t="s">
        <v>420</v>
      </c>
      <c r="T229" t="s">
        <v>726</v>
      </c>
      <c r="U229">
        <v>1.84425359559E-4</v>
      </c>
      <c r="V229" t="s">
        <v>251</v>
      </c>
      <c r="X229">
        <v>1.1415525114155251E-4</v>
      </c>
      <c r="Y229">
        <v>1.6574265138519424E-5</v>
      </c>
      <c r="Z229" t="s">
        <v>726</v>
      </c>
      <c r="AA229" t="s">
        <v>25</v>
      </c>
      <c r="AC229" t="s">
        <v>22</v>
      </c>
      <c r="AD229" t="s">
        <v>726</v>
      </c>
      <c r="AE229">
        <v>1.2998026870564728E-4</v>
      </c>
      <c r="AG229" t="s">
        <v>99</v>
      </c>
      <c r="AH229" t="s">
        <v>726</v>
      </c>
      <c r="AI229">
        <v>0</v>
      </c>
    </row>
    <row r="230" spans="5:35" x14ac:dyDescent="0.45">
      <c r="E230" t="s">
        <v>243</v>
      </c>
      <c r="G230" t="s">
        <v>152</v>
      </c>
      <c r="I230" t="s">
        <v>249</v>
      </c>
      <c r="J230" t="s">
        <v>727</v>
      </c>
      <c r="K230">
        <v>0</v>
      </c>
      <c r="L230" t="s">
        <v>251</v>
      </c>
      <c r="N230" t="s">
        <v>419</v>
      </c>
      <c r="O230" t="s">
        <v>727</v>
      </c>
      <c r="P230">
        <v>1.863273371663E-4</v>
      </c>
      <c r="Q230" t="s">
        <v>251</v>
      </c>
      <c r="S230" t="s">
        <v>420</v>
      </c>
      <c r="T230" t="s">
        <v>727</v>
      </c>
      <c r="U230">
        <v>1.821727764434E-4</v>
      </c>
      <c r="V230" t="s">
        <v>251</v>
      </c>
      <c r="X230">
        <v>1.1415525114155251E-4</v>
      </c>
      <c r="Y230">
        <v>1.4585353321897093E-5</v>
      </c>
      <c r="Z230" t="s">
        <v>727</v>
      </c>
      <c r="AA230" t="s">
        <v>25</v>
      </c>
      <c r="AC230" t="s">
        <v>22</v>
      </c>
      <c r="AD230" t="s">
        <v>727</v>
      </c>
      <c r="AE230">
        <v>1.2998026870564728E-4</v>
      </c>
      <c r="AG230" t="s">
        <v>99</v>
      </c>
      <c r="AH230" t="s">
        <v>727</v>
      </c>
      <c r="AI230">
        <v>0</v>
      </c>
    </row>
    <row r="231" spans="5:35" x14ac:dyDescent="0.45">
      <c r="E231" t="s">
        <v>244</v>
      </c>
      <c r="G231" t="s">
        <v>152</v>
      </c>
      <c r="I231" t="s">
        <v>249</v>
      </c>
      <c r="J231" t="s">
        <v>728</v>
      </c>
      <c r="K231">
        <v>0</v>
      </c>
      <c r="L231" t="s">
        <v>251</v>
      </c>
      <c r="N231" t="s">
        <v>419</v>
      </c>
      <c r="O231" t="s">
        <v>728</v>
      </c>
      <c r="P231">
        <v>1.8568888636600001E-4</v>
      </c>
      <c r="Q231" t="s">
        <v>251</v>
      </c>
      <c r="S231" t="s">
        <v>420</v>
      </c>
      <c r="T231" t="s">
        <v>728</v>
      </c>
      <c r="U231">
        <v>1.73945347801E-4</v>
      </c>
      <c r="V231" t="s">
        <v>251</v>
      </c>
      <c r="X231">
        <v>1.1415525114155251E-4</v>
      </c>
      <c r="Y231">
        <v>2.1215059377304864E-5</v>
      </c>
      <c r="Z231" t="s">
        <v>728</v>
      </c>
      <c r="AA231" t="s">
        <v>25</v>
      </c>
      <c r="AC231" t="s">
        <v>22</v>
      </c>
      <c r="AD231" t="s">
        <v>728</v>
      </c>
      <c r="AE231">
        <v>1.2948585736142953E-4</v>
      </c>
      <c r="AG231" t="s">
        <v>99</v>
      </c>
      <c r="AH231" t="s">
        <v>728</v>
      </c>
      <c r="AI231">
        <v>0</v>
      </c>
    </row>
    <row r="232" spans="5:35" x14ac:dyDescent="0.45">
      <c r="E232" t="s">
        <v>245</v>
      </c>
      <c r="G232" t="s">
        <v>152</v>
      </c>
      <c r="I232" t="s">
        <v>249</v>
      </c>
      <c r="J232" t="s">
        <v>729</v>
      </c>
      <c r="K232">
        <v>0</v>
      </c>
      <c r="L232" t="s">
        <v>251</v>
      </c>
      <c r="N232" t="s">
        <v>419</v>
      </c>
      <c r="O232" t="s">
        <v>729</v>
      </c>
      <c r="P232">
        <v>1.7668949294289999E-4</v>
      </c>
      <c r="Q232" t="s">
        <v>251</v>
      </c>
      <c r="S232" t="s">
        <v>420</v>
      </c>
      <c r="T232" t="s">
        <v>729</v>
      </c>
      <c r="U232">
        <v>1.5619946990710001E-4</v>
      </c>
      <c r="V232" t="s">
        <v>251</v>
      </c>
      <c r="X232">
        <v>1.1415525114155251E-4</v>
      </c>
      <c r="Y232">
        <v>5.7678442682047593E-5</v>
      </c>
      <c r="Z232" t="s">
        <v>729</v>
      </c>
      <c r="AA232" t="s">
        <v>25</v>
      </c>
      <c r="AC232" t="s">
        <v>22</v>
      </c>
      <c r="AD232" t="s">
        <v>729</v>
      </c>
      <c r="AE232">
        <v>1.2948585736142953E-4</v>
      </c>
      <c r="AG232" t="s">
        <v>99</v>
      </c>
      <c r="AH232" t="s">
        <v>729</v>
      </c>
      <c r="AI232">
        <v>0</v>
      </c>
    </row>
    <row r="233" spans="5:35" x14ac:dyDescent="0.45">
      <c r="E233" t="s">
        <v>246</v>
      </c>
      <c r="G233" t="s">
        <v>152</v>
      </c>
      <c r="I233" t="s">
        <v>249</v>
      </c>
      <c r="J233" t="s">
        <v>730</v>
      </c>
      <c r="K233">
        <v>5.8262666015641711E-5</v>
      </c>
      <c r="L233" t="s">
        <v>251</v>
      </c>
      <c r="N233" t="s">
        <v>419</v>
      </c>
      <c r="O233" t="s">
        <v>730</v>
      </c>
      <c r="P233">
        <v>1.6776705807999999E-4</v>
      </c>
      <c r="Q233" t="s">
        <v>251</v>
      </c>
      <c r="S233" t="s">
        <v>420</v>
      </c>
      <c r="T233" t="s">
        <v>730</v>
      </c>
      <c r="U233">
        <v>1.3729422695060001E-4</v>
      </c>
      <c r="V233" t="s">
        <v>251</v>
      </c>
      <c r="X233">
        <v>1.1415525114155251E-4</v>
      </c>
      <c r="Y233">
        <v>1.6905750441289813E-4</v>
      </c>
      <c r="Z233" t="s">
        <v>730</v>
      </c>
      <c r="AA233" t="s">
        <v>25</v>
      </c>
      <c r="AC233" t="s">
        <v>22</v>
      </c>
      <c r="AD233" t="s">
        <v>730</v>
      </c>
      <c r="AE233">
        <v>1.2970030083602998E-4</v>
      </c>
      <c r="AG233" t="s">
        <v>99</v>
      </c>
      <c r="AH233" t="s">
        <v>730</v>
      </c>
      <c r="AI233">
        <v>0</v>
      </c>
    </row>
    <row r="234" spans="5:35" x14ac:dyDescent="0.45">
      <c r="E234" t="s">
        <v>247</v>
      </c>
      <c r="G234" t="s">
        <v>152</v>
      </c>
      <c r="I234" t="s">
        <v>249</v>
      </c>
      <c r="J234" t="s">
        <v>731</v>
      </c>
      <c r="K234">
        <v>1.9731753578619999E-4</v>
      </c>
      <c r="L234" t="s">
        <v>251</v>
      </c>
      <c r="N234" t="s">
        <v>419</v>
      </c>
      <c r="O234" t="s">
        <v>731</v>
      </c>
      <c r="P234">
        <v>1.6261463275369999E-4</v>
      </c>
      <c r="Q234" t="s">
        <v>251</v>
      </c>
      <c r="S234" t="s">
        <v>420</v>
      </c>
      <c r="T234" t="s">
        <v>731</v>
      </c>
      <c r="U234">
        <v>1.2311583972669999E-4</v>
      </c>
      <c r="V234" t="s">
        <v>251</v>
      </c>
      <c r="X234">
        <v>1.1415525114155251E-4</v>
      </c>
      <c r="Y234">
        <v>1.9060404909297337E-4</v>
      </c>
      <c r="Z234" t="s">
        <v>731</v>
      </c>
      <c r="AA234" t="s">
        <v>25</v>
      </c>
      <c r="AC234" t="s">
        <v>22</v>
      </c>
      <c r="AD234" t="s">
        <v>731</v>
      </c>
      <c r="AE234">
        <v>1.3115970781594981E-4</v>
      </c>
      <c r="AG234" t="s">
        <v>99</v>
      </c>
      <c r="AH234" t="s">
        <v>731</v>
      </c>
      <c r="AI234">
        <v>0</v>
      </c>
    </row>
    <row r="235" spans="5:35" x14ac:dyDescent="0.45">
      <c r="I235" t="s">
        <v>249</v>
      </c>
      <c r="J235" t="s">
        <v>732</v>
      </c>
      <c r="K235">
        <v>2.657555069405E-4</v>
      </c>
      <c r="L235" t="s">
        <v>251</v>
      </c>
      <c r="N235" t="s">
        <v>419</v>
      </c>
      <c r="O235" t="s">
        <v>732</v>
      </c>
      <c r="P235">
        <v>1.6557543408190001E-4</v>
      </c>
      <c r="Q235" t="s">
        <v>251</v>
      </c>
      <c r="S235" t="s">
        <v>420</v>
      </c>
      <c r="T235" t="s">
        <v>732</v>
      </c>
      <c r="U235">
        <v>1.115611857815E-4</v>
      </c>
      <c r="V235" t="s">
        <v>251</v>
      </c>
      <c r="X235">
        <v>1.1415525114155251E-4</v>
      </c>
      <c r="Y235">
        <v>1.4585353321897094E-4</v>
      </c>
      <c r="Z235" t="s">
        <v>732</v>
      </c>
      <c r="AA235" t="s">
        <v>25</v>
      </c>
      <c r="AC235" t="s">
        <v>22</v>
      </c>
      <c r="AD235" t="s">
        <v>732</v>
      </c>
      <c r="AE235">
        <v>1.3149924331740053E-4</v>
      </c>
      <c r="AG235" t="s">
        <v>99</v>
      </c>
      <c r="AH235" t="s">
        <v>732</v>
      </c>
      <c r="AI235">
        <v>0</v>
      </c>
    </row>
    <row r="236" spans="5:35" x14ac:dyDescent="0.45">
      <c r="I236" t="s">
        <v>249</v>
      </c>
      <c r="J236" t="s">
        <v>733</v>
      </c>
      <c r="K236">
        <v>2.9376677547199997E-4</v>
      </c>
      <c r="L236" t="s">
        <v>251</v>
      </c>
      <c r="N236" t="s">
        <v>419</v>
      </c>
      <c r="O236" t="s">
        <v>733</v>
      </c>
      <c r="P236">
        <v>1.741227882448E-4</v>
      </c>
      <c r="Q236" t="s">
        <v>251</v>
      </c>
      <c r="S236" t="s">
        <v>420</v>
      </c>
      <c r="T236" t="s">
        <v>733</v>
      </c>
      <c r="U236">
        <v>1.02685047563E-4</v>
      </c>
      <c r="V236" t="s">
        <v>251</v>
      </c>
      <c r="X236">
        <v>1.1415525114155251E-4</v>
      </c>
      <c r="Y236">
        <v>1.4452759200788939E-4</v>
      </c>
      <c r="Z236" t="s">
        <v>733</v>
      </c>
      <c r="AA236" t="s">
        <v>25</v>
      </c>
      <c r="AC236" t="s">
        <v>22</v>
      </c>
      <c r="AD236" t="s">
        <v>733</v>
      </c>
      <c r="AE236">
        <v>1.324344551371859E-4</v>
      </c>
      <c r="AG236" t="s">
        <v>99</v>
      </c>
      <c r="AH236" t="s">
        <v>733</v>
      </c>
      <c r="AI236">
        <v>0</v>
      </c>
    </row>
    <row r="237" spans="5:35" x14ac:dyDescent="0.45">
      <c r="I237" t="s">
        <v>249</v>
      </c>
      <c r="J237" t="s">
        <v>734</v>
      </c>
      <c r="K237">
        <v>3.072856503976E-4</v>
      </c>
      <c r="L237" t="s">
        <v>251</v>
      </c>
      <c r="N237" t="s">
        <v>419</v>
      </c>
      <c r="O237" t="s">
        <v>734</v>
      </c>
      <c r="P237">
        <v>2.0595028265489999E-4</v>
      </c>
      <c r="Q237" t="s">
        <v>251</v>
      </c>
      <c r="S237" t="s">
        <v>420</v>
      </c>
      <c r="T237" t="s">
        <v>734</v>
      </c>
      <c r="U237">
        <v>1.018477892036E-4</v>
      </c>
      <c r="V237" t="s">
        <v>251</v>
      </c>
      <c r="X237">
        <v>1.1415525114155251E-4</v>
      </c>
      <c r="Y237">
        <v>1.408812536774151E-4</v>
      </c>
      <c r="Z237" t="s">
        <v>734</v>
      </c>
      <c r="AA237" t="s">
        <v>25</v>
      </c>
      <c r="AC237" t="s">
        <v>22</v>
      </c>
      <c r="AD237" t="s">
        <v>734</v>
      </c>
      <c r="AE237">
        <v>1.3110609694729966E-4</v>
      </c>
      <c r="AG237" t="s">
        <v>99</v>
      </c>
      <c r="AH237" t="s">
        <v>734</v>
      </c>
      <c r="AI237">
        <v>0</v>
      </c>
    </row>
    <row r="238" spans="5:35" x14ac:dyDescent="0.45">
      <c r="I238" t="s">
        <v>249</v>
      </c>
      <c r="J238" t="s">
        <v>735</v>
      </c>
      <c r="K238">
        <v>3.2454875530300002E-4</v>
      </c>
      <c r="L238" t="s">
        <v>251</v>
      </c>
      <c r="N238" t="s">
        <v>419</v>
      </c>
      <c r="O238" t="s">
        <v>735</v>
      </c>
      <c r="P238">
        <v>2.385998666063E-4</v>
      </c>
      <c r="Q238" t="s">
        <v>251</v>
      </c>
      <c r="S238" t="s">
        <v>420</v>
      </c>
      <c r="T238" t="s">
        <v>735</v>
      </c>
      <c r="U238">
        <v>1.044274806948E-4</v>
      </c>
      <c r="V238" t="s">
        <v>251</v>
      </c>
      <c r="X238">
        <v>1.1415525114155251E-4</v>
      </c>
      <c r="Y238">
        <v>1.4054976837464471E-4</v>
      </c>
      <c r="Z238" t="s">
        <v>735</v>
      </c>
      <c r="AA238" t="s">
        <v>25</v>
      </c>
      <c r="AC238" t="s">
        <v>22</v>
      </c>
      <c r="AD238" t="s">
        <v>735</v>
      </c>
      <c r="AE238">
        <v>1.2806219096060976E-4</v>
      </c>
      <c r="AG238" t="s">
        <v>99</v>
      </c>
      <c r="AH238" t="s">
        <v>735</v>
      </c>
      <c r="AI238">
        <v>0</v>
      </c>
    </row>
    <row r="239" spans="5:35" x14ac:dyDescent="0.45">
      <c r="I239" t="s">
        <v>249</v>
      </c>
      <c r="J239" t="s">
        <v>736</v>
      </c>
      <c r="K239">
        <v>3.4047736206799998E-4</v>
      </c>
      <c r="L239" t="s">
        <v>251</v>
      </c>
      <c r="N239" t="s">
        <v>419</v>
      </c>
      <c r="O239" t="s">
        <v>736</v>
      </c>
      <c r="P239">
        <v>2.409868576051E-4</v>
      </c>
      <c r="Q239" t="s">
        <v>251</v>
      </c>
      <c r="S239" t="s">
        <v>420</v>
      </c>
      <c r="T239" t="s">
        <v>736</v>
      </c>
      <c r="U239">
        <v>9.2836781814732559E-5</v>
      </c>
      <c r="V239" t="s">
        <v>251</v>
      </c>
      <c r="X239">
        <v>1.1415525114155251E-4</v>
      </c>
      <c r="Y239">
        <v>1.4253868019126702E-4</v>
      </c>
      <c r="Z239" t="s">
        <v>736</v>
      </c>
      <c r="AA239" t="s">
        <v>25</v>
      </c>
      <c r="AC239" t="s">
        <v>22</v>
      </c>
      <c r="AD239" t="s">
        <v>736</v>
      </c>
      <c r="AE239">
        <v>1.2411285697005122E-4</v>
      </c>
      <c r="AG239" t="s">
        <v>99</v>
      </c>
      <c r="AH239" t="s">
        <v>736</v>
      </c>
      <c r="AI239">
        <v>0</v>
      </c>
    </row>
    <row r="240" spans="5:35" x14ac:dyDescent="0.45">
      <c r="I240" t="s">
        <v>249</v>
      </c>
      <c r="J240" t="s">
        <v>737</v>
      </c>
      <c r="K240">
        <v>3.2735046282629998E-4</v>
      </c>
      <c r="L240" t="s">
        <v>251</v>
      </c>
      <c r="N240" t="s">
        <v>419</v>
      </c>
      <c r="O240" t="s">
        <v>737</v>
      </c>
      <c r="P240">
        <v>2.359605659372E-4</v>
      </c>
      <c r="Q240" t="s">
        <v>251</v>
      </c>
      <c r="S240" t="s">
        <v>420</v>
      </c>
      <c r="T240" t="s">
        <v>737</v>
      </c>
      <c r="U240">
        <v>8.8608408676878054E-5</v>
      </c>
      <c r="V240" t="s">
        <v>251</v>
      </c>
      <c r="X240">
        <v>1.1415525114155251E-4</v>
      </c>
      <c r="Y240">
        <v>1.4883690094390442E-4</v>
      </c>
      <c r="Z240" t="s">
        <v>737</v>
      </c>
      <c r="AA240" t="s">
        <v>25</v>
      </c>
      <c r="AC240" t="s">
        <v>22</v>
      </c>
      <c r="AD240" t="s">
        <v>737</v>
      </c>
      <c r="AE240">
        <v>1.1124029173084E-4</v>
      </c>
      <c r="AG240" t="s">
        <v>99</v>
      </c>
      <c r="AH240" t="s">
        <v>737</v>
      </c>
      <c r="AI240">
        <v>0</v>
      </c>
    </row>
    <row r="241" spans="9:35" x14ac:dyDescent="0.45">
      <c r="I241" t="s">
        <v>249</v>
      </c>
      <c r="J241" t="s">
        <v>738</v>
      </c>
      <c r="K241">
        <v>3.1123859559760002E-4</v>
      </c>
      <c r="L241" t="s">
        <v>251</v>
      </c>
      <c r="N241" t="s">
        <v>419</v>
      </c>
      <c r="O241" t="s">
        <v>738</v>
      </c>
      <c r="P241">
        <v>2.2848667511440001E-4</v>
      </c>
      <c r="Q241" t="s">
        <v>251</v>
      </c>
      <c r="S241" t="s">
        <v>420</v>
      </c>
      <c r="T241" t="s">
        <v>738</v>
      </c>
      <c r="U241">
        <v>9.1182505960756062E-5</v>
      </c>
      <c r="V241" t="s">
        <v>251</v>
      </c>
      <c r="X241">
        <v>1.1415525114155251E-4</v>
      </c>
      <c r="Y241">
        <v>1.5049432745775637E-4</v>
      </c>
      <c r="Z241" t="s">
        <v>738</v>
      </c>
      <c r="AA241" t="s">
        <v>25</v>
      </c>
      <c r="AC241" t="s">
        <v>22</v>
      </c>
      <c r="AD241" t="s">
        <v>738</v>
      </c>
      <c r="AE241">
        <v>1.0576602636534482E-4</v>
      </c>
      <c r="AG241" t="s">
        <v>99</v>
      </c>
      <c r="AH241" t="s">
        <v>738</v>
      </c>
      <c r="AI241">
        <v>0</v>
      </c>
    </row>
    <row r="242" spans="9:35" x14ac:dyDescent="0.45">
      <c r="I242" t="s">
        <v>249</v>
      </c>
      <c r="J242" t="s">
        <v>739</v>
      </c>
      <c r="K242">
        <v>2.9539449883559998E-4</v>
      </c>
      <c r="L242" t="s">
        <v>251</v>
      </c>
      <c r="N242" t="s">
        <v>419</v>
      </c>
      <c r="O242" t="s">
        <v>739</v>
      </c>
      <c r="P242">
        <v>2.2604887794090001E-4</v>
      </c>
      <c r="Q242" t="s">
        <v>251</v>
      </c>
      <c r="S242" t="s">
        <v>420</v>
      </c>
      <c r="T242" t="s">
        <v>739</v>
      </c>
      <c r="U242">
        <v>9.4440480287186362E-5</v>
      </c>
      <c r="V242" t="s">
        <v>251</v>
      </c>
      <c r="X242">
        <v>1.1415525114155251E-4</v>
      </c>
      <c r="Y242">
        <v>1.7237235744060203E-4</v>
      </c>
      <c r="Z242" t="s">
        <v>739</v>
      </c>
      <c r="AA242" t="s">
        <v>25</v>
      </c>
      <c r="AC242" t="s">
        <v>22</v>
      </c>
      <c r="AD242" t="s">
        <v>739</v>
      </c>
      <c r="AE242">
        <v>9.0063998614044139E-5</v>
      </c>
      <c r="AG242" t="s">
        <v>99</v>
      </c>
      <c r="AH242" t="s">
        <v>739</v>
      </c>
      <c r="AI242">
        <v>0</v>
      </c>
    </row>
    <row r="243" spans="9:35" x14ac:dyDescent="0.45">
      <c r="I243" t="s">
        <v>249</v>
      </c>
      <c r="J243" t="s">
        <v>740</v>
      </c>
      <c r="K243">
        <v>2.6493231668940002E-4</v>
      </c>
      <c r="L243" t="s">
        <v>251</v>
      </c>
      <c r="N243" t="s">
        <v>419</v>
      </c>
      <c r="O243" t="s">
        <v>740</v>
      </c>
      <c r="P243">
        <v>2.2303351567329999E-4</v>
      </c>
      <c r="Q243" t="s">
        <v>251</v>
      </c>
      <c r="S243" t="s">
        <v>420</v>
      </c>
      <c r="T243" t="s">
        <v>740</v>
      </c>
      <c r="U243">
        <v>1.120979148148E-4</v>
      </c>
      <c r="V243" t="s">
        <v>251</v>
      </c>
      <c r="X243">
        <v>1.1415525114155251E-4</v>
      </c>
      <c r="Y243">
        <v>2.2209515285616027E-4</v>
      </c>
      <c r="Z243" t="s">
        <v>740</v>
      </c>
      <c r="AA243" t="s">
        <v>25</v>
      </c>
      <c r="AC243" t="s">
        <v>22</v>
      </c>
      <c r="AD243" t="s">
        <v>740</v>
      </c>
      <c r="AE243">
        <v>8.3249461532296053E-5</v>
      </c>
      <c r="AG243" t="s">
        <v>99</v>
      </c>
      <c r="AH243" t="s">
        <v>740</v>
      </c>
      <c r="AI243">
        <v>0</v>
      </c>
    </row>
    <row r="244" spans="9:35" x14ac:dyDescent="0.45">
      <c r="I244" t="s">
        <v>249</v>
      </c>
      <c r="J244" t="s">
        <v>741</v>
      </c>
      <c r="K244">
        <v>2.11191344271E-4</v>
      </c>
      <c r="L244" t="s">
        <v>251</v>
      </c>
      <c r="N244" t="s">
        <v>419</v>
      </c>
      <c r="O244" t="s">
        <v>741</v>
      </c>
      <c r="P244">
        <v>2.0741448880470001E-4</v>
      </c>
      <c r="Q244" t="s">
        <v>251</v>
      </c>
      <c r="S244" t="s">
        <v>420</v>
      </c>
      <c r="T244" t="s">
        <v>741</v>
      </c>
      <c r="U244">
        <v>1.217776706618E-4</v>
      </c>
      <c r="V244" t="s">
        <v>251</v>
      </c>
      <c r="X244">
        <v>1.1415525114155251E-4</v>
      </c>
      <c r="Y244">
        <v>2.2209515285616027E-4</v>
      </c>
      <c r="Z244" t="s">
        <v>741</v>
      </c>
      <c r="AA244" t="s">
        <v>25</v>
      </c>
      <c r="AC244" t="s">
        <v>22</v>
      </c>
      <c r="AD244" t="s">
        <v>741</v>
      </c>
      <c r="AE244">
        <v>7.9169078751703889E-5</v>
      </c>
      <c r="AG244" t="s">
        <v>99</v>
      </c>
      <c r="AH244" t="s">
        <v>741</v>
      </c>
      <c r="AI244">
        <v>0</v>
      </c>
    </row>
    <row r="245" spans="9:35" x14ac:dyDescent="0.45">
      <c r="I245" t="s">
        <v>249</v>
      </c>
      <c r="J245" t="s">
        <v>742</v>
      </c>
      <c r="K245">
        <v>8.5118112516982636E-5</v>
      </c>
      <c r="L245" t="s">
        <v>251</v>
      </c>
      <c r="N245" t="s">
        <v>419</v>
      </c>
      <c r="O245" t="s">
        <v>742</v>
      </c>
      <c r="P245">
        <v>1.9362901254770001E-4</v>
      </c>
      <c r="Q245" t="s">
        <v>251</v>
      </c>
      <c r="S245" t="s">
        <v>420</v>
      </c>
      <c r="T245" t="s">
        <v>742</v>
      </c>
      <c r="U245">
        <v>1.185006396777E-4</v>
      </c>
      <c r="V245" t="s">
        <v>251</v>
      </c>
      <c r="X245">
        <v>1.1415525114155251E-4</v>
      </c>
      <c r="Y245">
        <v>1.7237235744060203E-4</v>
      </c>
      <c r="Z245" t="s">
        <v>742</v>
      </c>
      <c r="AA245" t="s">
        <v>25</v>
      </c>
      <c r="AC245" t="s">
        <v>22</v>
      </c>
      <c r="AD245" t="s">
        <v>742</v>
      </c>
      <c r="AE245">
        <v>7.9675403622288314E-5</v>
      </c>
      <c r="AG245" t="s">
        <v>99</v>
      </c>
      <c r="AH245" t="s">
        <v>742</v>
      </c>
      <c r="AI245">
        <v>0</v>
      </c>
    </row>
    <row r="246" spans="9:35" x14ac:dyDescent="0.45">
      <c r="I246" t="s">
        <v>249</v>
      </c>
      <c r="J246" t="s">
        <v>743</v>
      </c>
      <c r="K246">
        <v>0</v>
      </c>
      <c r="L246" t="s">
        <v>251</v>
      </c>
      <c r="N246" t="s">
        <v>419</v>
      </c>
      <c r="O246" t="s">
        <v>743</v>
      </c>
      <c r="P246">
        <v>1.906499114103E-4</v>
      </c>
      <c r="Q246" t="s">
        <v>251</v>
      </c>
      <c r="S246" t="s">
        <v>420</v>
      </c>
      <c r="T246" t="s">
        <v>743</v>
      </c>
      <c r="U246">
        <v>1.1279069880350001E-4</v>
      </c>
      <c r="V246" t="s">
        <v>251</v>
      </c>
      <c r="X246">
        <v>1.1415525114155251E-4</v>
      </c>
      <c r="Y246">
        <v>1.5579809230208258E-4</v>
      </c>
      <c r="Z246" t="s">
        <v>743</v>
      </c>
      <c r="AA246" t="s">
        <v>25</v>
      </c>
      <c r="AC246" t="s">
        <v>22</v>
      </c>
      <c r="AD246" t="s">
        <v>743</v>
      </c>
      <c r="AE246">
        <v>8.1462432577292183E-5</v>
      </c>
      <c r="AG246" t="s">
        <v>99</v>
      </c>
      <c r="AH246" t="s">
        <v>743</v>
      </c>
      <c r="AI246">
        <v>0</v>
      </c>
    </row>
    <row r="247" spans="9:35" x14ac:dyDescent="0.45">
      <c r="I247" t="s">
        <v>249</v>
      </c>
      <c r="J247" t="s">
        <v>744</v>
      </c>
      <c r="K247">
        <v>0</v>
      </c>
      <c r="L247" t="s">
        <v>251</v>
      </c>
      <c r="N247" t="s">
        <v>419</v>
      </c>
      <c r="O247" t="s">
        <v>744</v>
      </c>
      <c r="P247">
        <v>1.9772312165279999E-4</v>
      </c>
      <c r="Q247" t="s">
        <v>251</v>
      </c>
      <c r="S247" t="s">
        <v>420</v>
      </c>
      <c r="T247" t="s">
        <v>744</v>
      </c>
      <c r="U247">
        <v>1.2283911261829999E-4</v>
      </c>
      <c r="V247" t="s">
        <v>251</v>
      </c>
      <c r="X247">
        <v>1.1415525114155251E-4</v>
      </c>
      <c r="Y247">
        <v>1.093901499142282E-4</v>
      </c>
      <c r="Z247" t="s">
        <v>744</v>
      </c>
      <c r="AA247" t="s">
        <v>25</v>
      </c>
      <c r="AC247" t="s">
        <v>22</v>
      </c>
      <c r="AD247" t="s">
        <v>744</v>
      </c>
      <c r="AE247">
        <v>9.2923244942050344E-5</v>
      </c>
      <c r="AG247" t="s">
        <v>99</v>
      </c>
      <c r="AH247" t="s">
        <v>744</v>
      </c>
      <c r="AI247">
        <v>0</v>
      </c>
    </row>
    <row r="248" spans="9:35" x14ac:dyDescent="0.45">
      <c r="I248" t="s">
        <v>249</v>
      </c>
      <c r="J248" t="s">
        <v>745</v>
      </c>
      <c r="K248">
        <v>0</v>
      </c>
      <c r="L248" t="s">
        <v>251</v>
      </c>
      <c r="N248" t="s">
        <v>419</v>
      </c>
      <c r="O248" t="s">
        <v>745</v>
      </c>
      <c r="P248">
        <v>2.1147367806700001E-4</v>
      </c>
      <c r="Q248" t="s">
        <v>251</v>
      </c>
      <c r="S248" t="s">
        <v>420</v>
      </c>
      <c r="T248" t="s">
        <v>745</v>
      </c>
      <c r="U248">
        <v>1.3222754627220001E-4</v>
      </c>
      <c r="V248" t="s">
        <v>251</v>
      </c>
      <c r="X248">
        <v>1.1415525114155251E-4</v>
      </c>
      <c r="Y248">
        <v>7.9556472664893237E-5</v>
      </c>
      <c r="Z248" t="s">
        <v>745</v>
      </c>
      <c r="AA248" t="s">
        <v>25</v>
      </c>
      <c r="AC248" t="s">
        <v>22</v>
      </c>
      <c r="AD248" t="s">
        <v>745</v>
      </c>
      <c r="AE248">
        <v>1.0679058963288039E-4</v>
      </c>
      <c r="AG248" t="s">
        <v>99</v>
      </c>
      <c r="AH248" t="s">
        <v>745</v>
      </c>
      <c r="AI248">
        <v>0</v>
      </c>
    </row>
    <row r="249" spans="9:35" x14ac:dyDescent="0.45">
      <c r="I249" t="s">
        <v>249</v>
      </c>
      <c r="J249" t="s">
        <v>746</v>
      </c>
      <c r="K249">
        <v>0</v>
      </c>
      <c r="L249" t="s">
        <v>251</v>
      </c>
      <c r="N249" t="s">
        <v>419</v>
      </c>
      <c r="O249" t="s">
        <v>746</v>
      </c>
      <c r="P249">
        <v>2.2300668261329999E-4</v>
      </c>
      <c r="Q249" t="s">
        <v>251</v>
      </c>
      <c r="S249" t="s">
        <v>420</v>
      </c>
      <c r="T249" t="s">
        <v>746</v>
      </c>
      <c r="U249">
        <v>1.4158805117969999E-4</v>
      </c>
      <c r="V249" t="s">
        <v>251</v>
      </c>
      <c r="X249">
        <v>1.1415525114155251E-4</v>
      </c>
      <c r="Y249">
        <v>5.6352501470966035E-5</v>
      </c>
      <c r="Z249" t="s">
        <v>746</v>
      </c>
      <c r="AA249" t="s">
        <v>25</v>
      </c>
      <c r="AC249" t="s">
        <v>22</v>
      </c>
      <c r="AD249" t="s">
        <v>746</v>
      </c>
      <c r="AE249">
        <v>1.1953210608205797E-4</v>
      </c>
      <c r="AG249" t="s">
        <v>99</v>
      </c>
      <c r="AH249" t="s">
        <v>746</v>
      </c>
      <c r="AI249">
        <v>0</v>
      </c>
    </row>
    <row r="250" spans="9:35" x14ac:dyDescent="0.45">
      <c r="I250" t="s">
        <v>249</v>
      </c>
      <c r="J250" t="s">
        <v>747</v>
      </c>
      <c r="K250">
        <v>0</v>
      </c>
      <c r="L250" t="s">
        <v>251</v>
      </c>
      <c r="N250" t="s">
        <v>419</v>
      </c>
      <c r="O250" t="s">
        <v>747</v>
      </c>
      <c r="P250">
        <v>2.2793869997519999E-4</v>
      </c>
      <c r="Q250" t="s">
        <v>251</v>
      </c>
      <c r="S250" t="s">
        <v>420</v>
      </c>
      <c r="T250" t="s">
        <v>747</v>
      </c>
      <c r="U250">
        <v>1.432977025236E-4</v>
      </c>
      <c r="V250" t="s">
        <v>251</v>
      </c>
      <c r="X250">
        <v>1.1415525114155251E-4</v>
      </c>
      <c r="Y250">
        <v>2.9833677249334962E-5</v>
      </c>
      <c r="Z250" t="s">
        <v>747</v>
      </c>
      <c r="AA250" t="s">
        <v>25</v>
      </c>
      <c r="AC250" t="s">
        <v>22</v>
      </c>
      <c r="AD250" t="s">
        <v>747</v>
      </c>
      <c r="AE250">
        <v>1.2946203030869609E-4</v>
      </c>
      <c r="AG250" t="s">
        <v>99</v>
      </c>
      <c r="AH250" t="s">
        <v>747</v>
      </c>
      <c r="AI250">
        <v>0</v>
      </c>
    </row>
    <row r="251" spans="9:35" x14ac:dyDescent="0.45">
      <c r="I251" t="s">
        <v>249</v>
      </c>
      <c r="J251" t="s">
        <v>395</v>
      </c>
      <c r="K251">
        <v>0</v>
      </c>
      <c r="L251" t="s">
        <v>251</v>
      </c>
      <c r="N251" t="s">
        <v>419</v>
      </c>
      <c r="O251" t="s">
        <v>395</v>
      </c>
      <c r="P251">
        <v>3.0627488718793734E-2</v>
      </c>
      <c r="Q251" t="s">
        <v>251</v>
      </c>
      <c r="S251" t="s">
        <v>420</v>
      </c>
      <c r="T251" t="s">
        <v>395</v>
      </c>
      <c r="U251">
        <v>2.5638635867543599E-2</v>
      </c>
      <c r="V251" t="s">
        <v>251</v>
      </c>
      <c r="X251">
        <v>2.0547945205479451E-2</v>
      </c>
      <c r="Y251">
        <v>4.3954951147353507E-3</v>
      </c>
      <c r="Z251" t="s">
        <v>395</v>
      </c>
      <c r="AA251" t="s">
        <v>25</v>
      </c>
      <c r="AC251" t="s">
        <v>22</v>
      </c>
      <c r="AD251" t="s">
        <v>395</v>
      </c>
      <c r="AE251">
        <v>2.2530872276189502E-2</v>
      </c>
      <c r="AG251" t="s">
        <v>99</v>
      </c>
      <c r="AH251" t="s">
        <v>395</v>
      </c>
      <c r="AI251">
        <v>4.594247187209155E-2</v>
      </c>
    </row>
    <row r="252" spans="9:35" x14ac:dyDescent="0.45">
      <c r="I252" t="s">
        <v>249</v>
      </c>
      <c r="J252" t="s">
        <v>396</v>
      </c>
      <c r="K252">
        <v>2.6653139422987289E-3</v>
      </c>
      <c r="L252" t="s">
        <v>251</v>
      </c>
      <c r="N252" t="s">
        <v>419</v>
      </c>
      <c r="O252" t="s">
        <v>396</v>
      </c>
      <c r="P252">
        <v>4.6633432338583636E-3</v>
      </c>
      <c r="Q252" t="s">
        <v>251</v>
      </c>
      <c r="S252" t="s">
        <v>420</v>
      </c>
      <c r="T252" t="s">
        <v>396</v>
      </c>
      <c r="U252">
        <v>4.1256566456295534E-3</v>
      </c>
      <c r="V252" t="s">
        <v>251</v>
      </c>
      <c r="X252">
        <v>3.4246575342465752E-3</v>
      </c>
      <c r="Y252">
        <v>5.0717251323869452E-3</v>
      </c>
      <c r="Z252" t="s">
        <v>396</v>
      </c>
      <c r="AA252" t="s">
        <v>25</v>
      </c>
      <c r="AC252" t="s">
        <v>22</v>
      </c>
      <c r="AD252" t="s">
        <v>396</v>
      </c>
      <c r="AE252">
        <v>3.7926024990556618E-3</v>
      </c>
      <c r="AG252" t="s">
        <v>99</v>
      </c>
      <c r="AH252" t="s">
        <v>396</v>
      </c>
      <c r="AI252">
        <v>4.0365480220208028E-2</v>
      </c>
    </row>
    <row r="253" spans="9:35" x14ac:dyDescent="0.45">
      <c r="I253" t="s">
        <v>249</v>
      </c>
      <c r="J253" t="s">
        <v>397</v>
      </c>
      <c r="K253">
        <v>6.7483602709457998E-3</v>
      </c>
      <c r="L253" t="s">
        <v>251</v>
      </c>
      <c r="N253" t="s">
        <v>419</v>
      </c>
      <c r="O253" t="s">
        <v>397</v>
      </c>
      <c r="P253">
        <v>4.095618859522779E-3</v>
      </c>
      <c r="Q253" t="s">
        <v>251</v>
      </c>
      <c r="S253" t="s">
        <v>420</v>
      </c>
      <c r="T253" t="s">
        <v>397</v>
      </c>
      <c r="U253">
        <v>4.1678165920384031E-3</v>
      </c>
      <c r="V253" t="s">
        <v>251</v>
      </c>
      <c r="X253">
        <v>3.4246575342465752E-3</v>
      </c>
      <c r="Y253">
        <v>5.7181214727892006E-3</v>
      </c>
      <c r="Z253" t="s">
        <v>397</v>
      </c>
      <c r="AA253" t="s">
        <v>25</v>
      </c>
      <c r="AC253" t="s">
        <v>22</v>
      </c>
      <c r="AD253" t="s">
        <v>397</v>
      </c>
      <c r="AE253">
        <v>3.8066008925365263E-3</v>
      </c>
      <c r="AG253" t="s">
        <v>99</v>
      </c>
      <c r="AH253" t="s">
        <v>397</v>
      </c>
      <c r="AI253">
        <v>3.5078175391929145E-2</v>
      </c>
    </row>
    <row r="254" spans="9:35" x14ac:dyDescent="0.45">
      <c r="I254" t="s">
        <v>249</v>
      </c>
      <c r="J254" t="s">
        <v>398</v>
      </c>
      <c r="K254">
        <v>5.7239438233960202E-2</v>
      </c>
      <c r="L254" t="s">
        <v>251</v>
      </c>
      <c r="N254" t="s">
        <v>419</v>
      </c>
      <c r="O254" t="s">
        <v>398</v>
      </c>
      <c r="P254">
        <v>1.9862343010742717E-2</v>
      </c>
      <c r="Q254" t="s">
        <v>251</v>
      </c>
      <c r="S254" t="s">
        <v>420</v>
      </c>
      <c r="T254" t="s">
        <v>398</v>
      </c>
      <c r="U254">
        <v>2.5586813941739242E-2</v>
      </c>
      <c r="V254" t="s">
        <v>251</v>
      </c>
      <c r="X254">
        <v>2.0547945205479451E-2</v>
      </c>
      <c r="Y254">
        <v>2.5895631852422749E-2</v>
      </c>
      <c r="Z254" t="s">
        <v>398</v>
      </c>
      <c r="AA254" t="s">
        <v>25</v>
      </c>
      <c r="AC254" t="s">
        <v>22</v>
      </c>
      <c r="AD254" t="s">
        <v>398</v>
      </c>
      <c r="AE254">
        <v>2.1430890429989604E-2</v>
      </c>
      <c r="AG254" t="s">
        <v>99</v>
      </c>
      <c r="AH254" t="s">
        <v>398</v>
      </c>
      <c r="AI254">
        <v>8.684579141729265E-2</v>
      </c>
    </row>
    <row r="255" spans="9:35" x14ac:dyDescent="0.45">
      <c r="I255" t="s">
        <v>249</v>
      </c>
      <c r="J255" t="s">
        <v>399</v>
      </c>
      <c r="K255">
        <v>2.61914239146957E-2</v>
      </c>
      <c r="L255" t="s">
        <v>251</v>
      </c>
      <c r="N255" t="s">
        <v>419</v>
      </c>
      <c r="O255" t="s">
        <v>399</v>
      </c>
      <c r="P255">
        <v>9.2764218858184776E-3</v>
      </c>
      <c r="Q255" t="s">
        <v>251</v>
      </c>
      <c r="S255" t="s">
        <v>420</v>
      </c>
      <c r="T255" t="s">
        <v>399</v>
      </c>
      <c r="U255">
        <v>1.3262688910626635E-2</v>
      </c>
      <c r="V255" t="s">
        <v>251</v>
      </c>
      <c r="X255">
        <v>1.0273972602739725E-2</v>
      </c>
      <c r="Y255">
        <v>1.6348855132635558E-2</v>
      </c>
      <c r="Z255" t="s">
        <v>399</v>
      </c>
      <c r="AA255" t="s">
        <v>25</v>
      </c>
      <c r="AC255" t="s">
        <v>22</v>
      </c>
      <c r="AD255" t="s">
        <v>399</v>
      </c>
      <c r="AE255">
        <v>7.5906404275118524E-3</v>
      </c>
      <c r="AG255" t="s">
        <v>99</v>
      </c>
      <c r="AH255" t="s">
        <v>399</v>
      </c>
      <c r="AI255">
        <v>0.1412091766243424</v>
      </c>
    </row>
    <row r="256" spans="9:35" x14ac:dyDescent="0.45">
      <c r="I256" t="s">
        <v>249</v>
      </c>
      <c r="J256" t="s">
        <v>400</v>
      </c>
      <c r="K256">
        <v>6.5113088301887003E-3</v>
      </c>
      <c r="L256" t="s">
        <v>251</v>
      </c>
      <c r="N256" t="s">
        <v>419</v>
      </c>
      <c r="O256" t="s">
        <v>400</v>
      </c>
      <c r="P256">
        <v>3.1649352220356345E-3</v>
      </c>
      <c r="Q256" t="s">
        <v>251</v>
      </c>
      <c r="S256" t="s">
        <v>420</v>
      </c>
      <c r="T256" t="s">
        <v>400</v>
      </c>
      <c r="U256">
        <v>4.3597186976578493E-3</v>
      </c>
      <c r="V256" t="s">
        <v>251</v>
      </c>
      <c r="X256">
        <v>3.4246575342465752E-3</v>
      </c>
      <c r="Y256">
        <v>6.662854585684809E-3</v>
      </c>
      <c r="Z256" t="s">
        <v>400</v>
      </c>
      <c r="AA256" t="s">
        <v>25</v>
      </c>
      <c r="AC256" t="s">
        <v>22</v>
      </c>
      <c r="AD256" t="s">
        <v>400</v>
      </c>
      <c r="AE256">
        <v>2.3698415262397815E-3</v>
      </c>
      <c r="AG256" t="s">
        <v>99</v>
      </c>
      <c r="AH256" t="s">
        <v>400</v>
      </c>
      <c r="AI256">
        <v>1.312106491437115E-2</v>
      </c>
    </row>
    <row r="257" spans="9:35" x14ac:dyDescent="0.45">
      <c r="I257" t="s">
        <v>249</v>
      </c>
      <c r="J257" t="s">
        <v>401</v>
      </c>
      <c r="K257">
        <v>3.21970922641548E-3</v>
      </c>
      <c r="L257" t="s">
        <v>251</v>
      </c>
      <c r="N257" t="s">
        <v>419</v>
      </c>
      <c r="O257" t="s">
        <v>401</v>
      </c>
      <c r="P257">
        <v>3.141976052864418E-3</v>
      </c>
      <c r="Q257" t="s">
        <v>251</v>
      </c>
      <c r="S257" t="s">
        <v>420</v>
      </c>
      <c r="T257" t="s">
        <v>401</v>
      </c>
      <c r="U257">
        <v>4.3056597379277318E-3</v>
      </c>
      <c r="V257" t="s">
        <v>251</v>
      </c>
      <c r="X257">
        <v>3.4246575342465752E-3</v>
      </c>
      <c r="Y257">
        <v>5.1711707232180593E-3</v>
      </c>
      <c r="Z257" t="s">
        <v>401</v>
      </c>
      <c r="AA257" t="s">
        <v>25</v>
      </c>
      <c r="AC257" t="s">
        <v>22</v>
      </c>
      <c r="AD257" t="s">
        <v>401</v>
      </c>
      <c r="AE257">
        <v>2.391011862593394E-3</v>
      </c>
      <c r="AG257" t="s">
        <v>99</v>
      </c>
      <c r="AH257" t="s">
        <v>401</v>
      </c>
      <c r="AI257">
        <v>1.3204362448594686E-2</v>
      </c>
    </row>
    <row r="258" spans="9:35" x14ac:dyDescent="0.45">
      <c r="I258" t="s">
        <v>249</v>
      </c>
      <c r="J258" t="s">
        <v>402</v>
      </c>
      <c r="K258">
        <v>0</v>
      </c>
      <c r="L258" t="s">
        <v>251</v>
      </c>
      <c r="N258" t="s">
        <v>419</v>
      </c>
      <c r="O258" t="s">
        <v>402</v>
      </c>
      <c r="P258">
        <v>2.1203517995297381E-2</v>
      </c>
      <c r="Q258" t="s">
        <v>251</v>
      </c>
      <c r="S258" t="s">
        <v>420</v>
      </c>
      <c r="T258" t="s">
        <v>402</v>
      </c>
      <c r="U258">
        <v>2.1209262331731819E-2</v>
      </c>
      <c r="V258" t="s">
        <v>251</v>
      </c>
      <c r="X258">
        <v>1.7123287671232876E-2</v>
      </c>
      <c r="Y258">
        <v>1.2927926808045149E-2</v>
      </c>
      <c r="Z258" t="s">
        <v>402</v>
      </c>
      <c r="AA258" t="s">
        <v>25</v>
      </c>
      <c r="AC258" t="s">
        <v>22</v>
      </c>
      <c r="AD258" t="s">
        <v>402</v>
      </c>
      <c r="AE258">
        <v>1.6500343632966576E-2</v>
      </c>
      <c r="AG258" t="s">
        <v>99</v>
      </c>
      <c r="AH258" t="s">
        <v>402</v>
      </c>
      <c r="AI258">
        <v>0.13540735180016084</v>
      </c>
    </row>
    <row r="259" spans="9:35" x14ac:dyDescent="0.45">
      <c r="I259" t="s">
        <v>249</v>
      </c>
      <c r="J259" t="s">
        <v>748</v>
      </c>
      <c r="K259">
        <v>0</v>
      </c>
      <c r="L259" t="s">
        <v>251</v>
      </c>
      <c r="N259" t="s">
        <v>419</v>
      </c>
      <c r="O259" t="s">
        <v>748</v>
      </c>
      <c r="P259">
        <v>1.4099298543840001E-4</v>
      </c>
      <c r="Q259" t="s">
        <v>251</v>
      </c>
      <c r="S259" t="s">
        <v>420</v>
      </c>
      <c r="T259" t="s">
        <v>748</v>
      </c>
      <c r="U259">
        <v>1.081220446152E-4</v>
      </c>
      <c r="V259" t="s">
        <v>251</v>
      </c>
      <c r="X259">
        <v>1.1415525114155251E-4</v>
      </c>
      <c r="Y259">
        <v>2.1546544680075254E-5</v>
      </c>
      <c r="Z259" t="s">
        <v>748</v>
      </c>
      <c r="AA259" t="s">
        <v>25</v>
      </c>
      <c r="AC259" t="s">
        <v>22</v>
      </c>
      <c r="AD259" t="s">
        <v>748</v>
      </c>
      <c r="AE259">
        <v>1.0533056036876364E-4</v>
      </c>
      <c r="AG259" t="s">
        <v>99</v>
      </c>
      <c r="AH259" t="s">
        <v>748</v>
      </c>
      <c r="AI259">
        <v>0</v>
      </c>
    </row>
    <row r="260" spans="9:35" x14ac:dyDescent="0.45">
      <c r="I260" t="s">
        <v>249</v>
      </c>
      <c r="J260" t="s">
        <v>749</v>
      </c>
      <c r="K260">
        <v>0</v>
      </c>
      <c r="L260" t="s">
        <v>251</v>
      </c>
      <c r="N260" t="s">
        <v>419</v>
      </c>
      <c r="O260" t="s">
        <v>749</v>
      </c>
      <c r="P260">
        <v>1.4397250883930001E-4</v>
      </c>
      <c r="Q260" t="s">
        <v>251</v>
      </c>
      <c r="S260" t="s">
        <v>420</v>
      </c>
      <c r="T260" t="s">
        <v>749</v>
      </c>
      <c r="U260">
        <v>1.10720756099E-4</v>
      </c>
      <c r="V260" t="s">
        <v>251</v>
      </c>
      <c r="X260">
        <v>1.1415525114155251E-4</v>
      </c>
      <c r="Y260">
        <v>1.4916838624667481E-5</v>
      </c>
      <c r="Z260" t="s">
        <v>749</v>
      </c>
      <c r="AA260" t="s">
        <v>25</v>
      </c>
      <c r="AC260" t="s">
        <v>22</v>
      </c>
      <c r="AD260" t="s">
        <v>749</v>
      </c>
      <c r="AE260">
        <v>1.0430004033804474E-4</v>
      </c>
      <c r="AG260" t="s">
        <v>99</v>
      </c>
      <c r="AH260" t="s">
        <v>749</v>
      </c>
      <c r="AI260">
        <v>0</v>
      </c>
    </row>
    <row r="261" spans="9:35" x14ac:dyDescent="0.45">
      <c r="I261" t="s">
        <v>249</v>
      </c>
      <c r="J261" t="s">
        <v>750</v>
      </c>
      <c r="K261">
        <v>0</v>
      </c>
      <c r="L261" t="s">
        <v>251</v>
      </c>
      <c r="N261" t="s">
        <v>419</v>
      </c>
      <c r="O261" t="s">
        <v>750</v>
      </c>
      <c r="P261">
        <v>1.509188721365E-4</v>
      </c>
      <c r="Q261" t="s">
        <v>251</v>
      </c>
      <c r="S261" t="s">
        <v>420</v>
      </c>
      <c r="T261" t="s">
        <v>750</v>
      </c>
      <c r="U261">
        <v>1.121113158765E-4</v>
      </c>
      <c r="V261" t="s">
        <v>251</v>
      </c>
      <c r="X261">
        <v>1.1415525114155251E-4</v>
      </c>
      <c r="Y261">
        <v>1.6574265138519424E-5</v>
      </c>
      <c r="Z261" t="s">
        <v>750</v>
      </c>
      <c r="AA261" t="s">
        <v>25</v>
      </c>
      <c r="AC261" t="s">
        <v>22</v>
      </c>
      <c r="AD261" t="s">
        <v>750</v>
      </c>
      <c r="AE261">
        <v>1.0430004033804474E-4</v>
      </c>
      <c r="AG261" t="s">
        <v>99</v>
      </c>
      <c r="AH261" t="s">
        <v>750</v>
      </c>
      <c r="AI261">
        <v>0</v>
      </c>
    </row>
    <row r="262" spans="9:35" x14ac:dyDescent="0.45">
      <c r="I262" t="s">
        <v>249</v>
      </c>
      <c r="J262" t="s">
        <v>751</v>
      </c>
      <c r="K262">
        <v>0</v>
      </c>
      <c r="L262" t="s">
        <v>251</v>
      </c>
      <c r="N262" t="s">
        <v>419</v>
      </c>
      <c r="O262" t="s">
        <v>751</v>
      </c>
      <c r="P262">
        <v>1.6503653625029999E-4</v>
      </c>
      <c r="Q262" t="s">
        <v>251</v>
      </c>
      <c r="S262" t="s">
        <v>420</v>
      </c>
      <c r="T262" t="s">
        <v>751</v>
      </c>
      <c r="U262">
        <v>1.1383898844499999E-4</v>
      </c>
      <c r="V262" t="s">
        <v>251</v>
      </c>
      <c r="X262">
        <v>1.1415525114155251E-4</v>
      </c>
      <c r="Y262">
        <v>1.4585353321897093E-5</v>
      </c>
      <c r="Z262" t="s">
        <v>751</v>
      </c>
      <c r="AA262" t="s">
        <v>25</v>
      </c>
      <c r="AC262" t="s">
        <v>22</v>
      </c>
      <c r="AD262" t="s">
        <v>751</v>
      </c>
      <c r="AE262">
        <v>1.0367458020379336E-4</v>
      </c>
      <c r="AG262" t="s">
        <v>99</v>
      </c>
      <c r="AH262" t="s">
        <v>751</v>
      </c>
      <c r="AI262">
        <v>0</v>
      </c>
    </row>
    <row r="263" spans="9:35" x14ac:dyDescent="0.45">
      <c r="I263" t="s">
        <v>249</v>
      </c>
      <c r="J263" t="s">
        <v>752</v>
      </c>
      <c r="K263">
        <v>0</v>
      </c>
      <c r="L263" t="s">
        <v>251</v>
      </c>
      <c r="N263" t="s">
        <v>419</v>
      </c>
      <c r="O263" t="s">
        <v>752</v>
      </c>
      <c r="P263">
        <v>1.7606747495009999E-4</v>
      </c>
      <c r="Q263" t="s">
        <v>251</v>
      </c>
      <c r="S263" t="s">
        <v>420</v>
      </c>
      <c r="T263" t="s">
        <v>752</v>
      </c>
      <c r="U263">
        <v>1.198622339461E-4</v>
      </c>
      <c r="V263" t="s">
        <v>251</v>
      </c>
      <c r="X263">
        <v>1.1415525114155251E-4</v>
      </c>
      <c r="Y263">
        <v>2.1215059377304864E-5</v>
      </c>
      <c r="Z263" t="s">
        <v>752</v>
      </c>
      <c r="AA263" t="s">
        <v>25</v>
      </c>
      <c r="AC263" t="s">
        <v>22</v>
      </c>
      <c r="AD263" t="s">
        <v>752</v>
      </c>
      <c r="AE263">
        <v>1.0439534854897827E-4</v>
      </c>
      <c r="AG263" t="s">
        <v>99</v>
      </c>
      <c r="AH263" t="s">
        <v>752</v>
      </c>
      <c r="AI263">
        <v>0</v>
      </c>
    </row>
    <row r="264" spans="9:35" x14ac:dyDescent="0.45">
      <c r="I264" t="s">
        <v>249</v>
      </c>
      <c r="J264" t="s">
        <v>753</v>
      </c>
      <c r="K264">
        <v>0</v>
      </c>
      <c r="L264" t="s">
        <v>251</v>
      </c>
      <c r="N264" t="s">
        <v>419</v>
      </c>
      <c r="O264" t="s">
        <v>753</v>
      </c>
      <c r="P264">
        <v>2.005025477999E-4</v>
      </c>
      <c r="Q264" t="s">
        <v>251</v>
      </c>
      <c r="S264" t="s">
        <v>420</v>
      </c>
      <c r="T264" t="s">
        <v>753</v>
      </c>
      <c r="U264">
        <v>1.3104223335399999E-4</v>
      </c>
      <c r="V264" t="s">
        <v>251</v>
      </c>
      <c r="X264">
        <v>1.1415525114155251E-4</v>
      </c>
      <c r="Y264">
        <v>5.7678442682047593E-5</v>
      </c>
      <c r="Z264" t="s">
        <v>753</v>
      </c>
      <c r="AA264" t="s">
        <v>25</v>
      </c>
      <c r="AC264" t="s">
        <v>22</v>
      </c>
      <c r="AD264" t="s">
        <v>753</v>
      </c>
      <c r="AE264">
        <v>1.0550926326426401E-4</v>
      </c>
      <c r="AG264" t="s">
        <v>99</v>
      </c>
      <c r="AH264" t="s">
        <v>753</v>
      </c>
      <c r="AI264">
        <v>0</v>
      </c>
    </row>
    <row r="265" spans="9:35" x14ac:dyDescent="0.45">
      <c r="I265" t="s">
        <v>249</v>
      </c>
      <c r="J265" t="s">
        <v>754</v>
      </c>
      <c r="K265">
        <v>8.1652005966351203E-5</v>
      </c>
      <c r="L265" t="s">
        <v>251</v>
      </c>
      <c r="N265" t="s">
        <v>419</v>
      </c>
      <c r="O265" t="s">
        <v>754</v>
      </c>
      <c r="P265">
        <v>2.2644012320629999E-4</v>
      </c>
      <c r="Q265" t="s">
        <v>251</v>
      </c>
      <c r="S265" t="s">
        <v>420</v>
      </c>
      <c r="T265" t="s">
        <v>754</v>
      </c>
      <c r="U265">
        <v>1.437203884628E-4</v>
      </c>
      <c r="V265" t="s">
        <v>251</v>
      </c>
      <c r="X265">
        <v>1.1415525114155251E-4</v>
      </c>
      <c r="Y265">
        <v>1.6905750441289813E-4</v>
      </c>
      <c r="Z265" t="s">
        <v>754</v>
      </c>
      <c r="AA265" t="s">
        <v>25</v>
      </c>
      <c r="AC265" t="s">
        <v>22</v>
      </c>
      <c r="AD265" t="s">
        <v>754</v>
      </c>
      <c r="AE265">
        <v>1.072069407715177E-4</v>
      </c>
      <c r="AG265" t="s">
        <v>99</v>
      </c>
      <c r="AH265" t="s">
        <v>754</v>
      </c>
      <c r="AI265">
        <v>0</v>
      </c>
    </row>
    <row r="266" spans="9:35" x14ac:dyDescent="0.45">
      <c r="I266" t="s">
        <v>249</v>
      </c>
      <c r="J266" t="s">
        <v>755</v>
      </c>
      <c r="K266">
        <v>2.171968715536E-4</v>
      </c>
      <c r="L266" t="s">
        <v>251</v>
      </c>
      <c r="N266" t="s">
        <v>419</v>
      </c>
      <c r="O266" t="s">
        <v>755</v>
      </c>
      <c r="P266">
        <v>2.4429541562860001E-4</v>
      </c>
      <c r="Q266" t="s">
        <v>251</v>
      </c>
      <c r="S266" t="s">
        <v>420</v>
      </c>
      <c r="T266" t="s">
        <v>755</v>
      </c>
      <c r="U266">
        <v>1.6070129938469999E-4</v>
      </c>
      <c r="V266" t="s">
        <v>251</v>
      </c>
      <c r="X266">
        <v>1.1415525114155251E-4</v>
      </c>
      <c r="Y266">
        <v>1.9060404909297337E-4</v>
      </c>
      <c r="Z266" t="s">
        <v>755</v>
      </c>
      <c r="AA266" t="s">
        <v>25</v>
      </c>
      <c r="AC266" t="s">
        <v>22</v>
      </c>
      <c r="AD266" t="s">
        <v>755</v>
      </c>
      <c r="AE266">
        <v>1.0983387333537337E-4</v>
      </c>
      <c r="AG266" t="s">
        <v>99</v>
      </c>
      <c r="AH266" t="s">
        <v>755</v>
      </c>
      <c r="AI266">
        <v>0</v>
      </c>
    </row>
    <row r="267" spans="9:35" x14ac:dyDescent="0.45">
      <c r="I267" t="s">
        <v>249</v>
      </c>
      <c r="J267" t="s">
        <v>756</v>
      </c>
      <c r="K267">
        <v>2.7951037670679999E-4</v>
      </c>
      <c r="L267" t="s">
        <v>251</v>
      </c>
      <c r="N267" t="s">
        <v>419</v>
      </c>
      <c r="O267" t="s">
        <v>756</v>
      </c>
      <c r="P267">
        <v>2.460835552649E-4</v>
      </c>
      <c r="Q267" t="s">
        <v>251</v>
      </c>
      <c r="S267" t="s">
        <v>420</v>
      </c>
      <c r="T267" t="s">
        <v>756</v>
      </c>
      <c r="U267">
        <v>1.7202787921530001E-4</v>
      </c>
      <c r="V267" t="s">
        <v>251</v>
      </c>
      <c r="X267">
        <v>1.1415525114155251E-4</v>
      </c>
      <c r="Y267">
        <v>1.4585353321897094E-4</v>
      </c>
      <c r="Z267" t="s">
        <v>756</v>
      </c>
      <c r="AA267" t="s">
        <v>25</v>
      </c>
      <c r="AC267" t="s">
        <v>22</v>
      </c>
      <c r="AD267" t="s">
        <v>756</v>
      </c>
      <c r="AE267">
        <v>1.1030445762685773E-4</v>
      </c>
      <c r="AG267" t="s">
        <v>99</v>
      </c>
      <c r="AH267" t="s">
        <v>756</v>
      </c>
      <c r="AI267">
        <v>0</v>
      </c>
    </row>
    <row r="268" spans="9:35" x14ac:dyDescent="0.45">
      <c r="I268" t="s">
        <v>249</v>
      </c>
      <c r="J268" t="s">
        <v>757</v>
      </c>
      <c r="K268">
        <v>3.0871138691539998E-4</v>
      </c>
      <c r="L268" t="s">
        <v>251</v>
      </c>
      <c r="N268" t="s">
        <v>419</v>
      </c>
      <c r="O268" t="s">
        <v>757</v>
      </c>
      <c r="P268">
        <v>2.384656385136E-4</v>
      </c>
      <c r="Q268" t="s">
        <v>251</v>
      </c>
      <c r="S268" t="s">
        <v>420</v>
      </c>
      <c r="T268" t="s">
        <v>757</v>
      </c>
      <c r="U268">
        <v>1.8041760787399999E-4</v>
      </c>
      <c r="V268" t="s">
        <v>251</v>
      </c>
      <c r="X268">
        <v>1.1415525114155251E-4</v>
      </c>
      <c r="Y268">
        <v>1.4452759200788939E-4</v>
      </c>
      <c r="Z268" t="s">
        <v>757</v>
      </c>
      <c r="AA268" t="s">
        <v>25</v>
      </c>
      <c r="AC268" t="s">
        <v>22</v>
      </c>
      <c r="AD268" t="s">
        <v>757</v>
      </c>
      <c r="AE268">
        <v>1.1004831680997384E-4</v>
      </c>
      <c r="AG268" t="s">
        <v>99</v>
      </c>
      <c r="AH268" t="s">
        <v>757</v>
      </c>
      <c r="AI268">
        <v>0</v>
      </c>
    </row>
    <row r="269" spans="9:35" x14ac:dyDescent="0.45">
      <c r="I269" t="s">
        <v>249</v>
      </c>
      <c r="J269" t="s">
        <v>758</v>
      </c>
      <c r="K269">
        <v>3.2389124689379998E-4</v>
      </c>
      <c r="L269" t="s">
        <v>251</v>
      </c>
      <c r="N269" t="s">
        <v>419</v>
      </c>
      <c r="O269" t="s">
        <v>758</v>
      </c>
      <c r="P269">
        <v>2.3562968530330001E-4</v>
      </c>
      <c r="Q269" t="s">
        <v>251</v>
      </c>
      <c r="S269" t="s">
        <v>420</v>
      </c>
      <c r="T269" t="s">
        <v>758</v>
      </c>
      <c r="U269">
        <v>1.856438757595E-4</v>
      </c>
      <c r="V269" t="s">
        <v>251</v>
      </c>
      <c r="X269">
        <v>1.1415525114155251E-4</v>
      </c>
      <c r="Y269">
        <v>1.408812536774151E-4</v>
      </c>
      <c r="Z269" t="s">
        <v>758</v>
      </c>
      <c r="AA269" t="s">
        <v>25</v>
      </c>
      <c r="AC269" t="s">
        <v>22</v>
      </c>
      <c r="AD269" t="s">
        <v>758</v>
      </c>
      <c r="AE269">
        <v>1.0790983882715254E-4</v>
      </c>
      <c r="AG269" t="s">
        <v>99</v>
      </c>
      <c r="AH269" t="s">
        <v>758</v>
      </c>
      <c r="AI269">
        <v>0</v>
      </c>
    </row>
    <row r="270" spans="9:35" x14ac:dyDescent="0.45">
      <c r="I270" t="s">
        <v>249</v>
      </c>
      <c r="J270" t="s">
        <v>759</v>
      </c>
      <c r="K270">
        <v>3.346751393607E-4</v>
      </c>
      <c r="L270" t="s">
        <v>251</v>
      </c>
      <c r="N270" t="s">
        <v>419</v>
      </c>
      <c r="O270" t="s">
        <v>759</v>
      </c>
      <c r="P270">
        <v>2.322790825418E-4</v>
      </c>
      <c r="Q270" t="s">
        <v>251</v>
      </c>
      <c r="S270" t="s">
        <v>420</v>
      </c>
      <c r="T270" t="s">
        <v>759</v>
      </c>
      <c r="U270">
        <v>1.8613201272310001E-4</v>
      </c>
      <c r="V270" t="s">
        <v>251</v>
      </c>
      <c r="X270">
        <v>1.1415525114155251E-4</v>
      </c>
      <c r="Y270">
        <v>1.4054976837464471E-4</v>
      </c>
      <c r="Z270" t="s">
        <v>759</v>
      </c>
      <c r="AA270" t="s">
        <v>25</v>
      </c>
      <c r="AC270" t="s">
        <v>22</v>
      </c>
      <c r="AD270" t="s">
        <v>759</v>
      </c>
      <c r="AE270">
        <v>1.0572370673886448E-4</v>
      </c>
      <c r="AG270" t="s">
        <v>99</v>
      </c>
      <c r="AH270" t="s">
        <v>759</v>
      </c>
      <c r="AI270">
        <v>0</v>
      </c>
    </row>
    <row r="271" spans="9:35" x14ac:dyDescent="0.45">
      <c r="I271" t="s">
        <v>249</v>
      </c>
      <c r="J271" t="s">
        <v>760</v>
      </c>
      <c r="K271">
        <v>3.4430263471560001E-4</v>
      </c>
      <c r="L271" t="s">
        <v>251</v>
      </c>
      <c r="N271" t="s">
        <v>419</v>
      </c>
      <c r="O271" t="s">
        <v>760</v>
      </c>
      <c r="P271">
        <v>2.247159668606E-4</v>
      </c>
      <c r="Q271" t="s">
        <v>251</v>
      </c>
      <c r="S271" t="s">
        <v>420</v>
      </c>
      <c r="T271" t="s">
        <v>760</v>
      </c>
      <c r="U271">
        <v>1.863571272756E-4</v>
      </c>
      <c r="V271" t="s">
        <v>251</v>
      </c>
      <c r="X271">
        <v>1.1415525114155251E-4</v>
      </c>
      <c r="Y271">
        <v>1.4253868019126702E-4</v>
      </c>
      <c r="Z271" t="s">
        <v>760</v>
      </c>
      <c r="AA271" t="s">
        <v>25</v>
      </c>
      <c r="AC271" t="s">
        <v>22</v>
      </c>
      <c r="AD271" t="s">
        <v>760</v>
      </c>
      <c r="AE271">
        <v>1.0036261987385286E-4</v>
      </c>
      <c r="AG271" t="s">
        <v>99</v>
      </c>
      <c r="AH271" t="s">
        <v>760</v>
      </c>
      <c r="AI271">
        <v>0</v>
      </c>
    </row>
    <row r="272" spans="9:35" x14ac:dyDescent="0.45">
      <c r="I272" t="s">
        <v>249</v>
      </c>
      <c r="J272" t="s">
        <v>761</v>
      </c>
      <c r="K272">
        <v>3.3414338985870003E-4</v>
      </c>
      <c r="L272" t="s">
        <v>251</v>
      </c>
      <c r="N272" t="s">
        <v>419</v>
      </c>
      <c r="O272" t="s">
        <v>761</v>
      </c>
      <c r="P272">
        <v>2.189474446973E-4</v>
      </c>
      <c r="Q272" t="s">
        <v>251</v>
      </c>
      <c r="S272" t="s">
        <v>420</v>
      </c>
      <c r="T272" t="s">
        <v>761</v>
      </c>
      <c r="U272">
        <v>1.870020359463E-4</v>
      </c>
      <c r="V272" t="s">
        <v>251</v>
      </c>
      <c r="X272">
        <v>1.1415525114155251E-4</v>
      </c>
      <c r="Y272">
        <v>1.4883690094390442E-4</v>
      </c>
      <c r="Z272" t="s">
        <v>761</v>
      </c>
      <c r="AA272" t="s">
        <v>25</v>
      </c>
      <c r="AC272" t="s">
        <v>22</v>
      </c>
      <c r="AD272" t="s">
        <v>761</v>
      </c>
      <c r="AE272">
        <v>9.6967264859345524E-5</v>
      </c>
      <c r="AG272" t="s">
        <v>99</v>
      </c>
      <c r="AH272" t="s">
        <v>761</v>
      </c>
      <c r="AI272">
        <v>0</v>
      </c>
    </row>
    <row r="273" spans="9:35" x14ac:dyDescent="0.45">
      <c r="I273" t="s">
        <v>249</v>
      </c>
      <c r="J273" t="s">
        <v>762</v>
      </c>
      <c r="K273">
        <v>3.2116705817429998E-4</v>
      </c>
      <c r="L273" t="s">
        <v>251</v>
      </c>
      <c r="N273" t="s">
        <v>419</v>
      </c>
      <c r="O273" t="s">
        <v>762</v>
      </c>
      <c r="P273">
        <v>2.151555413088E-4</v>
      </c>
      <c r="Q273" t="s">
        <v>251</v>
      </c>
      <c r="S273" t="s">
        <v>420</v>
      </c>
      <c r="T273" t="s">
        <v>762</v>
      </c>
      <c r="U273">
        <v>1.8724995346649999E-4</v>
      </c>
      <c r="V273" t="s">
        <v>251</v>
      </c>
      <c r="X273">
        <v>1.1415525114155251E-4</v>
      </c>
      <c r="Y273">
        <v>1.5049432745775637E-4</v>
      </c>
      <c r="Z273" t="s">
        <v>762</v>
      </c>
      <c r="AA273" t="s">
        <v>25</v>
      </c>
      <c r="AC273" t="s">
        <v>22</v>
      </c>
      <c r="AD273" t="s">
        <v>762</v>
      </c>
      <c r="AE273">
        <v>8.7936811873392631E-5</v>
      </c>
      <c r="AG273" t="s">
        <v>99</v>
      </c>
      <c r="AH273" t="s">
        <v>762</v>
      </c>
      <c r="AI273">
        <v>0</v>
      </c>
    </row>
    <row r="274" spans="9:35" x14ac:dyDescent="0.45">
      <c r="I274" t="s">
        <v>249</v>
      </c>
      <c r="J274" t="s">
        <v>763</v>
      </c>
      <c r="K274">
        <v>3.0890748012410001E-4</v>
      </c>
      <c r="L274" t="s">
        <v>251</v>
      </c>
      <c r="N274" t="s">
        <v>419</v>
      </c>
      <c r="O274" t="s">
        <v>763</v>
      </c>
      <c r="P274">
        <v>2.1648374275700001E-4</v>
      </c>
      <c r="Q274" t="s">
        <v>251</v>
      </c>
      <c r="S274" t="s">
        <v>420</v>
      </c>
      <c r="T274" t="s">
        <v>763</v>
      </c>
      <c r="U274">
        <v>1.8724729559369999E-4</v>
      </c>
      <c r="V274" t="s">
        <v>251</v>
      </c>
      <c r="X274">
        <v>1.1415525114155251E-4</v>
      </c>
      <c r="Y274">
        <v>1.7237235744060203E-4</v>
      </c>
      <c r="Z274" t="s">
        <v>763</v>
      </c>
      <c r="AA274" t="s">
        <v>25</v>
      </c>
      <c r="AC274" t="s">
        <v>22</v>
      </c>
      <c r="AD274" t="s">
        <v>763</v>
      </c>
      <c r="AE274">
        <v>8.4011304935567471E-5</v>
      </c>
      <c r="AG274" t="s">
        <v>99</v>
      </c>
      <c r="AH274" t="s">
        <v>763</v>
      </c>
      <c r="AI274">
        <v>0</v>
      </c>
    </row>
    <row r="275" spans="9:35" x14ac:dyDescent="0.45">
      <c r="I275" t="s">
        <v>249</v>
      </c>
      <c r="J275" t="s">
        <v>764</v>
      </c>
      <c r="K275">
        <v>2.86474908637E-4</v>
      </c>
      <c r="L275" t="s">
        <v>251</v>
      </c>
      <c r="N275" t="s">
        <v>419</v>
      </c>
      <c r="O275" t="s">
        <v>764</v>
      </c>
      <c r="P275">
        <v>2.1756188212749999E-4</v>
      </c>
      <c r="Q275" t="s">
        <v>251</v>
      </c>
      <c r="S275" t="s">
        <v>420</v>
      </c>
      <c r="T275" t="s">
        <v>764</v>
      </c>
      <c r="U275">
        <v>1.8699727428420001E-4</v>
      </c>
      <c r="V275" t="s">
        <v>251</v>
      </c>
      <c r="X275">
        <v>1.1415525114155251E-4</v>
      </c>
      <c r="Y275">
        <v>2.2209515285616027E-4</v>
      </c>
      <c r="Z275" t="s">
        <v>764</v>
      </c>
      <c r="AA275" t="s">
        <v>25</v>
      </c>
      <c r="AC275" t="s">
        <v>22</v>
      </c>
      <c r="AD275" t="s">
        <v>764</v>
      </c>
      <c r="AE275">
        <v>7.9883268049508527E-5</v>
      </c>
      <c r="AG275" t="s">
        <v>99</v>
      </c>
      <c r="AH275" t="s">
        <v>764</v>
      </c>
      <c r="AI275">
        <v>0</v>
      </c>
    </row>
    <row r="276" spans="9:35" x14ac:dyDescent="0.45">
      <c r="I276" t="s">
        <v>249</v>
      </c>
      <c r="J276" t="s">
        <v>765</v>
      </c>
      <c r="K276">
        <v>2.3589489261489999E-4</v>
      </c>
      <c r="L276" t="s">
        <v>251</v>
      </c>
      <c r="N276" t="s">
        <v>419</v>
      </c>
      <c r="O276" t="s">
        <v>765</v>
      </c>
      <c r="P276">
        <v>2.2048764370530001E-4</v>
      </c>
      <c r="Q276" t="s">
        <v>251</v>
      </c>
      <c r="S276" t="s">
        <v>420</v>
      </c>
      <c r="T276" t="s">
        <v>765</v>
      </c>
      <c r="U276">
        <v>1.8709150004079999E-4</v>
      </c>
      <c r="V276" t="s">
        <v>251</v>
      </c>
      <c r="X276">
        <v>1.1415525114155251E-4</v>
      </c>
      <c r="Y276">
        <v>2.2209515285616027E-4</v>
      </c>
      <c r="Z276" t="s">
        <v>765</v>
      </c>
      <c r="AA276" t="s">
        <v>25</v>
      </c>
      <c r="AC276" t="s">
        <v>22</v>
      </c>
      <c r="AD276" t="s">
        <v>765</v>
      </c>
      <c r="AE276">
        <v>8.0592122868326723E-5</v>
      </c>
      <c r="AG276" t="s">
        <v>99</v>
      </c>
      <c r="AH276" t="s">
        <v>765</v>
      </c>
      <c r="AI276">
        <v>0</v>
      </c>
    </row>
    <row r="277" spans="9:35" x14ac:dyDescent="0.45">
      <c r="I277" t="s">
        <v>249</v>
      </c>
      <c r="J277" t="s">
        <v>766</v>
      </c>
      <c r="K277">
        <v>1.181687901451E-4</v>
      </c>
      <c r="L277" t="s">
        <v>251</v>
      </c>
      <c r="N277" t="s">
        <v>419</v>
      </c>
      <c r="O277" t="s">
        <v>766</v>
      </c>
      <c r="P277">
        <v>2.1354363161769999E-4</v>
      </c>
      <c r="Q277" t="s">
        <v>251</v>
      </c>
      <c r="S277" t="s">
        <v>420</v>
      </c>
      <c r="T277" t="s">
        <v>766</v>
      </c>
      <c r="U277">
        <v>1.869810129056E-4</v>
      </c>
      <c r="V277" t="s">
        <v>251</v>
      </c>
      <c r="X277">
        <v>1.1415525114155251E-4</v>
      </c>
      <c r="Y277">
        <v>1.7237235744060203E-4</v>
      </c>
      <c r="Z277" t="s">
        <v>766</v>
      </c>
      <c r="AA277" t="s">
        <v>25</v>
      </c>
      <c r="AC277" t="s">
        <v>22</v>
      </c>
      <c r="AD277" t="s">
        <v>766</v>
      </c>
      <c r="AE277">
        <v>8.1533291451295437E-5</v>
      </c>
      <c r="AG277" t="s">
        <v>99</v>
      </c>
      <c r="AH277" t="s">
        <v>766</v>
      </c>
      <c r="AI277">
        <v>0</v>
      </c>
    </row>
    <row r="278" spans="9:35" x14ac:dyDescent="0.45">
      <c r="I278" t="s">
        <v>249</v>
      </c>
      <c r="J278" t="s">
        <v>767</v>
      </c>
      <c r="K278">
        <v>0</v>
      </c>
      <c r="L278" t="s">
        <v>251</v>
      </c>
      <c r="N278" t="s">
        <v>419</v>
      </c>
      <c r="O278" t="s">
        <v>767</v>
      </c>
      <c r="P278">
        <v>2.1908061626389999E-4</v>
      </c>
      <c r="Q278" t="s">
        <v>251</v>
      </c>
      <c r="S278" t="s">
        <v>420</v>
      </c>
      <c r="T278" t="s">
        <v>767</v>
      </c>
      <c r="U278">
        <v>1.8691511308350001E-4</v>
      </c>
      <c r="V278" t="s">
        <v>251</v>
      </c>
      <c r="X278">
        <v>1.1415525114155251E-4</v>
      </c>
      <c r="Y278">
        <v>1.5579809230208258E-4</v>
      </c>
      <c r="Z278" t="s">
        <v>767</v>
      </c>
      <c r="AA278" t="s">
        <v>25</v>
      </c>
      <c r="AC278" t="s">
        <v>22</v>
      </c>
      <c r="AD278" t="s">
        <v>767</v>
      </c>
      <c r="AE278">
        <v>9.3375336659787741E-5</v>
      </c>
      <c r="AG278" t="s">
        <v>99</v>
      </c>
      <c r="AH278" t="s">
        <v>767</v>
      </c>
      <c r="AI278">
        <v>0</v>
      </c>
    </row>
    <row r="279" spans="9:35" x14ac:dyDescent="0.45">
      <c r="I279" t="s">
        <v>249</v>
      </c>
      <c r="J279" t="s">
        <v>768</v>
      </c>
      <c r="K279">
        <v>0</v>
      </c>
      <c r="L279" t="s">
        <v>251</v>
      </c>
      <c r="N279" t="s">
        <v>419</v>
      </c>
      <c r="O279" t="s">
        <v>768</v>
      </c>
      <c r="P279">
        <v>2.2657908994560001E-4</v>
      </c>
      <c r="Q279" t="s">
        <v>251</v>
      </c>
      <c r="S279" t="s">
        <v>420</v>
      </c>
      <c r="T279" t="s">
        <v>768</v>
      </c>
      <c r="U279">
        <v>1.8658992411499999E-4</v>
      </c>
      <c r="V279" t="s">
        <v>251</v>
      </c>
      <c r="X279">
        <v>1.1415525114155251E-4</v>
      </c>
      <c r="Y279">
        <v>1.093901499142282E-4</v>
      </c>
      <c r="Z279" t="s">
        <v>768</v>
      </c>
      <c r="AA279" t="s">
        <v>25</v>
      </c>
      <c r="AC279" t="s">
        <v>22</v>
      </c>
      <c r="AD279" t="s">
        <v>768</v>
      </c>
      <c r="AE279">
        <v>1.0909523470063845E-4</v>
      </c>
      <c r="AG279" t="s">
        <v>99</v>
      </c>
      <c r="AH279" t="s">
        <v>768</v>
      </c>
      <c r="AI279">
        <v>0</v>
      </c>
    </row>
    <row r="280" spans="9:35" x14ac:dyDescent="0.45">
      <c r="I280" t="s">
        <v>249</v>
      </c>
      <c r="J280" t="s">
        <v>769</v>
      </c>
      <c r="K280">
        <v>0</v>
      </c>
      <c r="L280" t="s">
        <v>251</v>
      </c>
      <c r="N280" t="s">
        <v>419</v>
      </c>
      <c r="O280" t="s">
        <v>769</v>
      </c>
      <c r="P280">
        <v>2.3011478752580001E-4</v>
      </c>
      <c r="Q280" t="s">
        <v>251</v>
      </c>
      <c r="S280" t="s">
        <v>420</v>
      </c>
      <c r="T280" t="s">
        <v>769</v>
      </c>
      <c r="U280">
        <v>1.8569261607319999E-4</v>
      </c>
      <c r="V280" t="s">
        <v>251</v>
      </c>
      <c r="X280">
        <v>1.1415525114155251E-4</v>
      </c>
      <c r="Y280">
        <v>7.9556472664893237E-5</v>
      </c>
      <c r="Z280" t="s">
        <v>769</v>
      </c>
      <c r="AA280" t="s">
        <v>25</v>
      </c>
      <c r="AC280" t="s">
        <v>22</v>
      </c>
      <c r="AD280" t="s">
        <v>769</v>
      </c>
      <c r="AE280">
        <v>1.2190823230801619E-4</v>
      </c>
      <c r="AG280" t="s">
        <v>99</v>
      </c>
      <c r="AH280" t="s">
        <v>769</v>
      </c>
      <c r="AI280">
        <v>0</v>
      </c>
    </row>
    <row r="281" spans="9:35" x14ac:dyDescent="0.45">
      <c r="I281" t="s">
        <v>249</v>
      </c>
      <c r="J281" t="s">
        <v>770</v>
      </c>
      <c r="K281">
        <v>0</v>
      </c>
      <c r="L281" t="s">
        <v>251</v>
      </c>
      <c r="N281" t="s">
        <v>419</v>
      </c>
      <c r="O281" t="s">
        <v>770</v>
      </c>
      <c r="P281">
        <v>2.280804991661E-4</v>
      </c>
      <c r="Q281" t="s">
        <v>251</v>
      </c>
      <c r="S281" t="s">
        <v>420</v>
      </c>
      <c r="T281" t="s">
        <v>770</v>
      </c>
      <c r="U281">
        <v>1.8516376592960001E-4</v>
      </c>
      <c r="V281" t="s">
        <v>251</v>
      </c>
      <c r="X281">
        <v>1.1415525114155251E-4</v>
      </c>
      <c r="Y281">
        <v>5.6352501470966035E-5</v>
      </c>
      <c r="Z281" t="s">
        <v>770</v>
      </c>
      <c r="AA281" t="s">
        <v>25</v>
      </c>
      <c r="AC281" t="s">
        <v>22</v>
      </c>
      <c r="AD281" t="s">
        <v>770</v>
      </c>
      <c r="AE281">
        <v>1.3227300024703861E-4</v>
      </c>
      <c r="AG281" t="s">
        <v>99</v>
      </c>
      <c r="AH281" t="s">
        <v>770</v>
      </c>
      <c r="AI281">
        <v>0</v>
      </c>
    </row>
    <row r="282" spans="9:35" x14ac:dyDescent="0.45">
      <c r="I282" t="s">
        <v>249</v>
      </c>
      <c r="J282" t="s">
        <v>771</v>
      </c>
      <c r="K282">
        <v>0</v>
      </c>
      <c r="L282" t="s">
        <v>251</v>
      </c>
      <c r="N282" t="s">
        <v>419</v>
      </c>
      <c r="O282" t="s">
        <v>771</v>
      </c>
      <c r="P282">
        <v>2.2747557201230001E-4</v>
      </c>
      <c r="Q282" t="s">
        <v>251</v>
      </c>
      <c r="S282" t="s">
        <v>420</v>
      </c>
      <c r="T282" t="s">
        <v>771</v>
      </c>
      <c r="U282">
        <v>1.8459832988830001E-4</v>
      </c>
      <c r="V282" t="s">
        <v>251</v>
      </c>
      <c r="X282">
        <v>1.1415525114155251E-4</v>
      </c>
      <c r="Y282">
        <v>2.9833677249334962E-5</v>
      </c>
      <c r="Z282" t="s">
        <v>771</v>
      </c>
      <c r="AA282" t="s">
        <v>25</v>
      </c>
      <c r="AC282" t="s">
        <v>22</v>
      </c>
      <c r="AD282" t="s">
        <v>771</v>
      </c>
      <c r="AE282">
        <v>1.3280315217035644E-4</v>
      </c>
      <c r="AG282" t="s">
        <v>99</v>
      </c>
      <c r="AH282" t="s">
        <v>771</v>
      </c>
      <c r="AI282">
        <v>0</v>
      </c>
    </row>
    <row r="283" spans="9:35" x14ac:dyDescent="0.45">
      <c r="I283" t="s">
        <v>249</v>
      </c>
      <c r="J283" t="s">
        <v>403</v>
      </c>
      <c r="K283">
        <v>3.8090221314169098E-6</v>
      </c>
      <c r="L283" t="s">
        <v>251</v>
      </c>
      <c r="N283" t="s">
        <v>419</v>
      </c>
      <c r="O283" t="s">
        <v>403</v>
      </c>
      <c r="P283">
        <v>3.009277985070876E-2</v>
      </c>
      <c r="Q283" t="s">
        <v>251</v>
      </c>
      <c r="S283" t="s">
        <v>420</v>
      </c>
      <c r="T283" t="s">
        <v>403</v>
      </c>
      <c r="U283">
        <v>1.8828910873338951E-2</v>
      </c>
      <c r="V283" t="s">
        <v>251</v>
      </c>
      <c r="X283">
        <v>2.0547945205479451E-2</v>
      </c>
      <c r="Y283">
        <v>4.3954951147353507E-3</v>
      </c>
      <c r="Z283" t="s">
        <v>403</v>
      </c>
      <c r="AA283" t="s">
        <v>25</v>
      </c>
      <c r="AC283" t="s">
        <v>22</v>
      </c>
      <c r="AD283" t="s">
        <v>403</v>
      </c>
      <c r="AE283">
        <v>2.2260433007780876E-2</v>
      </c>
      <c r="AG283" t="s">
        <v>99</v>
      </c>
      <c r="AH283" t="s">
        <v>403</v>
      </c>
      <c r="AI283">
        <v>6.8438377491133906E-2</v>
      </c>
    </row>
    <row r="284" spans="9:35" x14ac:dyDescent="0.45">
      <c r="I284" t="s">
        <v>249</v>
      </c>
      <c r="J284" t="s">
        <v>404</v>
      </c>
      <c r="K284">
        <v>4.2174220768100264E-3</v>
      </c>
      <c r="L284" t="s">
        <v>251</v>
      </c>
      <c r="N284" t="s">
        <v>419</v>
      </c>
      <c r="O284" t="s">
        <v>404</v>
      </c>
      <c r="P284">
        <v>4.2806558018010097E-3</v>
      </c>
      <c r="Q284" t="s">
        <v>251</v>
      </c>
      <c r="S284" t="s">
        <v>420</v>
      </c>
      <c r="T284" t="s">
        <v>404</v>
      </c>
      <c r="U284">
        <v>3.0236851410871714E-3</v>
      </c>
      <c r="V284" t="s">
        <v>251</v>
      </c>
      <c r="X284">
        <v>3.4246575342465752E-3</v>
      </c>
      <c r="Y284">
        <v>5.0717251323869452E-3</v>
      </c>
      <c r="Z284" t="s">
        <v>404</v>
      </c>
      <c r="AA284" t="s">
        <v>25</v>
      </c>
      <c r="AC284" t="s">
        <v>22</v>
      </c>
      <c r="AD284" t="s">
        <v>404</v>
      </c>
      <c r="AE284">
        <v>3.7478698159495389E-3</v>
      </c>
      <c r="AG284" t="s">
        <v>99</v>
      </c>
      <c r="AH284" t="s">
        <v>404</v>
      </c>
      <c r="AI284">
        <v>5.810617310985644E-2</v>
      </c>
    </row>
    <row r="285" spans="9:35" x14ac:dyDescent="0.45">
      <c r="I285" t="s">
        <v>249</v>
      </c>
      <c r="J285" t="s">
        <v>405</v>
      </c>
      <c r="K285">
        <v>7.2308135574651999E-3</v>
      </c>
      <c r="L285" t="s">
        <v>251</v>
      </c>
      <c r="N285" t="s">
        <v>419</v>
      </c>
      <c r="O285" t="s">
        <v>405</v>
      </c>
      <c r="P285">
        <v>3.8538588286688457E-3</v>
      </c>
      <c r="Q285" t="s">
        <v>251</v>
      </c>
      <c r="S285" t="s">
        <v>420</v>
      </c>
      <c r="T285" t="s">
        <v>405</v>
      </c>
      <c r="U285">
        <v>2.9603012804413288E-3</v>
      </c>
      <c r="V285" t="s">
        <v>251</v>
      </c>
      <c r="X285">
        <v>3.4246575342465752E-3</v>
      </c>
      <c r="Y285">
        <v>5.7181214727892006E-3</v>
      </c>
      <c r="Z285" t="s">
        <v>405</v>
      </c>
      <c r="AA285" t="s">
        <v>25</v>
      </c>
      <c r="AC285" t="s">
        <v>22</v>
      </c>
      <c r="AD285" t="s">
        <v>405</v>
      </c>
      <c r="AE285">
        <v>3.7621481773000192E-3</v>
      </c>
      <c r="AG285" t="s">
        <v>99</v>
      </c>
      <c r="AH285" t="s">
        <v>405</v>
      </c>
      <c r="AI285">
        <v>5.5035171020012763E-2</v>
      </c>
    </row>
    <row r="286" spans="9:35" x14ac:dyDescent="0.45">
      <c r="I286" t="s">
        <v>249</v>
      </c>
      <c r="J286" t="s">
        <v>406</v>
      </c>
      <c r="K286">
        <v>6.0288203719271301E-2</v>
      </c>
      <c r="L286" t="s">
        <v>251</v>
      </c>
      <c r="N286" t="s">
        <v>419</v>
      </c>
      <c r="O286" t="s">
        <v>406</v>
      </c>
      <c r="P286">
        <v>1.7014136309921917E-2</v>
      </c>
      <c r="Q286" t="s">
        <v>251</v>
      </c>
      <c r="S286" t="s">
        <v>420</v>
      </c>
      <c r="T286" t="s">
        <v>406</v>
      </c>
      <c r="U286">
        <v>1.8352404363144538E-2</v>
      </c>
      <c r="V286" t="s">
        <v>251</v>
      </c>
      <c r="X286">
        <v>2.0547945205479451E-2</v>
      </c>
      <c r="Y286">
        <v>2.5895631852422749E-2</v>
      </c>
      <c r="Z286" t="s">
        <v>406</v>
      </c>
      <c r="AA286" t="s">
        <v>25</v>
      </c>
      <c r="AC286" t="s">
        <v>22</v>
      </c>
      <c r="AD286" t="s">
        <v>406</v>
      </c>
      <c r="AE286">
        <v>2.1069580739219031E-2</v>
      </c>
      <c r="AG286" t="s">
        <v>99</v>
      </c>
      <c r="AH286" t="s">
        <v>406</v>
      </c>
      <c r="AI286">
        <v>0.10874677642572528</v>
      </c>
    </row>
    <row r="287" spans="9:35" x14ac:dyDescent="0.45">
      <c r="I287" t="s">
        <v>249</v>
      </c>
      <c r="J287" t="s">
        <v>407</v>
      </c>
      <c r="K287">
        <v>2.7882090840113501E-2</v>
      </c>
      <c r="L287" t="s">
        <v>251</v>
      </c>
      <c r="N287" t="s">
        <v>419</v>
      </c>
      <c r="O287" t="s">
        <v>407</v>
      </c>
      <c r="P287">
        <v>7.5583101296307093E-3</v>
      </c>
      <c r="Q287" t="s">
        <v>251</v>
      </c>
      <c r="S287" t="s">
        <v>420</v>
      </c>
      <c r="T287" t="s">
        <v>407</v>
      </c>
      <c r="U287">
        <v>9.7236148432749466E-3</v>
      </c>
      <c r="V287" t="s">
        <v>251</v>
      </c>
      <c r="X287">
        <v>1.0273972602739725E-2</v>
      </c>
      <c r="Y287">
        <v>1.6348855132635558E-2</v>
      </c>
      <c r="Z287" t="s">
        <v>407</v>
      </c>
      <c r="AA287" t="s">
        <v>25</v>
      </c>
      <c r="AC287" t="s">
        <v>22</v>
      </c>
      <c r="AD287" t="s">
        <v>407</v>
      </c>
      <c r="AE287">
        <v>7.4430039204518537E-3</v>
      </c>
      <c r="AG287" t="s">
        <v>99</v>
      </c>
      <c r="AH287" t="s">
        <v>407</v>
      </c>
      <c r="AI287">
        <v>5.4528305774245167E-2</v>
      </c>
    </row>
    <row r="288" spans="9:35" x14ac:dyDescent="0.45">
      <c r="I288" t="s">
        <v>249</v>
      </c>
      <c r="J288" t="s">
        <v>408</v>
      </c>
      <c r="K288">
        <v>7.0415792442286998E-3</v>
      </c>
      <c r="L288" t="s">
        <v>251</v>
      </c>
      <c r="N288" t="s">
        <v>419</v>
      </c>
      <c r="O288" t="s">
        <v>408</v>
      </c>
      <c r="P288">
        <v>2.9598672303039887E-3</v>
      </c>
      <c r="Q288" t="s">
        <v>251</v>
      </c>
      <c r="S288" t="s">
        <v>420</v>
      </c>
      <c r="T288" t="s">
        <v>408</v>
      </c>
      <c r="U288">
        <v>3.2563955971113821E-3</v>
      </c>
      <c r="V288" t="s">
        <v>251</v>
      </c>
      <c r="X288">
        <v>3.4246575342465752E-3</v>
      </c>
      <c r="Y288">
        <v>6.662854585684809E-3</v>
      </c>
      <c r="Z288" t="s">
        <v>408</v>
      </c>
      <c r="AA288" t="s">
        <v>25</v>
      </c>
      <c r="AC288" t="s">
        <v>22</v>
      </c>
      <c r="AD288" t="s">
        <v>408</v>
      </c>
      <c r="AE288">
        <v>2.3591696150160315E-3</v>
      </c>
      <c r="AG288" t="s">
        <v>99</v>
      </c>
      <c r="AH288" t="s">
        <v>408</v>
      </c>
      <c r="AI288">
        <v>2.5864249786949456E-2</v>
      </c>
    </row>
    <row r="289" spans="9:35" x14ac:dyDescent="0.45">
      <c r="I289" t="s">
        <v>249</v>
      </c>
      <c r="J289" t="s">
        <v>409</v>
      </c>
      <c r="K289">
        <v>4.1807614240014232E-3</v>
      </c>
      <c r="L289" t="s">
        <v>251</v>
      </c>
      <c r="N289" t="s">
        <v>419</v>
      </c>
      <c r="O289" t="s">
        <v>409</v>
      </c>
      <c r="P289">
        <v>3.3455294891401029E-3</v>
      </c>
      <c r="Q289" t="s">
        <v>251</v>
      </c>
      <c r="S289" t="s">
        <v>420</v>
      </c>
      <c r="T289" t="s">
        <v>409</v>
      </c>
      <c r="U289">
        <v>3.238425197695286E-3</v>
      </c>
      <c r="V289" t="s">
        <v>251</v>
      </c>
      <c r="X289">
        <v>3.4246575342465752E-3</v>
      </c>
      <c r="Y289">
        <v>5.1711707232180593E-3</v>
      </c>
      <c r="Z289" t="s">
        <v>409</v>
      </c>
      <c r="AA289" t="s">
        <v>25</v>
      </c>
      <c r="AC289" t="s">
        <v>22</v>
      </c>
      <c r="AD289" t="s">
        <v>409</v>
      </c>
      <c r="AE289">
        <v>2.3797859723935933E-3</v>
      </c>
      <c r="AG289" t="s">
        <v>99</v>
      </c>
      <c r="AH289" t="s">
        <v>409</v>
      </c>
      <c r="AI289">
        <v>2.7494936993699426E-2</v>
      </c>
    </row>
    <row r="290" spans="9:35" x14ac:dyDescent="0.45">
      <c r="I290" t="s">
        <v>249</v>
      </c>
      <c r="J290" t="s">
        <v>410</v>
      </c>
      <c r="K290">
        <v>5.9271588075933296E-5</v>
      </c>
      <c r="L290" t="s">
        <v>251</v>
      </c>
      <c r="N290" t="s">
        <v>419</v>
      </c>
      <c r="O290" t="s">
        <v>410</v>
      </c>
      <c r="P290">
        <v>2.3746828472602736E-2</v>
      </c>
      <c r="Q290" t="s">
        <v>251</v>
      </c>
      <c r="S290" t="s">
        <v>420</v>
      </c>
      <c r="T290" t="s">
        <v>410</v>
      </c>
      <c r="U290">
        <v>1.5881674826197154E-2</v>
      </c>
      <c r="V290" t="s">
        <v>251</v>
      </c>
      <c r="X290">
        <v>1.7123287671232876E-2</v>
      </c>
      <c r="Y290">
        <v>1.2927926808045149E-2</v>
      </c>
      <c r="Z290" t="s">
        <v>410</v>
      </c>
      <c r="AA290" t="s">
        <v>25</v>
      </c>
      <c r="AC290" t="s">
        <v>22</v>
      </c>
      <c r="AD290" t="s">
        <v>410</v>
      </c>
      <c r="AE290">
        <v>1.6329373744555842E-2</v>
      </c>
      <c r="AG290" t="s">
        <v>99</v>
      </c>
      <c r="AH290" t="s">
        <v>410</v>
      </c>
      <c r="AI290">
        <v>0.14805486992572869</v>
      </c>
    </row>
    <row r="291" spans="9:35" x14ac:dyDescent="0.45">
      <c r="I291" t="s">
        <v>249</v>
      </c>
      <c r="J291" t="s">
        <v>411</v>
      </c>
      <c r="K291">
        <v>6.6278554123906467E-6</v>
      </c>
      <c r="L291" t="s">
        <v>251</v>
      </c>
      <c r="N291" t="s">
        <v>419</v>
      </c>
      <c r="O291" t="s">
        <v>411</v>
      </c>
      <c r="P291">
        <v>2.9148705987605529E-2</v>
      </c>
      <c r="Q291" t="s">
        <v>251</v>
      </c>
      <c r="S291" t="s">
        <v>420</v>
      </c>
      <c r="T291" t="s">
        <v>411</v>
      </c>
      <c r="U291">
        <v>2.0183954998849667E-2</v>
      </c>
      <c r="V291" t="s">
        <v>251</v>
      </c>
      <c r="X291">
        <v>2.0547945205479451E-2</v>
      </c>
      <c r="Y291">
        <v>4.3954951147353507E-3</v>
      </c>
      <c r="Z291" t="s">
        <v>411</v>
      </c>
      <c r="AA291" t="s">
        <v>25</v>
      </c>
      <c r="AC291" t="s">
        <v>22</v>
      </c>
      <c r="AD291" t="s">
        <v>411</v>
      </c>
      <c r="AE291">
        <v>2.2909454126205528E-2</v>
      </c>
      <c r="AG291" t="s">
        <v>99</v>
      </c>
      <c r="AH291" t="s">
        <v>411</v>
      </c>
      <c r="AI291">
        <v>0.10614169567502141</v>
      </c>
    </row>
    <row r="292" spans="9:35" x14ac:dyDescent="0.45">
      <c r="I292" t="s">
        <v>249</v>
      </c>
      <c r="J292" t="s">
        <v>412</v>
      </c>
      <c r="K292">
        <v>3.2448269904994773E-3</v>
      </c>
      <c r="L292" t="s">
        <v>251</v>
      </c>
      <c r="N292" t="s">
        <v>419</v>
      </c>
      <c r="O292" t="s">
        <v>412</v>
      </c>
      <c r="P292">
        <v>4.2749169786298847E-3</v>
      </c>
      <c r="Q292" t="s">
        <v>251</v>
      </c>
      <c r="S292" t="s">
        <v>420</v>
      </c>
      <c r="T292" t="s">
        <v>412</v>
      </c>
      <c r="U292">
        <v>3.4568814590586897E-3</v>
      </c>
      <c r="V292" t="s">
        <v>251</v>
      </c>
      <c r="X292">
        <v>3.4246575342465752E-3</v>
      </c>
      <c r="Y292">
        <v>5.0717251323869452E-3</v>
      </c>
      <c r="Z292" t="s">
        <v>412</v>
      </c>
      <c r="AA292" t="s">
        <v>25</v>
      </c>
      <c r="AC292" t="s">
        <v>22</v>
      </c>
      <c r="AD292" t="s">
        <v>412</v>
      </c>
      <c r="AE292">
        <v>3.8588476234007315E-3</v>
      </c>
      <c r="AG292" t="s">
        <v>99</v>
      </c>
      <c r="AH292" t="s">
        <v>412</v>
      </c>
      <c r="AI292">
        <v>0.10024954715481837</v>
      </c>
    </row>
    <row r="293" spans="9:35" x14ac:dyDescent="0.45">
      <c r="I293" t="s">
        <v>249</v>
      </c>
      <c r="J293" t="s">
        <v>413</v>
      </c>
      <c r="K293">
        <v>6.2125532195775003E-3</v>
      </c>
      <c r="L293" t="s">
        <v>251</v>
      </c>
      <c r="N293" t="s">
        <v>419</v>
      </c>
      <c r="O293" t="s">
        <v>413</v>
      </c>
      <c r="P293">
        <v>3.6862528444312156E-3</v>
      </c>
      <c r="Q293" t="s">
        <v>251</v>
      </c>
      <c r="S293" t="s">
        <v>420</v>
      </c>
      <c r="T293" t="s">
        <v>413</v>
      </c>
      <c r="U293">
        <v>3.457471462841193E-3</v>
      </c>
      <c r="V293" t="s">
        <v>251</v>
      </c>
      <c r="X293">
        <v>3.4246575342465752E-3</v>
      </c>
      <c r="Y293">
        <v>5.7181214727892006E-3</v>
      </c>
      <c r="Z293" t="s">
        <v>413</v>
      </c>
      <c r="AA293" t="s">
        <v>25</v>
      </c>
      <c r="AC293" t="s">
        <v>22</v>
      </c>
      <c r="AD293" t="s">
        <v>413</v>
      </c>
      <c r="AE293">
        <v>3.8525096273736509E-3</v>
      </c>
      <c r="AG293" t="s">
        <v>99</v>
      </c>
      <c r="AH293" t="s">
        <v>413</v>
      </c>
      <c r="AI293">
        <v>7.0872652220075105E-2</v>
      </c>
    </row>
    <row r="294" spans="9:35" x14ac:dyDescent="0.45">
      <c r="I294" t="s">
        <v>249</v>
      </c>
      <c r="J294" t="s">
        <v>414</v>
      </c>
      <c r="K294">
        <v>5.6288693756864697E-2</v>
      </c>
      <c r="L294" t="s">
        <v>251</v>
      </c>
      <c r="N294" t="s">
        <v>419</v>
      </c>
      <c r="O294" t="s">
        <v>414</v>
      </c>
      <c r="P294">
        <v>1.6926121061253966E-2</v>
      </c>
      <c r="Q294" t="s">
        <v>251</v>
      </c>
      <c r="S294" t="s">
        <v>420</v>
      </c>
      <c r="T294" t="s">
        <v>414</v>
      </c>
      <c r="U294">
        <v>2.1775305159689385E-2</v>
      </c>
      <c r="V294" t="s">
        <v>251</v>
      </c>
      <c r="X294">
        <v>2.0547945205479451E-2</v>
      </c>
      <c r="Y294">
        <v>2.5895631852422749E-2</v>
      </c>
      <c r="Z294" t="s">
        <v>414</v>
      </c>
      <c r="AA294" t="s">
        <v>25</v>
      </c>
      <c r="AC294" t="s">
        <v>22</v>
      </c>
      <c r="AD294" t="s">
        <v>414</v>
      </c>
      <c r="AE294">
        <v>2.1412793549337058E-2</v>
      </c>
      <c r="AG294" t="s">
        <v>99</v>
      </c>
      <c r="AH294" t="s">
        <v>414</v>
      </c>
      <c r="AI294">
        <v>0.12651030821749765</v>
      </c>
    </row>
    <row r="295" spans="9:35" x14ac:dyDescent="0.45">
      <c r="I295" t="s">
        <v>249</v>
      </c>
      <c r="J295" t="s">
        <v>415</v>
      </c>
      <c r="K295">
        <v>2.584956570665E-2</v>
      </c>
      <c r="L295" t="s">
        <v>251</v>
      </c>
      <c r="N295" t="s">
        <v>419</v>
      </c>
      <c r="O295" t="s">
        <v>415</v>
      </c>
      <c r="P295">
        <v>7.3436129494264379E-3</v>
      </c>
      <c r="Q295" t="s">
        <v>251</v>
      </c>
      <c r="S295" t="s">
        <v>420</v>
      </c>
      <c r="T295" t="s">
        <v>415</v>
      </c>
      <c r="U295">
        <v>1.1272950213867086E-2</v>
      </c>
      <c r="V295" t="s">
        <v>251</v>
      </c>
      <c r="X295">
        <v>1.0273972602739725E-2</v>
      </c>
      <c r="Y295">
        <v>1.6348855132635558E-2</v>
      </c>
      <c r="Z295" t="s">
        <v>415</v>
      </c>
      <c r="AA295" t="s">
        <v>25</v>
      </c>
      <c r="AC295" t="s">
        <v>22</v>
      </c>
      <c r="AD295" t="s">
        <v>415</v>
      </c>
      <c r="AE295">
        <v>7.6948479255905403E-3</v>
      </c>
      <c r="AG295" t="s">
        <v>99</v>
      </c>
      <c r="AH295" t="s">
        <v>415</v>
      </c>
      <c r="AI295">
        <v>6.1273630821251146E-2</v>
      </c>
    </row>
    <row r="296" spans="9:35" x14ac:dyDescent="0.45">
      <c r="I296" t="s">
        <v>249</v>
      </c>
      <c r="J296" t="s">
        <v>416</v>
      </c>
      <c r="K296">
        <v>6.4579015222478997E-3</v>
      </c>
      <c r="L296" t="s">
        <v>251</v>
      </c>
      <c r="N296" t="s">
        <v>419</v>
      </c>
      <c r="O296" t="s">
        <v>416</v>
      </c>
      <c r="P296">
        <v>2.773957683735377E-3</v>
      </c>
      <c r="Q296" t="s">
        <v>251</v>
      </c>
      <c r="S296" t="s">
        <v>420</v>
      </c>
      <c r="T296" t="s">
        <v>416</v>
      </c>
      <c r="U296">
        <v>3.7944876435664515E-3</v>
      </c>
      <c r="V296" t="s">
        <v>251</v>
      </c>
      <c r="X296">
        <v>3.4246575342465752E-3</v>
      </c>
      <c r="Y296">
        <v>6.662854585684809E-3</v>
      </c>
      <c r="Z296" t="s">
        <v>416</v>
      </c>
      <c r="AA296" t="s">
        <v>25</v>
      </c>
      <c r="AC296" t="s">
        <v>22</v>
      </c>
      <c r="AD296" t="s">
        <v>416</v>
      </c>
      <c r="AE296">
        <v>2.4354373633978664E-3</v>
      </c>
      <c r="AG296" t="s">
        <v>99</v>
      </c>
      <c r="AH296" t="s">
        <v>416</v>
      </c>
      <c r="AI296">
        <v>2.5361815605989158E-2</v>
      </c>
    </row>
    <row r="297" spans="9:35" x14ac:dyDescent="0.45">
      <c r="I297" t="s">
        <v>249</v>
      </c>
      <c r="J297" t="s">
        <v>417</v>
      </c>
      <c r="K297">
        <v>4.1962435996093957E-3</v>
      </c>
      <c r="L297" t="s">
        <v>251</v>
      </c>
      <c r="N297" t="s">
        <v>419</v>
      </c>
      <c r="O297" t="s">
        <v>417</v>
      </c>
      <c r="P297">
        <v>2.9377286277385037E-3</v>
      </c>
      <c r="Q297" t="s">
        <v>251</v>
      </c>
      <c r="S297" t="s">
        <v>420</v>
      </c>
      <c r="T297" t="s">
        <v>417</v>
      </c>
      <c r="U297">
        <v>3.7546483547530223E-3</v>
      </c>
      <c r="V297" t="s">
        <v>251</v>
      </c>
      <c r="X297">
        <v>3.4246575342465752E-3</v>
      </c>
      <c r="Y297">
        <v>5.1711707232180593E-3</v>
      </c>
      <c r="Z297" t="s">
        <v>417</v>
      </c>
      <c r="AA297" t="s">
        <v>25</v>
      </c>
      <c r="AC297" t="s">
        <v>22</v>
      </c>
      <c r="AD297" t="s">
        <v>417</v>
      </c>
      <c r="AE297">
        <v>2.4528191983668709E-3</v>
      </c>
      <c r="AG297" t="s">
        <v>99</v>
      </c>
      <c r="AH297" t="s">
        <v>417</v>
      </c>
      <c r="AI297">
        <v>2.4625880829660662E-2</v>
      </c>
    </row>
    <row r="298" spans="9:35" x14ac:dyDescent="0.45">
      <c r="I298" t="s">
        <v>249</v>
      </c>
      <c r="J298" t="s">
        <v>418</v>
      </c>
      <c r="K298">
        <v>9.5125674155090774E-4</v>
      </c>
      <c r="L298" t="s">
        <v>251</v>
      </c>
      <c r="N298" t="s">
        <v>419</v>
      </c>
      <c r="O298" t="s">
        <v>418</v>
      </c>
      <c r="P298">
        <v>2.1076672370711615E-2</v>
      </c>
      <c r="Q298" t="s">
        <v>251</v>
      </c>
      <c r="S298" t="s">
        <v>420</v>
      </c>
      <c r="T298" t="s">
        <v>418</v>
      </c>
      <c r="U298">
        <v>1.734763307189734E-2</v>
      </c>
      <c r="V298" t="s">
        <v>251</v>
      </c>
      <c r="X298">
        <v>1.7123287671232876E-2</v>
      </c>
      <c r="Y298">
        <v>1.2927926808045149E-2</v>
      </c>
      <c r="Z298" t="s">
        <v>418</v>
      </c>
      <c r="AA298" t="s">
        <v>25</v>
      </c>
      <c r="AC298" t="s">
        <v>22</v>
      </c>
      <c r="AD298" t="s">
        <v>418</v>
      </c>
      <c r="AE298">
        <v>1.6779477360653564E-2</v>
      </c>
      <c r="AG298" t="s">
        <v>99</v>
      </c>
      <c r="AH298" t="s">
        <v>418</v>
      </c>
      <c r="AI298">
        <v>0.15337485328812983</v>
      </c>
    </row>
    <row r="299" spans="9:35" x14ac:dyDescent="0.45">
      <c r="I299" t="s">
        <v>249</v>
      </c>
      <c r="J299" t="s">
        <v>772</v>
      </c>
      <c r="K299">
        <v>0</v>
      </c>
      <c r="L299" t="s">
        <v>251</v>
      </c>
      <c r="N299" t="s">
        <v>419</v>
      </c>
      <c r="O299" t="s">
        <v>772</v>
      </c>
      <c r="P299">
        <v>1.075824758691E-4</v>
      </c>
      <c r="Q299" t="s">
        <v>251</v>
      </c>
      <c r="S299" t="s">
        <v>420</v>
      </c>
      <c r="T299" t="s">
        <v>772</v>
      </c>
      <c r="U299">
        <v>8.0020464510329381E-5</v>
      </c>
      <c r="V299" t="s">
        <v>251</v>
      </c>
      <c r="X299">
        <v>1.1415525114155251E-4</v>
      </c>
      <c r="Y299">
        <v>2.1546544680075254E-5</v>
      </c>
      <c r="Z299" t="s">
        <v>772</v>
      </c>
      <c r="AA299" t="s">
        <v>25</v>
      </c>
      <c r="AC299" t="s">
        <v>22</v>
      </c>
      <c r="AD299" t="s">
        <v>772</v>
      </c>
      <c r="AE299">
        <v>1.0626318962393875E-4</v>
      </c>
      <c r="AG299" t="s">
        <v>99</v>
      </c>
      <c r="AH299" t="s">
        <v>772</v>
      </c>
      <c r="AI299">
        <v>0</v>
      </c>
    </row>
    <row r="300" spans="9:35" x14ac:dyDescent="0.45">
      <c r="I300" t="s">
        <v>249</v>
      </c>
      <c r="J300" t="s">
        <v>773</v>
      </c>
      <c r="K300">
        <v>0</v>
      </c>
      <c r="L300" t="s">
        <v>251</v>
      </c>
      <c r="N300" t="s">
        <v>419</v>
      </c>
      <c r="O300" t="s">
        <v>773</v>
      </c>
      <c r="P300">
        <v>1.0869582169699999E-4</v>
      </c>
      <c r="Q300" t="s">
        <v>251</v>
      </c>
      <c r="S300" t="s">
        <v>420</v>
      </c>
      <c r="T300" t="s">
        <v>773</v>
      </c>
      <c r="U300">
        <v>7.2759363570582548E-5</v>
      </c>
      <c r="V300" t="s">
        <v>251</v>
      </c>
      <c r="X300">
        <v>1.1415525114155251E-4</v>
      </c>
      <c r="Y300">
        <v>1.4916838624667481E-5</v>
      </c>
      <c r="Z300" t="s">
        <v>773</v>
      </c>
      <c r="AA300" t="s">
        <v>25</v>
      </c>
      <c r="AC300" t="s">
        <v>22</v>
      </c>
      <c r="AD300" t="s">
        <v>773</v>
      </c>
      <c r="AE300">
        <v>1.0510757756636958E-4</v>
      </c>
      <c r="AG300" t="s">
        <v>99</v>
      </c>
      <c r="AH300" t="s">
        <v>773</v>
      </c>
      <c r="AI300">
        <v>0</v>
      </c>
    </row>
    <row r="301" spans="9:35" x14ac:dyDescent="0.45">
      <c r="I301" t="s">
        <v>249</v>
      </c>
      <c r="J301" t="s">
        <v>774</v>
      </c>
      <c r="K301">
        <v>0</v>
      </c>
      <c r="L301" t="s">
        <v>251</v>
      </c>
      <c r="N301" t="s">
        <v>419</v>
      </c>
      <c r="O301" t="s">
        <v>774</v>
      </c>
      <c r="P301">
        <v>1.0623511770170001E-4</v>
      </c>
      <c r="Q301" t="s">
        <v>251</v>
      </c>
      <c r="S301" t="s">
        <v>420</v>
      </c>
      <c r="T301" t="s">
        <v>774</v>
      </c>
      <c r="U301">
        <v>6.8891373489152815E-5</v>
      </c>
      <c r="V301" t="s">
        <v>251</v>
      </c>
      <c r="X301">
        <v>1.1415525114155251E-4</v>
      </c>
      <c r="Y301">
        <v>1.6574265138519424E-5</v>
      </c>
      <c r="Z301" t="s">
        <v>774</v>
      </c>
      <c r="AA301" t="s">
        <v>25</v>
      </c>
      <c r="AC301" t="s">
        <v>22</v>
      </c>
      <c r="AD301" t="s">
        <v>774</v>
      </c>
      <c r="AE301">
        <v>1.0510757756636958E-4</v>
      </c>
      <c r="AG301" t="s">
        <v>99</v>
      </c>
      <c r="AH301" t="s">
        <v>774</v>
      </c>
      <c r="AI301">
        <v>0</v>
      </c>
    </row>
    <row r="302" spans="9:35" x14ac:dyDescent="0.45">
      <c r="I302" t="s">
        <v>249</v>
      </c>
      <c r="J302" t="s">
        <v>775</v>
      </c>
      <c r="K302">
        <v>0</v>
      </c>
      <c r="L302" t="s">
        <v>251</v>
      </c>
      <c r="N302" t="s">
        <v>419</v>
      </c>
      <c r="O302" t="s">
        <v>775</v>
      </c>
      <c r="P302">
        <v>1.0112751542819999E-4</v>
      </c>
      <c r="Q302" t="s">
        <v>251</v>
      </c>
      <c r="S302" t="s">
        <v>420</v>
      </c>
      <c r="T302" t="s">
        <v>775</v>
      </c>
      <c r="U302">
        <v>6.6475695055000212E-5</v>
      </c>
      <c r="V302" t="s">
        <v>251</v>
      </c>
      <c r="X302">
        <v>1.1415525114155251E-4</v>
      </c>
      <c r="Y302">
        <v>1.4585353321897093E-5</v>
      </c>
      <c r="Z302" t="s">
        <v>775</v>
      </c>
      <c r="AA302" t="s">
        <v>25</v>
      </c>
      <c r="AC302" t="s">
        <v>22</v>
      </c>
      <c r="AD302" t="s">
        <v>775</v>
      </c>
      <c r="AE302">
        <v>1.0539945896235354E-4</v>
      </c>
      <c r="AG302" t="s">
        <v>99</v>
      </c>
      <c r="AH302" t="s">
        <v>775</v>
      </c>
      <c r="AI302">
        <v>0</v>
      </c>
    </row>
    <row r="303" spans="9:35" x14ac:dyDescent="0.45">
      <c r="I303" t="s">
        <v>249</v>
      </c>
      <c r="J303" t="s">
        <v>776</v>
      </c>
      <c r="K303">
        <v>0</v>
      </c>
      <c r="L303" t="s">
        <v>251</v>
      </c>
      <c r="N303" t="s">
        <v>419</v>
      </c>
      <c r="O303" t="s">
        <v>776</v>
      </c>
      <c r="P303">
        <v>1.025832572883E-4</v>
      </c>
      <c r="Q303" t="s">
        <v>251</v>
      </c>
      <c r="S303" t="s">
        <v>420</v>
      </c>
      <c r="T303" t="s">
        <v>776</v>
      </c>
      <c r="U303">
        <v>6.2745358791392535E-5</v>
      </c>
      <c r="V303" t="s">
        <v>251</v>
      </c>
      <c r="X303">
        <v>1.1415525114155251E-4</v>
      </c>
      <c r="Y303">
        <v>2.1215059377304864E-5</v>
      </c>
      <c r="Z303" t="s">
        <v>776</v>
      </c>
      <c r="AA303" t="s">
        <v>25</v>
      </c>
      <c r="AC303" t="s">
        <v>22</v>
      </c>
      <c r="AD303" t="s">
        <v>776</v>
      </c>
      <c r="AE303">
        <v>1.0575686475335431E-4</v>
      </c>
      <c r="AG303" t="s">
        <v>99</v>
      </c>
      <c r="AH303" t="s">
        <v>776</v>
      </c>
      <c r="AI303">
        <v>0</v>
      </c>
    </row>
    <row r="304" spans="9:35" x14ac:dyDescent="0.45">
      <c r="I304" t="s">
        <v>249</v>
      </c>
      <c r="J304" t="s">
        <v>777</v>
      </c>
      <c r="K304">
        <v>1.1875459274666257E-6</v>
      </c>
      <c r="L304" t="s">
        <v>251</v>
      </c>
      <c r="N304" t="s">
        <v>419</v>
      </c>
      <c r="O304" t="s">
        <v>777</v>
      </c>
      <c r="P304">
        <v>1.0838486463779999E-4</v>
      </c>
      <c r="Q304" t="s">
        <v>251</v>
      </c>
      <c r="S304" t="s">
        <v>420</v>
      </c>
      <c r="T304" t="s">
        <v>777</v>
      </c>
      <c r="U304">
        <v>5.2826104773427312E-5</v>
      </c>
      <c r="V304" t="s">
        <v>251</v>
      </c>
      <c r="X304">
        <v>1.1415525114155251E-4</v>
      </c>
      <c r="Y304">
        <v>5.7678442682047593E-5</v>
      </c>
      <c r="Z304" t="s">
        <v>777</v>
      </c>
      <c r="AA304" t="s">
        <v>25</v>
      </c>
      <c r="AC304" t="s">
        <v>22</v>
      </c>
      <c r="AD304" t="s">
        <v>777</v>
      </c>
      <c r="AE304">
        <v>1.0639423841397235E-4</v>
      </c>
      <c r="AG304" t="s">
        <v>99</v>
      </c>
      <c r="AH304" t="s">
        <v>777</v>
      </c>
      <c r="AI304">
        <v>0</v>
      </c>
    </row>
    <row r="305" spans="9:35" x14ac:dyDescent="0.45">
      <c r="I305" t="s">
        <v>249</v>
      </c>
      <c r="J305" t="s">
        <v>778</v>
      </c>
      <c r="K305">
        <v>1.121213271492E-4</v>
      </c>
      <c r="L305" t="s">
        <v>251</v>
      </c>
      <c r="N305" t="s">
        <v>419</v>
      </c>
      <c r="O305" t="s">
        <v>778</v>
      </c>
      <c r="P305">
        <v>1.041459011679E-4</v>
      </c>
      <c r="Q305" t="s">
        <v>251</v>
      </c>
      <c r="S305" t="s">
        <v>420</v>
      </c>
      <c r="T305" t="s">
        <v>778</v>
      </c>
      <c r="U305">
        <v>4.1785900229021184E-5</v>
      </c>
      <c r="V305" t="s">
        <v>251</v>
      </c>
      <c r="X305">
        <v>1.1415525114155251E-4</v>
      </c>
      <c r="Y305">
        <v>1.6905750441289813E-4</v>
      </c>
      <c r="Z305" t="s">
        <v>778</v>
      </c>
      <c r="AA305" t="s">
        <v>25</v>
      </c>
      <c r="AC305" t="s">
        <v>22</v>
      </c>
      <c r="AD305" t="s">
        <v>778</v>
      </c>
      <c r="AE305">
        <v>1.0855058668634368E-4</v>
      </c>
      <c r="AG305" t="s">
        <v>99</v>
      </c>
      <c r="AH305" t="s">
        <v>778</v>
      </c>
      <c r="AI305">
        <v>0</v>
      </c>
    </row>
    <row r="306" spans="9:35" x14ac:dyDescent="0.45">
      <c r="I306" t="s">
        <v>249</v>
      </c>
      <c r="J306" t="s">
        <v>779</v>
      </c>
      <c r="K306">
        <v>2.176743845729E-4</v>
      </c>
      <c r="L306" t="s">
        <v>251</v>
      </c>
      <c r="N306" t="s">
        <v>419</v>
      </c>
      <c r="O306" t="s">
        <v>779</v>
      </c>
      <c r="P306">
        <v>8.6742275982607431E-5</v>
      </c>
      <c r="Q306" t="s">
        <v>251</v>
      </c>
      <c r="S306" t="s">
        <v>420</v>
      </c>
      <c r="T306" t="s">
        <v>779</v>
      </c>
      <c r="U306">
        <v>3.5400224218740363E-5</v>
      </c>
      <c r="V306" t="s">
        <v>251</v>
      </c>
      <c r="X306">
        <v>1.1415525114155251E-4</v>
      </c>
      <c r="Y306">
        <v>1.9060404909297337E-4</v>
      </c>
      <c r="Z306" t="s">
        <v>779</v>
      </c>
      <c r="AA306" t="s">
        <v>25</v>
      </c>
      <c r="AC306" t="s">
        <v>22</v>
      </c>
      <c r="AD306" t="s">
        <v>779</v>
      </c>
      <c r="AE306">
        <v>1.1088563785421542E-4</v>
      </c>
      <c r="AG306" t="s">
        <v>99</v>
      </c>
      <c r="AH306" t="s">
        <v>779</v>
      </c>
      <c r="AI306">
        <v>0</v>
      </c>
    </row>
    <row r="307" spans="9:35" x14ac:dyDescent="0.45">
      <c r="I307" t="s">
        <v>249</v>
      </c>
      <c r="J307" t="s">
        <v>780</v>
      </c>
      <c r="K307">
        <v>2.8886011859560002E-4</v>
      </c>
      <c r="L307" t="s">
        <v>251</v>
      </c>
      <c r="N307" t="s">
        <v>419</v>
      </c>
      <c r="O307" t="s">
        <v>780</v>
      </c>
      <c r="P307">
        <v>1.039404719595E-4</v>
      </c>
      <c r="Q307" t="s">
        <v>251</v>
      </c>
      <c r="S307" t="s">
        <v>420</v>
      </c>
      <c r="T307" t="s">
        <v>780</v>
      </c>
      <c r="U307">
        <v>2.1658128848712416E-5</v>
      </c>
      <c r="V307" t="s">
        <v>251</v>
      </c>
      <c r="X307">
        <v>1.1415525114155251E-4</v>
      </c>
      <c r="Y307">
        <v>1.4585353321897094E-4</v>
      </c>
      <c r="Z307" t="s">
        <v>780</v>
      </c>
      <c r="AA307" t="s">
        <v>25</v>
      </c>
      <c r="AC307" t="s">
        <v>22</v>
      </c>
      <c r="AD307" t="s">
        <v>780</v>
      </c>
      <c r="AE307">
        <v>1.1136217890888313E-4</v>
      </c>
      <c r="AG307" t="s">
        <v>99</v>
      </c>
      <c r="AH307" t="s">
        <v>780</v>
      </c>
      <c r="AI307">
        <v>0</v>
      </c>
    </row>
    <row r="308" spans="9:35" x14ac:dyDescent="0.45">
      <c r="I308" t="s">
        <v>249</v>
      </c>
      <c r="J308" t="s">
        <v>781</v>
      </c>
      <c r="K308">
        <v>3.2778317146460001E-4</v>
      </c>
      <c r="L308" t="s">
        <v>251</v>
      </c>
      <c r="N308" t="s">
        <v>419</v>
      </c>
      <c r="O308" t="s">
        <v>781</v>
      </c>
      <c r="P308">
        <v>1.062324417245E-4</v>
      </c>
      <c r="Q308" t="s">
        <v>251</v>
      </c>
      <c r="S308" t="s">
        <v>420</v>
      </c>
      <c r="T308" t="s">
        <v>781</v>
      </c>
      <c r="U308">
        <v>1.8872564949357971E-5</v>
      </c>
      <c r="V308" t="s">
        <v>251</v>
      </c>
      <c r="X308">
        <v>1.1415525114155251E-4</v>
      </c>
      <c r="Y308">
        <v>1.4452759200788939E-4</v>
      </c>
      <c r="Z308" t="s">
        <v>781</v>
      </c>
      <c r="AA308" t="s">
        <v>25</v>
      </c>
      <c r="AC308" t="s">
        <v>22</v>
      </c>
      <c r="AD308" t="s">
        <v>781</v>
      </c>
      <c r="AE308">
        <v>1.1110008132881589E-4</v>
      </c>
      <c r="AG308" t="s">
        <v>99</v>
      </c>
      <c r="AH308" t="s">
        <v>781</v>
      </c>
      <c r="AI308">
        <v>0</v>
      </c>
    </row>
    <row r="309" spans="9:35" x14ac:dyDescent="0.45">
      <c r="I309" t="s">
        <v>249</v>
      </c>
      <c r="J309" t="s">
        <v>782</v>
      </c>
      <c r="K309">
        <v>3.4754907123639997E-4</v>
      </c>
      <c r="L309" t="s">
        <v>251</v>
      </c>
      <c r="N309" t="s">
        <v>419</v>
      </c>
      <c r="O309" t="s">
        <v>782</v>
      </c>
      <c r="P309">
        <v>9.3650011705371237E-5</v>
      </c>
      <c r="Q309" t="s">
        <v>251</v>
      </c>
      <c r="S309" t="s">
        <v>420</v>
      </c>
      <c r="T309" t="s">
        <v>782</v>
      </c>
      <c r="U309">
        <v>1.6698037427422017E-5</v>
      </c>
      <c r="V309" t="s">
        <v>251</v>
      </c>
      <c r="X309">
        <v>1.1415525114155251E-4</v>
      </c>
      <c r="Y309">
        <v>1.408812536774151E-4</v>
      </c>
      <c r="Z309" t="s">
        <v>782</v>
      </c>
      <c r="AA309" t="s">
        <v>25</v>
      </c>
      <c r="AC309" t="s">
        <v>22</v>
      </c>
      <c r="AD309" t="s">
        <v>782</v>
      </c>
      <c r="AE309">
        <v>1.0900330068827801E-4</v>
      </c>
      <c r="AG309" t="s">
        <v>99</v>
      </c>
      <c r="AH309" t="s">
        <v>782</v>
      </c>
      <c r="AI309">
        <v>0</v>
      </c>
    </row>
    <row r="310" spans="9:35" x14ac:dyDescent="0.45">
      <c r="I310" t="s">
        <v>249</v>
      </c>
      <c r="J310" t="s">
        <v>783</v>
      </c>
      <c r="K310">
        <v>3.6142221753419999E-4</v>
      </c>
      <c r="L310" t="s">
        <v>251</v>
      </c>
      <c r="N310" t="s">
        <v>419</v>
      </c>
      <c r="O310" t="s">
        <v>783</v>
      </c>
      <c r="P310">
        <v>8.3514840036070341E-5</v>
      </c>
      <c r="Q310" t="s">
        <v>251</v>
      </c>
      <c r="S310" t="s">
        <v>420</v>
      </c>
      <c r="T310" t="s">
        <v>783</v>
      </c>
      <c r="U310">
        <v>1.5880877540395731E-5</v>
      </c>
      <c r="V310" t="s">
        <v>251</v>
      </c>
      <c r="X310">
        <v>1.1415525114155251E-4</v>
      </c>
      <c r="Y310">
        <v>1.4054976837464471E-4</v>
      </c>
      <c r="Z310" t="s">
        <v>783</v>
      </c>
      <c r="AA310" t="s">
        <v>25</v>
      </c>
      <c r="AC310" t="s">
        <v>22</v>
      </c>
      <c r="AD310" t="s">
        <v>783</v>
      </c>
      <c r="AE310">
        <v>1.0678142802088988E-4</v>
      </c>
      <c r="AG310" t="s">
        <v>99</v>
      </c>
      <c r="AH310" t="s">
        <v>783</v>
      </c>
      <c r="AI310">
        <v>0</v>
      </c>
    </row>
    <row r="311" spans="9:35" x14ac:dyDescent="0.45">
      <c r="I311" t="s">
        <v>249</v>
      </c>
      <c r="J311" t="s">
        <v>784</v>
      </c>
      <c r="K311">
        <v>3.65757083397E-4</v>
      </c>
      <c r="L311" t="s">
        <v>251</v>
      </c>
      <c r="N311" t="s">
        <v>419</v>
      </c>
      <c r="O311" t="s">
        <v>784</v>
      </c>
      <c r="P311">
        <v>7.8465834962217559E-5</v>
      </c>
      <c r="Q311" t="s">
        <v>251</v>
      </c>
      <c r="S311" t="s">
        <v>420</v>
      </c>
      <c r="T311" t="s">
        <v>784</v>
      </c>
      <c r="U311">
        <v>1.3710556958410301E-5</v>
      </c>
      <c r="V311" t="s">
        <v>251</v>
      </c>
      <c r="X311">
        <v>1.1415525114155251E-4</v>
      </c>
      <c r="Y311">
        <v>1.4253868019126702E-4</v>
      </c>
      <c r="Z311" t="s">
        <v>784</v>
      </c>
      <c r="AA311" t="s">
        <v>25</v>
      </c>
      <c r="AC311" t="s">
        <v>22</v>
      </c>
      <c r="AD311" t="s">
        <v>784</v>
      </c>
      <c r="AE311">
        <v>1.0109867594397756E-4</v>
      </c>
      <c r="AG311" t="s">
        <v>99</v>
      </c>
      <c r="AH311" t="s">
        <v>784</v>
      </c>
      <c r="AI311">
        <v>0</v>
      </c>
    </row>
    <row r="312" spans="9:35" x14ac:dyDescent="0.45">
      <c r="I312" t="s">
        <v>249</v>
      </c>
      <c r="J312" t="s">
        <v>785</v>
      </c>
      <c r="K312">
        <v>3.5971053873009998E-4</v>
      </c>
      <c r="L312" t="s">
        <v>251</v>
      </c>
      <c r="N312" t="s">
        <v>419</v>
      </c>
      <c r="O312" t="s">
        <v>785</v>
      </c>
      <c r="P312">
        <v>7.6465880405365535E-5</v>
      </c>
      <c r="Q312" t="s">
        <v>251</v>
      </c>
      <c r="S312" t="s">
        <v>420</v>
      </c>
      <c r="T312" t="s">
        <v>785</v>
      </c>
      <c r="U312">
        <v>1.1045775586356718E-5</v>
      </c>
      <c r="V312" t="s">
        <v>251</v>
      </c>
      <c r="X312">
        <v>1.1415525114155251E-4</v>
      </c>
      <c r="Y312">
        <v>1.4883690094390442E-4</v>
      </c>
      <c r="Z312" t="s">
        <v>785</v>
      </c>
      <c r="AA312" t="s">
        <v>25</v>
      </c>
      <c r="AC312" t="s">
        <v>22</v>
      </c>
      <c r="AD312" t="s">
        <v>785</v>
      </c>
      <c r="AE312">
        <v>9.6928941715635205E-5</v>
      </c>
      <c r="AG312" t="s">
        <v>99</v>
      </c>
      <c r="AH312" t="s">
        <v>785</v>
      </c>
      <c r="AI312">
        <v>0</v>
      </c>
    </row>
    <row r="313" spans="9:35" x14ac:dyDescent="0.45">
      <c r="I313" t="s">
        <v>249</v>
      </c>
      <c r="J313" t="s">
        <v>786</v>
      </c>
      <c r="K313">
        <v>3.4693300519809999E-4</v>
      </c>
      <c r="L313" t="s">
        <v>251</v>
      </c>
      <c r="N313" t="s">
        <v>419</v>
      </c>
      <c r="O313" t="s">
        <v>786</v>
      </c>
      <c r="P313">
        <v>7.4495574966739947E-5</v>
      </c>
      <c r="Q313" t="s">
        <v>251</v>
      </c>
      <c r="S313" t="s">
        <v>420</v>
      </c>
      <c r="T313" t="s">
        <v>786</v>
      </c>
      <c r="U313">
        <v>9.6026564171302315E-6</v>
      </c>
      <c r="V313" t="s">
        <v>251</v>
      </c>
      <c r="X313">
        <v>1.1415525114155251E-4</v>
      </c>
      <c r="Y313">
        <v>1.5049432745775637E-4</v>
      </c>
      <c r="Z313" t="s">
        <v>786</v>
      </c>
      <c r="AA313" t="s">
        <v>25</v>
      </c>
      <c r="AC313" t="s">
        <v>22</v>
      </c>
      <c r="AD313" t="s">
        <v>786</v>
      </c>
      <c r="AE313">
        <v>8.6856055172596726E-5</v>
      </c>
      <c r="AG313" t="s">
        <v>99</v>
      </c>
      <c r="AH313" t="s">
        <v>786</v>
      </c>
      <c r="AI313">
        <v>0</v>
      </c>
    </row>
    <row r="314" spans="9:35" x14ac:dyDescent="0.45">
      <c r="I314" t="s">
        <v>249</v>
      </c>
      <c r="J314" t="s">
        <v>787</v>
      </c>
      <c r="K314">
        <v>3.2601525214579998E-4</v>
      </c>
      <c r="L314" t="s">
        <v>251</v>
      </c>
      <c r="N314" t="s">
        <v>419</v>
      </c>
      <c r="O314" t="s">
        <v>787</v>
      </c>
      <c r="P314">
        <v>7.2566778556945445E-5</v>
      </c>
      <c r="Q314" t="s">
        <v>251</v>
      </c>
      <c r="S314" t="s">
        <v>420</v>
      </c>
      <c r="T314" t="s">
        <v>787</v>
      </c>
      <c r="U314">
        <v>7.1121373491426233E-6</v>
      </c>
      <c r="V314" t="s">
        <v>251</v>
      </c>
      <c r="X314">
        <v>1.1415525114155251E-4</v>
      </c>
      <c r="Y314">
        <v>1.7237235744060203E-4</v>
      </c>
      <c r="Z314" t="s">
        <v>787</v>
      </c>
      <c r="AA314" t="s">
        <v>25</v>
      </c>
      <c r="AC314" t="s">
        <v>22</v>
      </c>
      <c r="AD314" t="s">
        <v>787</v>
      </c>
      <c r="AE314">
        <v>8.1691541492635535E-5</v>
      </c>
      <c r="AG314" t="s">
        <v>99</v>
      </c>
      <c r="AH314" t="s">
        <v>787</v>
      </c>
      <c r="AI314">
        <v>0</v>
      </c>
    </row>
    <row r="315" spans="9:35" x14ac:dyDescent="0.45">
      <c r="I315" t="s">
        <v>249</v>
      </c>
      <c r="J315" t="s">
        <v>788</v>
      </c>
      <c r="K315">
        <v>2.9722200473359999E-4</v>
      </c>
      <c r="L315" t="s">
        <v>251</v>
      </c>
      <c r="N315" t="s">
        <v>419</v>
      </c>
      <c r="O315" t="s">
        <v>788</v>
      </c>
      <c r="P315">
        <v>7.2403484778257919E-5</v>
      </c>
      <c r="Q315" t="s">
        <v>251</v>
      </c>
      <c r="S315" t="s">
        <v>420</v>
      </c>
      <c r="T315" t="s">
        <v>788</v>
      </c>
      <c r="U315">
        <v>5.6146091019060808E-6</v>
      </c>
      <c r="V315" t="s">
        <v>251</v>
      </c>
      <c r="X315">
        <v>1.1415525114155251E-4</v>
      </c>
      <c r="Y315">
        <v>2.2209515285616027E-4</v>
      </c>
      <c r="Z315" t="s">
        <v>788</v>
      </c>
      <c r="AA315" t="s">
        <v>25</v>
      </c>
      <c r="AC315" t="s">
        <v>22</v>
      </c>
      <c r="AD315" t="s">
        <v>788</v>
      </c>
      <c r="AE315">
        <v>7.6211319363957012E-5</v>
      </c>
      <c r="AG315" t="s">
        <v>99</v>
      </c>
      <c r="AH315" t="s">
        <v>788</v>
      </c>
      <c r="AI315">
        <v>0</v>
      </c>
    </row>
    <row r="316" spans="9:35" x14ac:dyDescent="0.45">
      <c r="I316" t="s">
        <v>249</v>
      </c>
      <c r="J316" t="s">
        <v>789</v>
      </c>
      <c r="K316">
        <v>2.555694928697E-4</v>
      </c>
      <c r="L316" t="s">
        <v>251</v>
      </c>
      <c r="N316" t="s">
        <v>419</v>
      </c>
      <c r="O316" t="s">
        <v>789</v>
      </c>
      <c r="P316">
        <v>6.5669095519913794E-5</v>
      </c>
      <c r="Q316" t="s">
        <v>251</v>
      </c>
      <c r="S316" t="s">
        <v>420</v>
      </c>
      <c r="T316" t="s">
        <v>789</v>
      </c>
      <c r="U316">
        <v>5.7633154205703632E-6</v>
      </c>
      <c r="V316" t="s">
        <v>251</v>
      </c>
      <c r="X316">
        <v>1.1415525114155251E-4</v>
      </c>
      <c r="Y316">
        <v>2.2209515285616027E-4</v>
      </c>
      <c r="Z316" t="s">
        <v>789</v>
      </c>
      <c r="AA316" t="s">
        <v>25</v>
      </c>
      <c r="AC316" t="s">
        <v>22</v>
      </c>
      <c r="AD316" t="s">
        <v>789</v>
      </c>
      <c r="AE316">
        <v>7.6169622021673584E-5</v>
      </c>
      <c r="AG316" t="s">
        <v>99</v>
      </c>
      <c r="AH316" t="s">
        <v>789</v>
      </c>
      <c r="AI316">
        <v>0</v>
      </c>
    </row>
    <row r="317" spans="9:35" x14ac:dyDescent="0.45">
      <c r="I317" t="s">
        <v>249</v>
      </c>
      <c r="J317" t="s">
        <v>790</v>
      </c>
      <c r="K317">
        <v>1.673723804501E-4</v>
      </c>
      <c r="L317" t="s">
        <v>251</v>
      </c>
      <c r="N317" t="s">
        <v>419</v>
      </c>
      <c r="O317" t="s">
        <v>790</v>
      </c>
      <c r="P317">
        <v>4.1468061827791683E-5</v>
      </c>
      <c r="Q317" t="s">
        <v>251</v>
      </c>
      <c r="S317" t="s">
        <v>420</v>
      </c>
      <c r="T317" t="s">
        <v>790</v>
      </c>
      <c r="U317">
        <v>9.3601072694441684E-6</v>
      </c>
      <c r="V317" t="s">
        <v>251</v>
      </c>
      <c r="X317">
        <v>1.1415525114155251E-4</v>
      </c>
      <c r="Y317">
        <v>1.7237235744060203E-4</v>
      </c>
      <c r="Z317" t="s">
        <v>790</v>
      </c>
      <c r="AA317" t="s">
        <v>25</v>
      </c>
      <c r="AC317" t="s">
        <v>22</v>
      </c>
      <c r="AD317" t="s">
        <v>790</v>
      </c>
      <c r="AE317">
        <v>7.6384065496274046E-5</v>
      </c>
      <c r="AG317" t="s">
        <v>99</v>
      </c>
      <c r="AH317" t="s">
        <v>790</v>
      </c>
      <c r="AI317">
        <v>0</v>
      </c>
    </row>
    <row r="318" spans="9:35" x14ac:dyDescent="0.45">
      <c r="I318" t="s">
        <v>249</v>
      </c>
      <c r="J318" t="s">
        <v>791</v>
      </c>
      <c r="K318">
        <v>2.7475005004409112E-5</v>
      </c>
      <c r="L318" t="s">
        <v>251</v>
      </c>
      <c r="N318" t="s">
        <v>419</v>
      </c>
      <c r="O318" t="s">
        <v>791</v>
      </c>
      <c r="P318">
        <v>4.8902644317692109E-5</v>
      </c>
      <c r="Q318" t="s">
        <v>251</v>
      </c>
      <c r="S318" t="s">
        <v>420</v>
      </c>
      <c r="T318" t="s">
        <v>791</v>
      </c>
      <c r="U318">
        <v>1.2720629891474404E-5</v>
      </c>
      <c r="V318" t="s">
        <v>251</v>
      </c>
      <c r="X318">
        <v>1.1415525114155251E-4</v>
      </c>
      <c r="Y318">
        <v>1.5579809230208258E-4</v>
      </c>
      <c r="Z318" t="s">
        <v>791</v>
      </c>
      <c r="AA318" t="s">
        <v>25</v>
      </c>
      <c r="AC318" t="s">
        <v>22</v>
      </c>
      <c r="AD318" t="s">
        <v>791</v>
      </c>
      <c r="AE318">
        <v>8.1125648990217639E-5</v>
      </c>
      <c r="AG318" t="s">
        <v>99</v>
      </c>
      <c r="AH318" t="s">
        <v>791</v>
      </c>
      <c r="AI318">
        <v>0</v>
      </c>
    </row>
    <row r="319" spans="9:35" x14ac:dyDescent="0.45">
      <c r="I319" t="s">
        <v>249</v>
      </c>
      <c r="J319" t="s">
        <v>792</v>
      </c>
      <c r="K319">
        <v>0</v>
      </c>
      <c r="L319" t="s">
        <v>251</v>
      </c>
      <c r="N319" t="s">
        <v>419</v>
      </c>
      <c r="O319" t="s">
        <v>792</v>
      </c>
      <c r="P319">
        <v>7.5963761314667711E-5</v>
      </c>
      <c r="Q319" t="s">
        <v>251</v>
      </c>
      <c r="S319" t="s">
        <v>420</v>
      </c>
      <c r="T319" t="s">
        <v>792</v>
      </c>
      <c r="U319">
        <v>2.7047665111862023E-5</v>
      </c>
      <c r="V319" t="s">
        <v>251</v>
      </c>
      <c r="X319">
        <v>1.1415525114155251E-4</v>
      </c>
      <c r="Y319">
        <v>1.093901499142282E-4</v>
      </c>
      <c r="Z319" t="s">
        <v>792</v>
      </c>
      <c r="AA319" t="s">
        <v>25</v>
      </c>
      <c r="AC319" t="s">
        <v>22</v>
      </c>
      <c r="AD319" t="s">
        <v>792</v>
      </c>
      <c r="AE319">
        <v>8.6832228119863329E-5</v>
      </c>
      <c r="AG319" t="s">
        <v>99</v>
      </c>
      <c r="AH319" t="s">
        <v>792</v>
      </c>
      <c r="AI319">
        <v>0</v>
      </c>
    </row>
    <row r="320" spans="9:35" x14ac:dyDescent="0.45">
      <c r="I320" t="s">
        <v>249</v>
      </c>
      <c r="J320" t="s">
        <v>793</v>
      </c>
      <c r="K320">
        <v>0</v>
      </c>
      <c r="L320" t="s">
        <v>251</v>
      </c>
      <c r="N320" t="s">
        <v>419</v>
      </c>
      <c r="O320" t="s">
        <v>793</v>
      </c>
      <c r="P320">
        <v>1.080178049834E-4</v>
      </c>
      <c r="Q320" t="s">
        <v>251</v>
      </c>
      <c r="S320" t="s">
        <v>420</v>
      </c>
      <c r="T320" t="s">
        <v>793</v>
      </c>
      <c r="U320">
        <v>5.3345812249777229E-5</v>
      </c>
      <c r="V320" t="s">
        <v>251</v>
      </c>
      <c r="X320">
        <v>1.1415525114155251E-4</v>
      </c>
      <c r="Y320">
        <v>7.9556472664893237E-5</v>
      </c>
      <c r="Z320" t="s">
        <v>793</v>
      </c>
      <c r="AA320" t="s">
        <v>25</v>
      </c>
      <c r="AC320" t="s">
        <v>22</v>
      </c>
      <c r="AD320" t="s">
        <v>793</v>
      </c>
      <c r="AE320">
        <v>9.5237220971564881E-5</v>
      </c>
      <c r="AG320" t="s">
        <v>99</v>
      </c>
      <c r="AH320" t="s">
        <v>793</v>
      </c>
      <c r="AI320">
        <v>0</v>
      </c>
    </row>
    <row r="321" spans="9:35" x14ac:dyDescent="0.45">
      <c r="I321" t="s">
        <v>249</v>
      </c>
      <c r="J321" t="s">
        <v>794</v>
      </c>
      <c r="K321">
        <v>0</v>
      </c>
      <c r="L321" t="s">
        <v>251</v>
      </c>
      <c r="N321" t="s">
        <v>419</v>
      </c>
      <c r="O321" t="s">
        <v>794</v>
      </c>
      <c r="P321">
        <v>1.2983617941240001E-4</v>
      </c>
      <c r="Q321" t="s">
        <v>251</v>
      </c>
      <c r="S321" t="s">
        <v>420</v>
      </c>
      <c r="T321" t="s">
        <v>794</v>
      </c>
      <c r="U321">
        <v>9.5096968936534155E-5</v>
      </c>
      <c r="V321" t="s">
        <v>251</v>
      </c>
      <c r="X321">
        <v>1.1415525114155251E-4</v>
      </c>
      <c r="Y321">
        <v>5.6352501470966035E-5</v>
      </c>
      <c r="Z321" t="s">
        <v>794</v>
      </c>
      <c r="AA321" t="s">
        <v>25</v>
      </c>
      <c r="AC321" t="s">
        <v>22</v>
      </c>
      <c r="AD321" t="s">
        <v>794</v>
      </c>
      <c r="AE321">
        <v>1.0245681794978052E-4</v>
      </c>
      <c r="AG321" t="s">
        <v>99</v>
      </c>
      <c r="AH321" t="s">
        <v>794</v>
      </c>
      <c r="AI321">
        <v>0</v>
      </c>
    </row>
    <row r="322" spans="9:35" x14ac:dyDescent="0.45">
      <c r="I322" t="s">
        <v>249</v>
      </c>
      <c r="J322" t="s">
        <v>795</v>
      </c>
      <c r="K322">
        <v>0</v>
      </c>
      <c r="L322" t="s">
        <v>251</v>
      </c>
      <c r="N322" t="s">
        <v>419</v>
      </c>
      <c r="O322" t="s">
        <v>795</v>
      </c>
      <c r="P322">
        <v>1.44020696461E-4</v>
      </c>
      <c r="Q322" t="s">
        <v>251</v>
      </c>
      <c r="S322" t="s">
        <v>420</v>
      </c>
      <c r="T322" t="s">
        <v>795</v>
      </c>
      <c r="U322">
        <v>1.3057835369060001E-4</v>
      </c>
      <c r="V322" t="s">
        <v>251</v>
      </c>
      <c r="X322">
        <v>1.1415525114155251E-4</v>
      </c>
      <c r="Y322">
        <v>2.9833677249334962E-5</v>
      </c>
      <c r="Z322" t="s">
        <v>795</v>
      </c>
      <c r="AA322" t="s">
        <v>25</v>
      </c>
      <c r="AC322" t="s">
        <v>22</v>
      </c>
      <c r="AD322" t="s">
        <v>795</v>
      </c>
      <c r="AE322">
        <v>1.0152756289317849E-4</v>
      </c>
      <c r="AG322" t="s">
        <v>99</v>
      </c>
      <c r="AH322" t="s">
        <v>795</v>
      </c>
      <c r="AI322">
        <v>0</v>
      </c>
    </row>
    <row r="323" spans="9:35" x14ac:dyDescent="0.45">
      <c r="AC323" t="s">
        <v>19</v>
      </c>
      <c r="AD323" t="s">
        <v>250</v>
      </c>
      <c r="AE323">
        <v>2.1456565378467178E-2</v>
      </c>
    </row>
    <row r="324" spans="9:35" x14ac:dyDescent="0.45">
      <c r="AC324" t="s">
        <v>19</v>
      </c>
      <c r="AD324" t="s">
        <v>252</v>
      </c>
      <c r="AE324">
        <v>3.576040295125745E-3</v>
      </c>
    </row>
    <row r="325" spans="9:35" x14ac:dyDescent="0.45">
      <c r="AC325" t="s">
        <v>19</v>
      </c>
      <c r="AD325" t="s">
        <v>253</v>
      </c>
      <c r="AE325">
        <v>3.5736532532879115E-3</v>
      </c>
    </row>
    <row r="326" spans="9:35" x14ac:dyDescent="0.45">
      <c r="AC326" t="s">
        <v>19</v>
      </c>
      <c r="AD326" t="s">
        <v>254</v>
      </c>
      <c r="AE326">
        <v>2.1308912110266864E-2</v>
      </c>
    </row>
    <row r="327" spans="9:35" x14ac:dyDescent="0.45">
      <c r="AC327" t="s">
        <v>19</v>
      </c>
      <c r="AD327" t="s">
        <v>255</v>
      </c>
      <c r="AE327">
        <v>1.044333875225935E-2</v>
      </c>
    </row>
    <row r="328" spans="9:35" x14ac:dyDescent="0.45">
      <c r="AC328" t="s">
        <v>19</v>
      </c>
      <c r="AD328" t="s">
        <v>256</v>
      </c>
      <c r="AE328">
        <v>3.4710603292848782E-3</v>
      </c>
    </row>
    <row r="329" spans="9:35" x14ac:dyDescent="0.45">
      <c r="AC329" t="s">
        <v>19</v>
      </c>
      <c r="AD329" t="s">
        <v>257</v>
      </c>
      <c r="AE329">
        <v>3.4720253530016311E-3</v>
      </c>
    </row>
    <row r="330" spans="9:35" x14ac:dyDescent="0.45">
      <c r="AC330" t="s">
        <v>19</v>
      </c>
      <c r="AD330" t="s">
        <v>258</v>
      </c>
      <c r="AE330">
        <v>1.7648070356031446E-2</v>
      </c>
    </row>
    <row r="331" spans="9:35" x14ac:dyDescent="0.45">
      <c r="AC331" t="s">
        <v>19</v>
      </c>
      <c r="AD331" t="s">
        <v>259</v>
      </c>
      <c r="AE331">
        <v>1.9338882885437635E-2</v>
      </c>
    </row>
    <row r="332" spans="9:35" x14ac:dyDescent="0.45">
      <c r="AC332" t="s">
        <v>19</v>
      </c>
      <c r="AD332" t="s">
        <v>260</v>
      </c>
      <c r="AE332">
        <v>3.2252687047878417E-3</v>
      </c>
    </row>
    <row r="333" spans="9:35" x14ac:dyDescent="0.45">
      <c r="AC333" t="s">
        <v>19</v>
      </c>
      <c r="AD333" t="s">
        <v>261</v>
      </c>
      <c r="AE333">
        <v>3.2251801669548538E-3</v>
      </c>
    </row>
    <row r="334" spans="9:35" x14ac:dyDescent="0.45">
      <c r="AC334" t="s">
        <v>19</v>
      </c>
      <c r="AD334" t="s">
        <v>262</v>
      </c>
      <c r="AE334">
        <v>1.9240831294999098E-2</v>
      </c>
    </row>
    <row r="335" spans="9:35" x14ac:dyDescent="0.45">
      <c r="AC335" t="s">
        <v>19</v>
      </c>
      <c r="AD335" t="s">
        <v>263</v>
      </c>
      <c r="AE335">
        <v>9.4468789817617298E-3</v>
      </c>
    </row>
    <row r="336" spans="9:35" x14ac:dyDescent="0.45">
      <c r="AC336" t="s">
        <v>19</v>
      </c>
      <c r="AD336" t="s">
        <v>264</v>
      </c>
      <c r="AE336">
        <v>3.1401567833205745E-3</v>
      </c>
    </row>
    <row r="337" spans="29:31" x14ac:dyDescent="0.45">
      <c r="AC337" t="s">
        <v>19</v>
      </c>
      <c r="AD337" t="s">
        <v>265</v>
      </c>
      <c r="AE337">
        <v>3.1404962427850408E-3</v>
      </c>
    </row>
    <row r="338" spans="29:31" x14ac:dyDescent="0.45">
      <c r="AC338" t="s">
        <v>19</v>
      </c>
      <c r="AD338" t="s">
        <v>266</v>
      </c>
      <c r="AE338">
        <v>1.5953616264111251E-2</v>
      </c>
    </row>
    <row r="339" spans="29:31" x14ac:dyDescent="0.45">
      <c r="AC339" t="s">
        <v>19</v>
      </c>
      <c r="AD339" t="s">
        <v>267</v>
      </c>
      <c r="AE339">
        <v>2.1406099770568909E-2</v>
      </c>
    </row>
    <row r="340" spans="29:31" x14ac:dyDescent="0.45">
      <c r="AC340" t="s">
        <v>19</v>
      </c>
      <c r="AD340" t="s">
        <v>268</v>
      </c>
      <c r="AE340">
        <v>3.5705543953033956E-3</v>
      </c>
    </row>
    <row r="341" spans="29:31" x14ac:dyDescent="0.45">
      <c r="AC341" t="s">
        <v>19</v>
      </c>
      <c r="AD341" t="s">
        <v>269</v>
      </c>
      <c r="AE341">
        <v>3.5700579648337196E-3</v>
      </c>
    </row>
    <row r="342" spans="29:31" x14ac:dyDescent="0.45">
      <c r="AC342" t="s">
        <v>19</v>
      </c>
      <c r="AD342" t="s">
        <v>270</v>
      </c>
      <c r="AE342">
        <v>2.1303818855435835E-2</v>
      </c>
    </row>
    <row r="343" spans="29:31" x14ac:dyDescent="0.45">
      <c r="AC343" t="s">
        <v>19</v>
      </c>
      <c r="AD343" t="s">
        <v>271</v>
      </c>
      <c r="AE343">
        <v>1.0459243370575593E-2</v>
      </c>
    </row>
    <row r="344" spans="29:31" x14ac:dyDescent="0.45">
      <c r="AC344" t="s">
        <v>19</v>
      </c>
      <c r="AD344" t="s">
        <v>272</v>
      </c>
      <c r="AE344">
        <v>3.4767112516424447E-3</v>
      </c>
    </row>
    <row r="345" spans="29:31" x14ac:dyDescent="0.45">
      <c r="AC345" t="s">
        <v>19</v>
      </c>
      <c r="AD345" t="s">
        <v>273</v>
      </c>
      <c r="AE345">
        <v>3.4773333362419063E-3</v>
      </c>
    </row>
    <row r="346" spans="29:31" x14ac:dyDescent="0.45">
      <c r="AC346" t="s">
        <v>19</v>
      </c>
      <c r="AD346" t="s">
        <v>274</v>
      </c>
      <c r="AE346">
        <v>1.7662409062916596E-2</v>
      </c>
    </row>
    <row r="347" spans="29:31" x14ac:dyDescent="0.45">
      <c r="AC347" t="s">
        <v>19</v>
      </c>
      <c r="AD347" t="s">
        <v>275</v>
      </c>
      <c r="AE347">
        <v>2.0694850968251445E-2</v>
      </c>
    </row>
    <row r="348" spans="29:31" x14ac:dyDescent="0.45">
      <c r="AC348" t="s">
        <v>19</v>
      </c>
      <c r="AD348" t="s">
        <v>276</v>
      </c>
      <c r="AE348">
        <v>3.4504237579177808E-3</v>
      </c>
    </row>
    <row r="349" spans="29:31" x14ac:dyDescent="0.45">
      <c r="AC349" t="s">
        <v>19</v>
      </c>
      <c r="AD349" t="s">
        <v>277</v>
      </c>
      <c r="AE349">
        <v>3.4522266047091348E-3</v>
      </c>
    </row>
    <row r="350" spans="29:31" x14ac:dyDescent="0.45">
      <c r="AC350" t="s">
        <v>19</v>
      </c>
      <c r="AD350" t="s">
        <v>278</v>
      </c>
      <c r="AE350">
        <v>2.0660796765939099E-2</v>
      </c>
    </row>
    <row r="351" spans="29:31" x14ac:dyDescent="0.45">
      <c r="AC351" t="s">
        <v>19</v>
      </c>
      <c r="AD351" t="s">
        <v>279</v>
      </c>
      <c r="AE351">
        <v>1.0145478419643389E-2</v>
      </c>
    </row>
    <row r="352" spans="29:31" x14ac:dyDescent="0.45">
      <c r="AC352" t="s">
        <v>19</v>
      </c>
      <c r="AD352" t="s">
        <v>280</v>
      </c>
      <c r="AE352">
        <v>3.361101456532469E-3</v>
      </c>
    </row>
    <row r="353" spans="29:31" x14ac:dyDescent="0.45">
      <c r="AC353" t="s">
        <v>19</v>
      </c>
      <c r="AD353" t="s">
        <v>281</v>
      </c>
      <c r="AE353">
        <v>3.3621372331899936E-3</v>
      </c>
    </row>
    <row r="354" spans="29:31" x14ac:dyDescent="0.45">
      <c r="AC354" t="s">
        <v>19</v>
      </c>
      <c r="AD354" t="s">
        <v>282</v>
      </c>
      <c r="AE354">
        <v>1.7050597402635478E-2</v>
      </c>
    </row>
    <row r="355" spans="29:31" x14ac:dyDescent="0.45">
      <c r="AC355" t="s">
        <v>19</v>
      </c>
      <c r="AD355" t="s">
        <v>283</v>
      </c>
      <c r="AE355">
        <v>2.1374416033414972E-2</v>
      </c>
    </row>
    <row r="356" spans="29:31" x14ac:dyDescent="0.45">
      <c r="AC356" t="s">
        <v>19</v>
      </c>
      <c r="AD356" t="s">
        <v>284</v>
      </c>
      <c r="AE356">
        <v>3.5620745538620506E-3</v>
      </c>
    </row>
    <row r="357" spans="29:31" x14ac:dyDescent="0.45">
      <c r="AC357" t="s">
        <v>19</v>
      </c>
      <c r="AD357" t="s">
        <v>285</v>
      </c>
      <c r="AE357">
        <v>3.5664167739593473E-3</v>
      </c>
    </row>
    <row r="358" spans="29:31" x14ac:dyDescent="0.45">
      <c r="AC358" t="s">
        <v>19</v>
      </c>
      <c r="AD358" t="s">
        <v>286</v>
      </c>
      <c r="AE358">
        <v>2.1376660022858898E-2</v>
      </c>
    </row>
    <row r="359" spans="29:31" x14ac:dyDescent="0.45">
      <c r="AC359" t="s">
        <v>19</v>
      </c>
      <c r="AD359" t="s">
        <v>287</v>
      </c>
      <c r="AE359">
        <v>1.0489346837897689E-2</v>
      </c>
    </row>
    <row r="360" spans="29:31" x14ac:dyDescent="0.45">
      <c r="AC360" t="s">
        <v>19</v>
      </c>
      <c r="AD360" t="s">
        <v>288</v>
      </c>
      <c r="AE360">
        <v>3.4713576849501643E-3</v>
      </c>
    </row>
    <row r="361" spans="29:31" x14ac:dyDescent="0.45">
      <c r="AC361" t="s">
        <v>19</v>
      </c>
      <c r="AD361" t="s">
        <v>289</v>
      </c>
      <c r="AE361">
        <v>3.4729768833979854E-3</v>
      </c>
    </row>
    <row r="362" spans="29:31" x14ac:dyDescent="0.45">
      <c r="AC362" t="s">
        <v>19</v>
      </c>
      <c r="AD362" t="s">
        <v>290</v>
      </c>
      <c r="AE362">
        <v>1.7611401581249332E-2</v>
      </c>
    </row>
    <row r="363" spans="29:31" x14ac:dyDescent="0.45">
      <c r="AC363" t="s">
        <v>19</v>
      </c>
      <c r="AD363" t="s">
        <v>291</v>
      </c>
      <c r="AE363">
        <v>1.8575999245179411E-2</v>
      </c>
    </row>
    <row r="364" spans="29:31" x14ac:dyDescent="0.45">
      <c r="AC364" t="s">
        <v>19</v>
      </c>
      <c r="AD364" t="s">
        <v>292</v>
      </c>
      <c r="AE364">
        <v>3.0960282913613042E-3</v>
      </c>
    </row>
    <row r="365" spans="29:31" x14ac:dyDescent="0.45">
      <c r="AC365" t="s">
        <v>19</v>
      </c>
      <c r="AD365" t="s">
        <v>293</v>
      </c>
      <c r="AE365">
        <v>3.1104104697425132E-3</v>
      </c>
    </row>
    <row r="366" spans="29:31" x14ac:dyDescent="0.45">
      <c r="AC366" t="s">
        <v>19</v>
      </c>
      <c r="AD366" t="s">
        <v>294</v>
      </c>
      <c r="AE366">
        <v>1.8659350075689224E-2</v>
      </c>
    </row>
    <row r="367" spans="29:31" x14ac:dyDescent="0.45">
      <c r="AC367" t="s">
        <v>19</v>
      </c>
      <c r="AD367" t="s">
        <v>295</v>
      </c>
      <c r="AE367">
        <v>9.1251126276363278E-3</v>
      </c>
    </row>
    <row r="368" spans="29:31" x14ac:dyDescent="0.45">
      <c r="AC368" t="s">
        <v>19</v>
      </c>
      <c r="AD368" t="s">
        <v>296</v>
      </c>
      <c r="AE368">
        <v>3.0186597573135612E-3</v>
      </c>
    </row>
    <row r="369" spans="29:31" x14ac:dyDescent="0.45">
      <c r="AC369" t="s">
        <v>19</v>
      </c>
      <c r="AD369" t="s">
        <v>297</v>
      </c>
      <c r="AE369">
        <v>3.0199708131723388E-3</v>
      </c>
    </row>
    <row r="370" spans="29:31" x14ac:dyDescent="0.45">
      <c r="AC370" t="s">
        <v>19</v>
      </c>
      <c r="AD370" t="s">
        <v>298</v>
      </c>
      <c r="AE370">
        <v>1.5345350531959149E-2</v>
      </c>
    </row>
    <row r="371" spans="29:31" x14ac:dyDescent="0.45">
      <c r="AC371" t="s">
        <v>19</v>
      </c>
      <c r="AD371" t="s">
        <v>580</v>
      </c>
      <c r="AE371">
        <v>1.158172457286859E-4</v>
      </c>
    </row>
    <row r="372" spans="29:31" x14ac:dyDescent="0.45">
      <c r="AC372" t="s">
        <v>19</v>
      </c>
      <c r="AD372" t="s">
        <v>581</v>
      </c>
      <c r="AE372">
        <v>1.1544376299215406E-4</v>
      </c>
    </row>
    <row r="373" spans="29:31" x14ac:dyDescent="0.45">
      <c r="AC373" t="s">
        <v>19</v>
      </c>
      <c r="AD373" t="s">
        <v>582</v>
      </c>
      <c r="AE373">
        <v>1.1535793155580825E-4</v>
      </c>
    </row>
    <row r="374" spans="29:31" x14ac:dyDescent="0.45">
      <c r="AC374" t="s">
        <v>19</v>
      </c>
      <c r="AD374" t="s">
        <v>583</v>
      </c>
      <c r="AE374">
        <v>1.1533705363885927E-4</v>
      </c>
    </row>
    <row r="375" spans="29:31" x14ac:dyDescent="0.45">
      <c r="AC375" t="s">
        <v>19</v>
      </c>
      <c r="AD375" t="s">
        <v>584</v>
      </c>
      <c r="AE375">
        <v>1.1525934139243806E-4</v>
      </c>
    </row>
    <row r="376" spans="29:31" x14ac:dyDescent="0.45">
      <c r="AC376" t="s">
        <v>19</v>
      </c>
      <c r="AD376" t="s">
        <v>585</v>
      </c>
      <c r="AE376">
        <v>1.1525934139243806E-4</v>
      </c>
    </row>
    <row r="377" spans="29:31" x14ac:dyDescent="0.45">
      <c r="AC377" t="s">
        <v>19</v>
      </c>
      <c r="AD377" t="s">
        <v>586</v>
      </c>
      <c r="AE377">
        <v>1.1528563210267011E-4</v>
      </c>
    </row>
    <row r="378" spans="29:31" x14ac:dyDescent="0.45">
      <c r="AC378" t="s">
        <v>19</v>
      </c>
      <c r="AD378" t="s">
        <v>587</v>
      </c>
      <c r="AE378">
        <v>1.1601249291496808E-4</v>
      </c>
    </row>
    <row r="379" spans="29:31" x14ac:dyDescent="0.45">
      <c r="AC379" t="s">
        <v>19</v>
      </c>
      <c r="AD379" t="s">
        <v>588</v>
      </c>
      <c r="AE379">
        <v>1.1616985054826876E-4</v>
      </c>
    </row>
    <row r="380" spans="29:31" x14ac:dyDescent="0.45">
      <c r="AC380" t="s">
        <v>19</v>
      </c>
      <c r="AD380" t="s">
        <v>589</v>
      </c>
      <c r="AE380">
        <v>1.1623055115865747E-4</v>
      </c>
    </row>
    <row r="381" spans="29:31" x14ac:dyDescent="0.45">
      <c r="AC381" t="s">
        <v>19</v>
      </c>
      <c r="AD381" t="s">
        <v>590</v>
      </c>
      <c r="AE381">
        <v>1.1674437989245746E-4</v>
      </c>
    </row>
    <row r="382" spans="29:31" x14ac:dyDescent="0.45">
      <c r="AC382" t="s">
        <v>19</v>
      </c>
      <c r="AD382" t="s">
        <v>591</v>
      </c>
      <c r="AE382">
        <v>1.163488593547017E-4</v>
      </c>
    </row>
    <row r="383" spans="29:31" x14ac:dyDescent="0.45">
      <c r="AC383" t="s">
        <v>19</v>
      </c>
      <c r="AD383" t="s">
        <v>592</v>
      </c>
      <c r="AE383">
        <v>1.155044636025428E-4</v>
      </c>
    </row>
    <row r="384" spans="29:31" x14ac:dyDescent="0.45">
      <c r="AC384" t="s">
        <v>19</v>
      </c>
      <c r="AD384" t="s">
        <v>593</v>
      </c>
      <c r="AE384">
        <v>1.1454253291052292E-4</v>
      </c>
    </row>
    <row r="385" spans="29:31" x14ac:dyDescent="0.45">
      <c r="AC385" t="s">
        <v>19</v>
      </c>
      <c r="AD385" t="s">
        <v>594</v>
      </c>
      <c r="AE385">
        <v>1.1377584940478522E-4</v>
      </c>
    </row>
    <row r="386" spans="29:31" x14ac:dyDescent="0.45">
      <c r="AC386" t="s">
        <v>19</v>
      </c>
      <c r="AD386" t="s">
        <v>595</v>
      </c>
      <c r="AE386">
        <v>1.1237084291973694E-4</v>
      </c>
    </row>
    <row r="387" spans="29:31" x14ac:dyDescent="0.45">
      <c r="AC387" t="s">
        <v>19</v>
      </c>
      <c r="AD387" t="s">
        <v>596</v>
      </c>
      <c r="AE387">
        <v>1.1210948232978299E-4</v>
      </c>
    </row>
    <row r="388" spans="29:31" x14ac:dyDescent="0.45">
      <c r="AC388" t="s">
        <v>19</v>
      </c>
      <c r="AD388" t="s">
        <v>597</v>
      </c>
      <c r="AE388">
        <v>1.118914240860936E-4</v>
      </c>
    </row>
    <row r="389" spans="29:31" x14ac:dyDescent="0.45">
      <c r="AC389" t="s">
        <v>19</v>
      </c>
      <c r="AD389" t="s">
        <v>598</v>
      </c>
      <c r="AE389">
        <v>1.1200277297648817E-4</v>
      </c>
    </row>
    <row r="390" spans="29:31" x14ac:dyDescent="0.45">
      <c r="AC390" t="s">
        <v>19</v>
      </c>
      <c r="AD390" t="s">
        <v>599</v>
      </c>
      <c r="AE390">
        <v>1.1239056095241099E-4</v>
      </c>
    </row>
    <row r="391" spans="29:31" x14ac:dyDescent="0.45">
      <c r="AC391" t="s">
        <v>19</v>
      </c>
      <c r="AD391" t="s">
        <v>600</v>
      </c>
      <c r="AE391">
        <v>1.1358872140842768E-4</v>
      </c>
    </row>
    <row r="392" spans="29:31" x14ac:dyDescent="0.45">
      <c r="AC392" t="s">
        <v>19</v>
      </c>
      <c r="AD392" t="s">
        <v>601</v>
      </c>
      <c r="AE392">
        <v>1.1479886733528546E-4</v>
      </c>
    </row>
    <row r="393" spans="29:31" x14ac:dyDescent="0.45">
      <c r="AC393" t="s">
        <v>19</v>
      </c>
      <c r="AD393" t="s">
        <v>602</v>
      </c>
      <c r="AE393">
        <v>1.1535406527489178E-4</v>
      </c>
    </row>
    <row r="394" spans="29:31" x14ac:dyDescent="0.45">
      <c r="AC394" t="s">
        <v>19</v>
      </c>
      <c r="AD394" t="s">
        <v>603</v>
      </c>
      <c r="AE394">
        <v>1.1592318182579741E-4</v>
      </c>
    </row>
    <row r="395" spans="29:31" x14ac:dyDescent="0.45">
      <c r="AC395" t="s">
        <v>19</v>
      </c>
      <c r="AD395" t="s">
        <v>604</v>
      </c>
      <c r="AE395">
        <v>1.1569159159890035E-4</v>
      </c>
    </row>
    <row r="396" spans="29:31" x14ac:dyDescent="0.45">
      <c r="AC396" t="s">
        <v>19</v>
      </c>
      <c r="AD396" t="s">
        <v>605</v>
      </c>
      <c r="AE396">
        <v>1.1544376299215406E-4</v>
      </c>
    </row>
    <row r="397" spans="29:31" x14ac:dyDescent="0.45">
      <c r="AC397" t="s">
        <v>19</v>
      </c>
      <c r="AD397" t="s">
        <v>606</v>
      </c>
      <c r="AE397">
        <v>1.1527132686327913E-4</v>
      </c>
    </row>
    <row r="398" spans="29:31" x14ac:dyDescent="0.45">
      <c r="AC398" t="s">
        <v>19</v>
      </c>
      <c r="AD398" t="s">
        <v>607</v>
      </c>
      <c r="AE398">
        <v>1.1527132686327913E-4</v>
      </c>
    </row>
    <row r="399" spans="29:31" x14ac:dyDescent="0.45">
      <c r="AC399" t="s">
        <v>19</v>
      </c>
      <c r="AD399" t="s">
        <v>608</v>
      </c>
      <c r="AE399">
        <v>1.151854954269333E-4</v>
      </c>
    </row>
    <row r="400" spans="29:31" x14ac:dyDescent="0.45">
      <c r="AC400" t="s">
        <v>19</v>
      </c>
      <c r="AD400" t="s">
        <v>609</v>
      </c>
      <c r="AE400">
        <v>1.151854954269333E-4</v>
      </c>
    </row>
    <row r="401" spans="29:31" x14ac:dyDescent="0.45">
      <c r="AC401" t="s">
        <v>19</v>
      </c>
      <c r="AD401" t="s">
        <v>610</v>
      </c>
      <c r="AE401">
        <v>1.152856321026701E-4</v>
      </c>
    </row>
    <row r="402" spans="29:31" x14ac:dyDescent="0.45">
      <c r="AC402" t="s">
        <v>19</v>
      </c>
      <c r="AD402" t="s">
        <v>611</v>
      </c>
      <c r="AE402">
        <v>1.1605734177359921E-4</v>
      </c>
    </row>
    <row r="403" spans="29:31" x14ac:dyDescent="0.45">
      <c r="AC403" t="s">
        <v>19</v>
      </c>
      <c r="AD403" t="s">
        <v>612</v>
      </c>
      <c r="AE403">
        <v>1.1624021686094864E-4</v>
      </c>
    </row>
    <row r="404" spans="29:31" x14ac:dyDescent="0.45">
      <c r="AC404" t="s">
        <v>19</v>
      </c>
      <c r="AD404" t="s">
        <v>613</v>
      </c>
      <c r="AE404">
        <v>1.1669566475290982E-4</v>
      </c>
    </row>
    <row r="405" spans="29:31" x14ac:dyDescent="0.45">
      <c r="AC405" t="s">
        <v>19</v>
      </c>
      <c r="AD405" t="s">
        <v>614</v>
      </c>
      <c r="AE405">
        <v>1.1689748461675E-4</v>
      </c>
    </row>
    <row r="406" spans="29:31" x14ac:dyDescent="0.45">
      <c r="AC406" t="s">
        <v>19</v>
      </c>
      <c r="AD406" t="s">
        <v>615</v>
      </c>
      <c r="AE406">
        <v>1.1666589438985293E-4</v>
      </c>
    </row>
    <row r="407" spans="29:31" x14ac:dyDescent="0.45">
      <c r="AC407" t="s">
        <v>19</v>
      </c>
      <c r="AD407" t="s">
        <v>616</v>
      </c>
      <c r="AE407">
        <v>1.1574146662272291E-4</v>
      </c>
    </row>
    <row r="408" spans="29:31" x14ac:dyDescent="0.45">
      <c r="AC408" t="s">
        <v>19</v>
      </c>
      <c r="AD408" t="s">
        <v>617</v>
      </c>
      <c r="AE408">
        <v>1.1456070443083037E-4</v>
      </c>
    </row>
    <row r="409" spans="29:31" x14ac:dyDescent="0.45">
      <c r="AC409" t="s">
        <v>19</v>
      </c>
      <c r="AD409" t="s">
        <v>618</v>
      </c>
      <c r="AE409">
        <v>1.1387134654342225E-4</v>
      </c>
    </row>
    <row r="410" spans="29:31" x14ac:dyDescent="0.45">
      <c r="AC410" t="s">
        <v>19</v>
      </c>
      <c r="AD410" t="s">
        <v>619</v>
      </c>
      <c r="AE410">
        <v>1.125289738092209E-4</v>
      </c>
    </row>
    <row r="411" spans="29:31" x14ac:dyDescent="0.45">
      <c r="AC411" t="s">
        <v>19</v>
      </c>
      <c r="AD411" t="s">
        <v>620</v>
      </c>
      <c r="AE411">
        <v>1.1228114520247461E-4</v>
      </c>
    </row>
    <row r="412" spans="29:31" x14ac:dyDescent="0.45">
      <c r="AC412" t="s">
        <v>19</v>
      </c>
      <c r="AD412" t="s">
        <v>621</v>
      </c>
      <c r="AE412">
        <v>1.1202210438107055E-4</v>
      </c>
    </row>
    <row r="413" spans="29:31" x14ac:dyDescent="0.45">
      <c r="AC413" t="s">
        <v>19</v>
      </c>
      <c r="AD413" t="s">
        <v>622</v>
      </c>
      <c r="AE413">
        <v>1.1210097651176671E-4</v>
      </c>
    </row>
    <row r="414" spans="29:31" x14ac:dyDescent="0.45">
      <c r="AC414" t="s">
        <v>19</v>
      </c>
      <c r="AD414" t="s">
        <v>623</v>
      </c>
      <c r="AE414">
        <v>1.1241143886935997E-4</v>
      </c>
    </row>
    <row r="415" spans="29:31" x14ac:dyDescent="0.45">
      <c r="AC415" t="s">
        <v>19</v>
      </c>
      <c r="AD415" t="s">
        <v>624</v>
      </c>
      <c r="AE415">
        <v>1.1358872140842768E-4</v>
      </c>
    </row>
    <row r="416" spans="29:31" x14ac:dyDescent="0.45">
      <c r="AC416" t="s">
        <v>19</v>
      </c>
      <c r="AD416" t="s">
        <v>625</v>
      </c>
      <c r="AE416">
        <v>1.1489011156491435E-4</v>
      </c>
    </row>
    <row r="417" spans="29:31" x14ac:dyDescent="0.45">
      <c r="AC417" t="s">
        <v>19</v>
      </c>
      <c r="AD417" t="s">
        <v>626</v>
      </c>
      <c r="AE417">
        <v>1.1535406527489178E-4</v>
      </c>
    </row>
    <row r="418" spans="29:31" x14ac:dyDescent="0.45">
      <c r="AC418" t="s">
        <v>19</v>
      </c>
      <c r="AD418" t="s">
        <v>627</v>
      </c>
      <c r="AE418">
        <v>1.1592318182579741E-4</v>
      </c>
    </row>
    <row r="419" spans="29:31" x14ac:dyDescent="0.45">
      <c r="AC419" t="s">
        <v>19</v>
      </c>
      <c r="AD419" t="s">
        <v>628</v>
      </c>
      <c r="AE419">
        <v>1.1599045511374413E-4</v>
      </c>
    </row>
    <row r="420" spans="29:31" x14ac:dyDescent="0.45">
      <c r="AC420" t="s">
        <v>19</v>
      </c>
      <c r="AD420" t="s">
        <v>629</v>
      </c>
      <c r="AE420">
        <v>1.1548861185078522E-4</v>
      </c>
    </row>
    <row r="421" spans="29:31" x14ac:dyDescent="0.45">
      <c r="AC421" t="s">
        <v>19</v>
      </c>
      <c r="AD421" t="s">
        <v>630</v>
      </c>
      <c r="AE421">
        <v>1.1555124560163218E-4</v>
      </c>
    </row>
    <row r="422" spans="29:31" x14ac:dyDescent="0.45">
      <c r="AC422" t="s">
        <v>19</v>
      </c>
      <c r="AD422" t="s">
        <v>631</v>
      </c>
      <c r="AE422">
        <v>1.15493251387885E-4</v>
      </c>
    </row>
    <row r="423" spans="29:31" x14ac:dyDescent="0.45">
      <c r="AC423" t="s">
        <v>19</v>
      </c>
      <c r="AD423" t="s">
        <v>632</v>
      </c>
      <c r="AE423">
        <v>1.1525934139243804E-4</v>
      </c>
    </row>
    <row r="424" spans="29:31" x14ac:dyDescent="0.45">
      <c r="AC424" t="s">
        <v>19</v>
      </c>
      <c r="AD424" t="s">
        <v>633</v>
      </c>
      <c r="AE424">
        <v>1.151854954269333E-4</v>
      </c>
    </row>
    <row r="425" spans="29:31" x14ac:dyDescent="0.45">
      <c r="AC425" t="s">
        <v>19</v>
      </c>
      <c r="AD425" t="s">
        <v>634</v>
      </c>
      <c r="AE425">
        <v>1.152856321026701E-4</v>
      </c>
    </row>
    <row r="426" spans="29:31" x14ac:dyDescent="0.45">
      <c r="AC426" t="s">
        <v>19</v>
      </c>
      <c r="AD426" t="s">
        <v>635</v>
      </c>
      <c r="AE426">
        <v>1.1601249291496805E-4</v>
      </c>
    </row>
    <row r="427" spans="29:31" x14ac:dyDescent="0.45">
      <c r="AC427" t="s">
        <v>19</v>
      </c>
      <c r="AD427" t="s">
        <v>636</v>
      </c>
      <c r="AE427">
        <v>1.1616985054826873E-4</v>
      </c>
    </row>
    <row r="428" spans="29:31" x14ac:dyDescent="0.45">
      <c r="AC428" t="s">
        <v>19</v>
      </c>
      <c r="AD428" t="s">
        <v>637</v>
      </c>
      <c r="AE428">
        <v>1.1630091747133737E-4</v>
      </c>
    </row>
    <row r="429" spans="29:31" x14ac:dyDescent="0.45">
      <c r="AC429" t="s">
        <v>19</v>
      </c>
      <c r="AD429" t="s">
        <v>638</v>
      </c>
      <c r="AE429">
        <v>1.167907752634552E-4</v>
      </c>
    </row>
    <row r="430" spans="29:31" x14ac:dyDescent="0.45">
      <c r="AC430" t="s">
        <v>19</v>
      </c>
      <c r="AD430" t="s">
        <v>639</v>
      </c>
      <c r="AE430">
        <v>1.1647451348448725E-4</v>
      </c>
    </row>
    <row r="431" spans="29:31" x14ac:dyDescent="0.45">
      <c r="AC431" t="s">
        <v>19</v>
      </c>
      <c r="AD431" t="s">
        <v>640</v>
      </c>
      <c r="AE431">
        <v>1.1550446360254277E-4</v>
      </c>
    </row>
    <row r="432" spans="29:31" x14ac:dyDescent="0.45">
      <c r="AC432" t="s">
        <v>19</v>
      </c>
      <c r="AD432" t="s">
        <v>641</v>
      </c>
      <c r="AE432">
        <v>1.1443659681341141E-4</v>
      </c>
    </row>
    <row r="433" spans="29:31" x14ac:dyDescent="0.45">
      <c r="AC433" t="s">
        <v>19</v>
      </c>
      <c r="AD433" t="s">
        <v>642</v>
      </c>
      <c r="AE433">
        <v>1.1379556743745927E-4</v>
      </c>
    </row>
    <row r="434" spans="29:31" x14ac:dyDescent="0.45">
      <c r="AC434" t="s">
        <v>19</v>
      </c>
      <c r="AD434" t="s">
        <v>643</v>
      </c>
      <c r="AE434">
        <v>1.1238862781195273E-4</v>
      </c>
    </row>
    <row r="435" spans="29:31" x14ac:dyDescent="0.45">
      <c r="AC435" t="s">
        <v>19</v>
      </c>
      <c r="AD435" t="s">
        <v>644</v>
      </c>
      <c r="AE435">
        <v>1.121864213200209E-4</v>
      </c>
    </row>
    <row r="436" spans="29:31" x14ac:dyDescent="0.45">
      <c r="AC436" t="s">
        <v>19</v>
      </c>
      <c r="AD436" t="s">
        <v>645</v>
      </c>
      <c r="AE436">
        <v>1.1192660724243354E-4</v>
      </c>
    </row>
    <row r="437" spans="29:31" x14ac:dyDescent="0.45">
      <c r="AC437" t="s">
        <v>19</v>
      </c>
      <c r="AD437" t="s">
        <v>646</v>
      </c>
      <c r="AE437">
        <v>1.1200509274503806E-4</v>
      </c>
    </row>
    <row r="438" spans="29:31" x14ac:dyDescent="0.45">
      <c r="AC438" t="s">
        <v>19</v>
      </c>
      <c r="AD438" t="s">
        <v>647</v>
      </c>
      <c r="AE438">
        <v>1.1226529345071706E-4</v>
      </c>
    </row>
    <row r="439" spans="29:31" x14ac:dyDescent="0.45">
      <c r="AC439" t="s">
        <v>19</v>
      </c>
      <c r="AD439" t="s">
        <v>648</v>
      </c>
      <c r="AE439">
        <v>1.1346345390673375E-4</v>
      </c>
    </row>
    <row r="440" spans="29:31" x14ac:dyDescent="0.45">
      <c r="AC440" t="s">
        <v>19</v>
      </c>
      <c r="AD440" t="s">
        <v>649</v>
      </c>
      <c r="AE440">
        <v>1.1465852133801728E-4</v>
      </c>
    </row>
    <row r="441" spans="29:31" x14ac:dyDescent="0.45">
      <c r="AC441" t="s">
        <v>19</v>
      </c>
      <c r="AD441" t="s">
        <v>650</v>
      </c>
      <c r="AE441">
        <v>1.1535406527489178E-4</v>
      </c>
    </row>
    <row r="442" spans="29:31" x14ac:dyDescent="0.45">
      <c r="AC442" t="s">
        <v>19</v>
      </c>
      <c r="AD442" t="s">
        <v>651</v>
      </c>
      <c r="AE442">
        <v>1.1592318182579741E-4</v>
      </c>
    </row>
    <row r="443" spans="29:31" x14ac:dyDescent="0.45">
      <c r="AC443" t="s">
        <v>19</v>
      </c>
      <c r="AD443" t="s">
        <v>323</v>
      </c>
      <c r="AE443">
        <v>2.1346820840001699E-2</v>
      </c>
    </row>
    <row r="444" spans="29:31" x14ac:dyDescent="0.45">
      <c r="AC444" t="s">
        <v>19</v>
      </c>
      <c r="AD444" t="s">
        <v>324</v>
      </c>
      <c r="AE444">
        <v>3.557157031164381E-3</v>
      </c>
    </row>
    <row r="445" spans="29:31" x14ac:dyDescent="0.45">
      <c r="AC445" t="s">
        <v>19</v>
      </c>
      <c r="AD445" t="s">
        <v>325</v>
      </c>
      <c r="AE445">
        <v>3.5730536317805741E-3</v>
      </c>
    </row>
    <row r="446" spans="29:31" x14ac:dyDescent="0.45">
      <c r="AC446" t="s">
        <v>19</v>
      </c>
      <c r="AD446" t="s">
        <v>326</v>
      </c>
      <c r="AE446">
        <v>2.1431810973620097E-2</v>
      </c>
    </row>
    <row r="447" spans="29:31" x14ac:dyDescent="0.45">
      <c r="AC447" t="s">
        <v>19</v>
      </c>
      <c r="AD447" t="s">
        <v>327</v>
      </c>
      <c r="AE447">
        <v>1.0477739875958328E-2</v>
      </c>
    </row>
    <row r="448" spans="29:31" x14ac:dyDescent="0.45">
      <c r="AC448" t="s">
        <v>19</v>
      </c>
      <c r="AD448" t="s">
        <v>328</v>
      </c>
      <c r="AE448">
        <v>3.4655134147168151E-3</v>
      </c>
    </row>
    <row r="449" spans="29:31" x14ac:dyDescent="0.45">
      <c r="AC449" t="s">
        <v>19</v>
      </c>
      <c r="AD449" t="s">
        <v>329</v>
      </c>
      <c r="AE449">
        <v>3.4671685695771598E-3</v>
      </c>
    </row>
    <row r="450" spans="29:31" x14ac:dyDescent="0.45">
      <c r="AC450" t="s">
        <v>19</v>
      </c>
      <c r="AD450" t="s">
        <v>330</v>
      </c>
      <c r="AE450">
        <v>1.7639771190730177E-2</v>
      </c>
    </row>
    <row r="451" spans="29:31" x14ac:dyDescent="0.45">
      <c r="AC451" t="s">
        <v>19</v>
      </c>
      <c r="AD451" t="s">
        <v>331</v>
      </c>
      <c r="AE451">
        <v>2.0653035250650827E-2</v>
      </c>
    </row>
    <row r="452" spans="29:31" x14ac:dyDescent="0.45">
      <c r="AC452" t="s">
        <v>19</v>
      </c>
      <c r="AD452" t="s">
        <v>332</v>
      </c>
      <c r="AE452">
        <v>3.4434219948913133E-3</v>
      </c>
    </row>
    <row r="453" spans="29:31" x14ac:dyDescent="0.45">
      <c r="AC453" t="s">
        <v>19</v>
      </c>
      <c r="AD453" t="s">
        <v>333</v>
      </c>
      <c r="AE453">
        <v>3.4534441682830094E-3</v>
      </c>
    </row>
    <row r="454" spans="29:31" x14ac:dyDescent="0.45">
      <c r="AC454" t="s">
        <v>19</v>
      </c>
      <c r="AD454" t="s">
        <v>334</v>
      </c>
      <c r="AE454">
        <v>2.0733617824024442E-2</v>
      </c>
    </row>
    <row r="455" spans="29:31" x14ac:dyDescent="0.45">
      <c r="AC455" t="s">
        <v>19</v>
      </c>
      <c r="AD455" t="s">
        <v>335</v>
      </c>
      <c r="AE455">
        <v>1.0144186137072837E-2</v>
      </c>
    </row>
    <row r="456" spans="29:31" x14ac:dyDescent="0.45">
      <c r="AC456" t="s">
        <v>19</v>
      </c>
      <c r="AD456" t="s">
        <v>336</v>
      </c>
      <c r="AE456">
        <v>3.3556458192445008E-3</v>
      </c>
    </row>
    <row r="457" spans="29:31" x14ac:dyDescent="0.45">
      <c r="AC457" t="s">
        <v>19</v>
      </c>
      <c r="AD457" t="s">
        <v>337</v>
      </c>
      <c r="AE457">
        <v>3.3571834391649845E-3</v>
      </c>
    </row>
    <row r="458" spans="29:31" x14ac:dyDescent="0.45">
      <c r="AC458" t="s">
        <v>19</v>
      </c>
      <c r="AD458" t="s">
        <v>338</v>
      </c>
      <c r="AE458">
        <v>1.7056639211761943E-2</v>
      </c>
    </row>
    <row r="459" spans="29:31" x14ac:dyDescent="0.45">
      <c r="AC459" t="s">
        <v>19</v>
      </c>
      <c r="AD459" t="s">
        <v>652</v>
      </c>
      <c r="AE459">
        <v>1.154065551673911E-4</v>
      </c>
    </row>
    <row r="460" spans="29:31" x14ac:dyDescent="0.45">
      <c r="AC460" t="s">
        <v>19</v>
      </c>
      <c r="AD460" t="s">
        <v>653</v>
      </c>
      <c r="AE460">
        <v>1.1523295915424122E-4</v>
      </c>
    </row>
    <row r="461" spans="29:31" x14ac:dyDescent="0.45">
      <c r="AC461" t="s">
        <v>19</v>
      </c>
      <c r="AD461" t="s">
        <v>654</v>
      </c>
      <c r="AE461">
        <v>1.1518617715515181E-4</v>
      </c>
    </row>
    <row r="462" spans="29:31" x14ac:dyDescent="0.45">
      <c r="AC462" t="s">
        <v>19</v>
      </c>
      <c r="AD462" t="s">
        <v>655</v>
      </c>
      <c r="AE462">
        <v>1.1518617715515181E-4</v>
      </c>
    </row>
    <row r="463" spans="29:31" x14ac:dyDescent="0.45">
      <c r="AC463" t="s">
        <v>19</v>
      </c>
      <c r="AD463" t="s">
        <v>656</v>
      </c>
      <c r="AE463">
        <v>1.1510305211544754E-4</v>
      </c>
    </row>
    <row r="464" spans="29:31" x14ac:dyDescent="0.45">
      <c r="AC464" t="s">
        <v>19</v>
      </c>
      <c r="AD464" t="s">
        <v>657</v>
      </c>
      <c r="AE464">
        <v>1.1517419168431074E-4</v>
      </c>
    </row>
    <row r="465" spans="29:31" x14ac:dyDescent="0.45">
      <c r="AC465" t="s">
        <v>19</v>
      </c>
      <c r="AD465" t="s">
        <v>658</v>
      </c>
      <c r="AE465">
        <v>1.1527432836004753E-4</v>
      </c>
    </row>
    <row r="466" spans="29:31" x14ac:dyDescent="0.45">
      <c r="AC466" t="s">
        <v>19</v>
      </c>
      <c r="AD466" t="s">
        <v>659</v>
      </c>
      <c r="AE466">
        <v>1.1549663951274504E-4</v>
      </c>
    </row>
    <row r="467" spans="29:31" x14ac:dyDescent="0.45">
      <c r="AC467" t="s">
        <v>19</v>
      </c>
      <c r="AD467" t="s">
        <v>660</v>
      </c>
      <c r="AE467">
        <v>1.1554922093320915E-4</v>
      </c>
    </row>
    <row r="468" spans="29:31" x14ac:dyDescent="0.45">
      <c r="AC468" t="s">
        <v>19</v>
      </c>
      <c r="AD468" t="s">
        <v>661</v>
      </c>
      <c r="AE468">
        <v>1.1560992154359788E-4</v>
      </c>
    </row>
    <row r="469" spans="29:31" x14ac:dyDescent="0.45">
      <c r="AC469" t="s">
        <v>19</v>
      </c>
      <c r="AD469" t="s">
        <v>662</v>
      </c>
      <c r="AE469">
        <v>1.1594512809905656E-4</v>
      </c>
    </row>
    <row r="470" spans="29:31" x14ac:dyDescent="0.45">
      <c r="AC470" t="s">
        <v>19</v>
      </c>
      <c r="AD470" t="s">
        <v>663</v>
      </c>
      <c r="AE470">
        <v>1.1558479071764076E-4</v>
      </c>
    </row>
    <row r="471" spans="29:31" x14ac:dyDescent="0.45">
      <c r="AC471" t="s">
        <v>19</v>
      </c>
      <c r="AD471" t="s">
        <v>664</v>
      </c>
      <c r="AE471">
        <v>1.1522368008004167E-4</v>
      </c>
    </row>
    <row r="472" spans="29:31" x14ac:dyDescent="0.45">
      <c r="AC472" t="s">
        <v>19</v>
      </c>
      <c r="AD472" t="s">
        <v>665</v>
      </c>
      <c r="AE472">
        <v>1.1429654591627011E-4</v>
      </c>
    </row>
    <row r="473" spans="29:31" x14ac:dyDescent="0.45">
      <c r="AC473" t="s">
        <v>19</v>
      </c>
      <c r="AD473" t="s">
        <v>666</v>
      </c>
      <c r="AE473">
        <v>1.1363077234245249E-4</v>
      </c>
    </row>
    <row r="474" spans="29:31" x14ac:dyDescent="0.45">
      <c r="AC474" t="s">
        <v>19</v>
      </c>
      <c r="AD474" t="s">
        <v>667</v>
      </c>
      <c r="AE474">
        <v>1.1242487932460286E-4</v>
      </c>
    </row>
    <row r="475" spans="29:31" x14ac:dyDescent="0.45">
      <c r="AC475" t="s">
        <v>19</v>
      </c>
      <c r="AD475" t="s">
        <v>668</v>
      </c>
      <c r="AE475">
        <v>1.1220836759328005E-4</v>
      </c>
    </row>
    <row r="476" spans="29:31" x14ac:dyDescent="0.45">
      <c r="AC476" t="s">
        <v>19</v>
      </c>
      <c r="AD476" t="s">
        <v>669</v>
      </c>
      <c r="AE476">
        <v>1.1194043432576809E-4</v>
      </c>
    </row>
    <row r="477" spans="29:31" x14ac:dyDescent="0.45">
      <c r="AC477" t="s">
        <v>19</v>
      </c>
      <c r="AD477" t="s">
        <v>670</v>
      </c>
      <c r="AE477">
        <v>1.1201930645646425E-4</v>
      </c>
    </row>
    <row r="478" spans="29:31" x14ac:dyDescent="0.45">
      <c r="AC478" t="s">
        <v>19</v>
      </c>
      <c r="AD478" t="s">
        <v>671</v>
      </c>
      <c r="AE478">
        <v>1.1225205656763626E-4</v>
      </c>
    </row>
    <row r="479" spans="29:31" x14ac:dyDescent="0.45">
      <c r="AC479" t="s">
        <v>19</v>
      </c>
      <c r="AD479" t="s">
        <v>672</v>
      </c>
      <c r="AE479">
        <v>1.1329711229936041E-4</v>
      </c>
    </row>
    <row r="480" spans="29:31" x14ac:dyDescent="0.45">
      <c r="AC480" t="s">
        <v>19</v>
      </c>
      <c r="AD480" t="s">
        <v>673</v>
      </c>
      <c r="AE480">
        <v>1.1443147912025522E-4</v>
      </c>
    </row>
    <row r="481" spans="29:31" x14ac:dyDescent="0.45">
      <c r="AC481" t="s">
        <v>19</v>
      </c>
      <c r="AD481" t="s">
        <v>674</v>
      </c>
      <c r="AE481">
        <v>1.1496773228337078E-4</v>
      </c>
    </row>
    <row r="482" spans="29:31" x14ac:dyDescent="0.45">
      <c r="AC482" t="s">
        <v>19</v>
      </c>
      <c r="AD482" t="s">
        <v>675</v>
      </c>
      <c r="AE482">
        <v>1.1550630521503624E-4</v>
      </c>
    </row>
    <row r="483" spans="29:31" x14ac:dyDescent="0.45">
      <c r="AC483" t="s">
        <v>19</v>
      </c>
      <c r="AD483" t="s">
        <v>339</v>
      </c>
      <c r="AE483">
        <v>1.8613955319457209E-2</v>
      </c>
    </row>
    <row r="484" spans="29:31" x14ac:dyDescent="0.45">
      <c r="AC484" t="s">
        <v>19</v>
      </c>
      <c r="AD484" t="s">
        <v>340</v>
      </c>
      <c r="AE484">
        <v>3.103003194554753E-3</v>
      </c>
    </row>
    <row r="485" spans="29:31" x14ac:dyDescent="0.45">
      <c r="AC485" t="s">
        <v>19</v>
      </c>
      <c r="AD485" t="s">
        <v>341</v>
      </c>
      <c r="AE485">
        <v>3.1056156405700175E-3</v>
      </c>
    </row>
    <row r="486" spans="29:31" x14ac:dyDescent="0.45">
      <c r="AC486" t="s">
        <v>19</v>
      </c>
      <c r="AD486" t="s">
        <v>342</v>
      </c>
      <c r="AE486">
        <v>1.8601096069128999E-2</v>
      </c>
    </row>
    <row r="487" spans="29:31" x14ac:dyDescent="0.45">
      <c r="AC487" t="s">
        <v>19</v>
      </c>
      <c r="AD487" t="s">
        <v>343</v>
      </c>
      <c r="AE487">
        <v>9.1417511781926655E-3</v>
      </c>
    </row>
    <row r="488" spans="29:31" x14ac:dyDescent="0.45">
      <c r="AC488" t="s">
        <v>19</v>
      </c>
      <c r="AD488" t="s">
        <v>344</v>
      </c>
      <c r="AE488">
        <v>3.0257896983717602E-3</v>
      </c>
    </row>
    <row r="489" spans="29:31" x14ac:dyDescent="0.45">
      <c r="AC489" t="s">
        <v>19</v>
      </c>
      <c r="AD489" t="s">
        <v>345</v>
      </c>
      <c r="AE489">
        <v>3.0273625014485836E-3</v>
      </c>
    </row>
    <row r="490" spans="29:31" x14ac:dyDescent="0.45">
      <c r="AC490" t="s">
        <v>19</v>
      </c>
      <c r="AD490" t="s">
        <v>346</v>
      </c>
      <c r="AE490">
        <v>1.534595781353555E-2</v>
      </c>
    </row>
    <row r="491" spans="29:31" x14ac:dyDescent="0.45">
      <c r="AC491" t="s">
        <v>19</v>
      </c>
      <c r="AD491" t="s">
        <v>676</v>
      </c>
      <c r="AE491">
        <v>1.1354148608790081E-4</v>
      </c>
    </row>
    <row r="492" spans="29:31" x14ac:dyDescent="0.45">
      <c r="AC492" t="s">
        <v>19</v>
      </c>
      <c r="AD492" t="s">
        <v>677</v>
      </c>
      <c r="AE492">
        <v>1.1377964899235589E-4</v>
      </c>
    </row>
    <row r="493" spans="29:31" x14ac:dyDescent="0.45">
      <c r="AC493" t="s">
        <v>19</v>
      </c>
      <c r="AD493" t="s">
        <v>678</v>
      </c>
      <c r="AE493">
        <v>1.1367293963906108E-4</v>
      </c>
    </row>
    <row r="494" spans="29:31" x14ac:dyDescent="0.45">
      <c r="AC494" t="s">
        <v>19</v>
      </c>
      <c r="AD494" t="s">
        <v>679</v>
      </c>
      <c r="AE494">
        <v>1.1367293963906108E-4</v>
      </c>
    </row>
    <row r="495" spans="29:31" x14ac:dyDescent="0.45">
      <c r="AC495" t="s">
        <v>19</v>
      </c>
      <c r="AD495" t="s">
        <v>680</v>
      </c>
      <c r="AE495">
        <v>1.1367293963906108E-4</v>
      </c>
    </row>
    <row r="496" spans="29:31" x14ac:dyDescent="0.45">
      <c r="AC496" t="s">
        <v>19</v>
      </c>
      <c r="AD496" t="s">
        <v>681</v>
      </c>
      <c r="AE496">
        <v>1.1371972163815047E-4</v>
      </c>
    </row>
    <row r="497" spans="29:31" x14ac:dyDescent="0.45">
      <c r="AC497" t="s">
        <v>19</v>
      </c>
      <c r="AD497" t="s">
        <v>682</v>
      </c>
      <c r="AE497">
        <v>1.137610908439568E-4</v>
      </c>
    </row>
    <row r="498" spans="29:31" x14ac:dyDescent="0.45">
      <c r="AC498" t="s">
        <v>19</v>
      </c>
      <c r="AD498" t="s">
        <v>683</v>
      </c>
      <c r="AE498">
        <v>1.1390105021313331E-4</v>
      </c>
    </row>
    <row r="499" spans="29:31" x14ac:dyDescent="0.45">
      <c r="AC499" t="s">
        <v>19</v>
      </c>
      <c r="AD499" t="s">
        <v>684</v>
      </c>
      <c r="AE499">
        <v>1.1408817820949087E-4</v>
      </c>
    </row>
    <row r="500" spans="29:31" x14ac:dyDescent="0.45">
      <c r="AC500" t="s">
        <v>19</v>
      </c>
      <c r="AD500" t="s">
        <v>685</v>
      </c>
      <c r="AE500">
        <v>1.141191084568227E-4</v>
      </c>
    </row>
    <row r="501" spans="29:31" x14ac:dyDescent="0.45">
      <c r="AC501" t="s">
        <v>19</v>
      </c>
      <c r="AD501" t="s">
        <v>686</v>
      </c>
      <c r="AE501">
        <v>1.1436423066692744E-4</v>
      </c>
    </row>
    <row r="502" spans="29:31" x14ac:dyDescent="0.45">
      <c r="AC502" t="s">
        <v>19</v>
      </c>
      <c r="AD502" t="s">
        <v>687</v>
      </c>
      <c r="AE502">
        <v>1.1429889051943896E-4</v>
      </c>
    </row>
    <row r="503" spans="29:31" x14ac:dyDescent="0.45">
      <c r="AC503" t="s">
        <v>19</v>
      </c>
      <c r="AD503" t="s">
        <v>688</v>
      </c>
      <c r="AE503">
        <v>1.1411678868827283E-4</v>
      </c>
    </row>
    <row r="504" spans="29:31" x14ac:dyDescent="0.45">
      <c r="AC504" t="s">
        <v>19</v>
      </c>
      <c r="AD504" t="s">
        <v>689</v>
      </c>
      <c r="AE504">
        <v>1.1376341061250667E-4</v>
      </c>
    </row>
    <row r="505" spans="29:31" x14ac:dyDescent="0.45">
      <c r="AC505" t="s">
        <v>19</v>
      </c>
      <c r="AD505" t="s">
        <v>690</v>
      </c>
      <c r="AE505">
        <v>1.1339224764452473E-4</v>
      </c>
    </row>
    <row r="506" spans="29:31" x14ac:dyDescent="0.45">
      <c r="AC506" t="s">
        <v>19</v>
      </c>
      <c r="AD506" t="s">
        <v>691</v>
      </c>
      <c r="AE506">
        <v>1.1248637802579382E-4</v>
      </c>
    </row>
    <row r="507" spans="29:31" x14ac:dyDescent="0.45">
      <c r="AC507" t="s">
        <v>19</v>
      </c>
      <c r="AD507" t="s">
        <v>692</v>
      </c>
      <c r="AE507">
        <v>1.1216470345354279E-4</v>
      </c>
    </row>
    <row r="508" spans="29:31" x14ac:dyDescent="0.45">
      <c r="AC508" t="s">
        <v>19</v>
      </c>
      <c r="AD508" t="s">
        <v>693</v>
      </c>
      <c r="AE508">
        <v>1.1181944456770126E-4</v>
      </c>
    </row>
    <row r="509" spans="29:31" x14ac:dyDescent="0.45">
      <c r="AC509" t="s">
        <v>19</v>
      </c>
      <c r="AD509" t="s">
        <v>694</v>
      </c>
      <c r="AE509">
        <v>1.1183452306327554E-4</v>
      </c>
    </row>
    <row r="510" spans="29:31" x14ac:dyDescent="0.45">
      <c r="AC510" t="s">
        <v>19</v>
      </c>
      <c r="AD510" t="s">
        <v>695</v>
      </c>
      <c r="AE510">
        <v>1.118681597072489E-4</v>
      </c>
    </row>
    <row r="511" spans="29:31" x14ac:dyDescent="0.45">
      <c r="AC511" t="s">
        <v>19</v>
      </c>
      <c r="AD511" t="s">
        <v>696</v>
      </c>
      <c r="AE511">
        <v>1.1224086918759744E-4</v>
      </c>
    </row>
    <row r="512" spans="29:31" x14ac:dyDescent="0.45">
      <c r="AC512" t="s">
        <v>19</v>
      </c>
      <c r="AD512" t="s">
        <v>697</v>
      </c>
      <c r="AE512">
        <v>1.1263445658489494E-4</v>
      </c>
    </row>
    <row r="513" spans="29:31" x14ac:dyDescent="0.45">
      <c r="AC513" t="s">
        <v>19</v>
      </c>
      <c r="AD513" t="s">
        <v>698</v>
      </c>
      <c r="AE513">
        <v>1.1322638419320781E-4</v>
      </c>
    </row>
    <row r="514" spans="29:31" x14ac:dyDescent="0.45">
      <c r="AC514" t="s">
        <v>19</v>
      </c>
      <c r="AD514" t="s">
        <v>699</v>
      </c>
      <c r="AE514">
        <v>1.1360180007019788E-4</v>
      </c>
    </row>
    <row r="515" spans="29:31" x14ac:dyDescent="0.45">
      <c r="AC515" t="s">
        <v>19</v>
      </c>
      <c r="AD515" t="s">
        <v>700</v>
      </c>
      <c r="AE515">
        <v>1.1547694631468998E-4</v>
      </c>
    </row>
    <row r="516" spans="29:31" x14ac:dyDescent="0.45">
      <c r="AC516" t="s">
        <v>19</v>
      </c>
      <c r="AD516" t="s">
        <v>701</v>
      </c>
      <c r="AE516">
        <v>1.1536869044902857E-4</v>
      </c>
    </row>
    <row r="517" spans="29:31" x14ac:dyDescent="0.45">
      <c r="AC517" t="s">
        <v>19</v>
      </c>
      <c r="AD517" t="s">
        <v>702</v>
      </c>
      <c r="AE517">
        <v>1.153729433580367E-4</v>
      </c>
    </row>
    <row r="518" spans="29:31" x14ac:dyDescent="0.45">
      <c r="AC518" t="s">
        <v>19</v>
      </c>
      <c r="AD518" t="s">
        <v>703</v>
      </c>
      <c r="AE518">
        <v>1.153729433580367E-4</v>
      </c>
    </row>
    <row r="519" spans="29:31" x14ac:dyDescent="0.45">
      <c r="AC519" t="s">
        <v>19</v>
      </c>
      <c r="AD519" t="s">
        <v>704</v>
      </c>
      <c r="AE519">
        <v>1.153640509119288E-4</v>
      </c>
    </row>
    <row r="520" spans="29:31" x14ac:dyDescent="0.45">
      <c r="AC520" t="s">
        <v>19</v>
      </c>
      <c r="AD520" t="s">
        <v>705</v>
      </c>
      <c r="AE520">
        <v>1.1537255672994507E-4</v>
      </c>
    </row>
    <row r="521" spans="29:31" x14ac:dyDescent="0.45">
      <c r="AC521" t="s">
        <v>19</v>
      </c>
      <c r="AD521" t="s">
        <v>706</v>
      </c>
      <c r="AE521">
        <v>1.1539459453116899E-4</v>
      </c>
    </row>
    <row r="522" spans="29:31" x14ac:dyDescent="0.45">
      <c r="AC522" t="s">
        <v>19</v>
      </c>
      <c r="AD522" t="s">
        <v>707</v>
      </c>
      <c r="AE522">
        <v>1.154471759516331E-4</v>
      </c>
    </row>
    <row r="523" spans="29:31" x14ac:dyDescent="0.45">
      <c r="AC523" t="s">
        <v>19</v>
      </c>
      <c r="AD523" t="s">
        <v>708</v>
      </c>
      <c r="AE523">
        <v>1.1546844049667374E-4</v>
      </c>
    </row>
    <row r="524" spans="29:31" x14ac:dyDescent="0.45">
      <c r="AC524" t="s">
        <v>19</v>
      </c>
      <c r="AD524" t="s">
        <v>709</v>
      </c>
      <c r="AE524">
        <v>1.1552914110706245E-4</v>
      </c>
    </row>
    <row r="525" spans="29:31" x14ac:dyDescent="0.45">
      <c r="AC525" t="s">
        <v>19</v>
      </c>
      <c r="AD525" t="s">
        <v>710</v>
      </c>
      <c r="AE525">
        <v>1.1546341433148231E-4</v>
      </c>
    </row>
    <row r="526" spans="29:31" x14ac:dyDescent="0.45">
      <c r="AC526" t="s">
        <v>19</v>
      </c>
      <c r="AD526" t="s">
        <v>711</v>
      </c>
      <c r="AE526">
        <v>1.15263914236192E-4</v>
      </c>
    </row>
    <row r="527" spans="29:31" x14ac:dyDescent="0.45">
      <c r="AC527" t="s">
        <v>19</v>
      </c>
      <c r="AD527" t="s">
        <v>712</v>
      </c>
      <c r="AE527">
        <v>1.1500757981142949E-4</v>
      </c>
    </row>
    <row r="528" spans="29:31" x14ac:dyDescent="0.45">
      <c r="AC528" t="s">
        <v>19</v>
      </c>
      <c r="AD528" t="s">
        <v>713</v>
      </c>
      <c r="AE528">
        <v>1.1419488756278569E-4</v>
      </c>
    </row>
    <row r="529" spans="29:31" x14ac:dyDescent="0.45">
      <c r="AC529" t="s">
        <v>19</v>
      </c>
      <c r="AD529" t="s">
        <v>714</v>
      </c>
      <c r="AE529">
        <v>1.1372281466288365E-4</v>
      </c>
    </row>
    <row r="530" spans="29:31" x14ac:dyDescent="0.45">
      <c r="AC530" t="s">
        <v>19</v>
      </c>
      <c r="AD530" t="s">
        <v>715</v>
      </c>
      <c r="AE530">
        <v>1.1265340136138569E-4</v>
      </c>
    </row>
    <row r="531" spans="29:31" x14ac:dyDescent="0.45">
      <c r="AC531" t="s">
        <v>19</v>
      </c>
      <c r="AD531" t="s">
        <v>716</v>
      </c>
      <c r="AE531">
        <v>1.1240441287036447E-4</v>
      </c>
    </row>
    <row r="532" spans="29:31" x14ac:dyDescent="0.45">
      <c r="AC532" t="s">
        <v>19</v>
      </c>
      <c r="AD532" t="s">
        <v>717</v>
      </c>
      <c r="AE532">
        <v>1.1214575867705207E-4</v>
      </c>
    </row>
    <row r="533" spans="29:31" x14ac:dyDescent="0.45">
      <c r="AC533" t="s">
        <v>19</v>
      </c>
      <c r="AD533" t="s">
        <v>718</v>
      </c>
      <c r="AE533">
        <v>1.1222463080774823E-4</v>
      </c>
    </row>
    <row r="534" spans="29:31" x14ac:dyDescent="0.45">
      <c r="AC534" t="s">
        <v>19</v>
      </c>
      <c r="AD534" t="s">
        <v>719</v>
      </c>
      <c r="AE534">
        <v>1.1227218606302091E-4</v>
      </c>
    </row>
    <row r="535" spans="29:31" x14ac:dyDescent="0.45">
      <c r="AC535" t="s">
        <v>19</v>
      </c>
      <c r="AD535" t="s">
        <v>720</v>
      </c>
      <c r="AE535">
        <v>1.1318656149976809E-4</v>
      </c>
    </row>
    <row r="536" spans="29:31" x14ac:dyDescent="0.45">
      <c r="AC536" t="s">
        <v>19</v>
      </c>
      <c r="AD536" t="s">
        <v>721</v>
      </c>
      <c r="AE536">
        <v>1.1406266075544213E-4</v>
      </c>
    </row>
    <row r="537" spans="29:31" x14ac:dyDescent="0.45">
      <c r="AC537" t="s">
        <v>19</v>
      </c>
      <c r="AD537" t="s">
        <v>722</v>
      </c>
      <c r="AE537">
        <v>1.1463216393443942E-4</v>
      </c>
    </row>
    <row r="538" spans="29:31" x14ac:dyDescent="0.45">
      <c r="AC538" t="s">
        <v>19</v>
      </c>
      <c r="AD538" t="s">
        <v>723</v>
      </c>
      <c r="AE538">
        <v>1.1531146949146469E-4</v>
      </c>
    </row>
    <row r="539" spans="29:31" x14ac:dyDescent="0.45">
      <c r="AC539" t="s">
        <v>19</v>
      </c>
      <c r="AD539" t="s">
        <v>724</v>
      </c>
      <c r="AE539">
        <v>1.1547501317423174E-4</v>
      </c>
    </row>
    <row r="540" spans="29:31" x14ac:dyDescent="0.45">
      <c r="AC540" t="s">
        <v>19</v>
      </c>
      <c r="AD540" t="s">
        <v>725</v>
      </c>
      <c r="AE540">
        <v>1.1536869044902857E-4</v>
      </c>
    </row>
    <row r="541" spans="29:31" x14ac:dyDescent="0.45">
      <c r="AC541" t="s">
        <v>19</v>
      </c>
      <c r="AD541" t="s">
        <v>726</v>
      </c>
      <c r="AE541">
        <v>1.153729433580367E-4</v>
      </c>
    </row>
    <row r="542" spans="29:31" x14ac:dyDescent="0.45">
      <c r="AC542" t="s">
        <v>19</v>
      </c>
      <c r="AD542" t="s">
        <v>727</v>
      </c>
      <c r="AE542">
        <v>1.153729433580367E-4</v>
      </c>
    </row>
    <row r="543" spans="29:31" x14ac:dyDescent="0.45">
      <c r="AC543" t="s">
        <v>19</v>
      </c>
      <c r="AD543" t="s">
        <v>728</v>
      </c>
      <c r="AE543">
        <v>1.1534085322642994E-4</v>
      </c>
    </row>
    <row r="544" spans="29:31" x14ac:dyDescent="0.45">
      <c r="AC544" t="s">
        <v>19</v>
      </c>
      <c r="AD544" t="s">
        <v>729</v>
      </c>
      <c r="AE544">
        <v>1.1534085322642994E-4</v>
      </c>
    </row>
    <row r="545" spans="29:31" x14ac:dyDescent="0.45">
      <c r="AC545" t="s">
        <v>19</v>
      </c>
      <c r="AD545" t="s">
        <v>730</v>
      </c>
      <c r="AE545">
        <v>1.1535477183772925E-4</v>
      </c>
    </row>
    <row r="546" spans="29:31" x14ac:dyDescent="0.45">
      <c r="AC546" t="s">
        <v>19</v>
      </c>
      <c r="AD546" t="s">
        <v>731</v>
      </c>
      <c r="AE546">
        <v>1.1544949572018299E-4</v>
      </c>
    </row>
    <row r="547" spans="29:31" x14ac:dyDescent="0.45">
      <c r="AC547" t="s">
        <v>19</v>
      </c>
      <c r="AD547" t="s">
        <v>732</v>
      </c>
      <c r="AE547">
        <v>1.1547153352140691E-4</v>
      </c>
    </row>
    <row r="548" spans="29:31" x14ac:dyDescent="0.45">
      <c r="AC548" t="s">
        <v>19</v>
      </c>
      <c r="AD548" t="s">
        <v>733</v>
      </c>
      <c r="AE548">
        <v>1.1553223413179562E-4</v>
      </c>
    </row>
    <row r="549" spans="29:31" x14ac:dyDescent="0.45">
      <c r="AC549" t="s">
        <v>19</v>
      </c>
      <c r="AD549" t="s">
        <v>734</v>
      </c>
      <c r="AE549">
        <v>1.1544601606735816E-4</v>
      </c>
    </row>
    <row r="550" spans="29:31" x14ac:dyDescent="0.45">
      <c r="AC550" t="s">
        <v>19</v>
      </c>
      <c r="AD550" t="s">
        <v>735</v>
      </c>
      <c r="AE550">
        <v>1.152484491125261E-4</v>
      </c>
    </row>
    <row r="551" spans="29:31" x14ac:dyDescent="0.45">
      <c r="AC551" t="s">
        <v>19</v>
      </c>
      <c r="AD551" t="s">
        <v>736</v>
      </c>
      <c r="AE551">
        <v>1.1499211468776356E-4</v>
      </c>
    </row>
    <row r="552" spans="29:31" x14ac:dyDescent="0.45">
      <c r="AC552" t="s">
        <v>19</v>
      </c>
      <c r="AD552" t="s">
        <v>737</v>
      </c>
      <c r="AE552">
        <v>1.1415661138171256E-4</v>
      </c>
    </row>
    <row r="553" spans="29:31" x14ac:dyDescent="0.45">
      <c r="AC553" t="s">
        <v>19</v>
      </c>
      <c r="AD553" t="s">
        <v>738</v>
      </c>
      <c r="AE553">
        <v>1.1380130016548817E-4</v>
      </c>
    </row>
    <row r="554" spans="29:31" x14ac:dyDescent="0.45">
      <c r="AC554" t="s">
        <v>19</v>
      </c>
      <c r="AD554" t="s">
        <v>739</v>
      </c>
      <c r="AE554">
        <v>1.1278214851590444E-4</v>
      </c>
    </row>
    <row r="555" spans="29:31" x14ac:dyDescent="0.45">
      <c r="AC555" t="s">
        <v>19</v>
      </c>
      <c r="AD555" t="s">
        <v>740</v>
      </c>
      <c r="AE555">
        <v>1.1233984597905929E-4</v>
      </c>
    </row>
    <row r="556" spans="29:31" x14ac:dyDescent="0.45">
      <c r="AC556" t="s">
        <v>19</v>
      </c>
      <c r="AD556" t="s">
        <v>741</v>
      </c>
      <c r="AE556">
        <v>1.120750057362805E-4</v>
      </c>
    </row>
    <row r="557" spans="29:31" x14ac:dyDescent="0.45">
      <c r="AC557" t="s">
        <v>19</v>
      </c>
      <c r="AD557" t="s">
        <v>742</v>
      </c>
      <c r="AE557">
        <v>1.1210786912407058E-4</v>
      </c>
    </row>
    <row r="558" spans="29:31" x14ac:dyDescent="0.45">
      <c r="AC558" t="s">
        <v>19</v>
      </c>
      <c r="AD558" t="s">
        <v>743</v>
      </c>
      <c r="AE558">
        <v>1.1222385755156493E-4</v>
      </c>
    </row>
    <row r="559" spans="29:31" x14ac:dyDescent="0.45">
      <c r="AC559" t="s">
        <v>19</v>
      </c>
      <c r="AD559" t="s">
        <v>744</v>
      </c>
      <c r="AE559">
        <v>1.1296772999989539E-4</v>
      </c>
    </row>
    <row r="560" spans="29:31" x14ac:dyDescent="0.45">
      <c r="AC560" t="s">
        <v>19</v>
      </c>
      <c r="AD560" t="s">
        <v>745</v>
      </c>
      <c r="AE560">
        <v>1.1386780019725161E-4</v>
      </c>
    </row>
    <row r="561" spans="29:31" x14ac:dyDescent="0.45">
      <c r="AC561" t="s">
        <v>19</v>
      </c>
      <c r="AD561" t="s">
        <v>746</v>
      </c>
      <c r="AE561">
        <v>1.1469479768528636E-4</v>
      </c>
    </row>
    <row r="562" spans="29:31" x14ac:dyDescent="0.45">
      <c r="AC562" t="s">
        <v>19</v>
      </c>
      <c r="AD562" t="s">
        <v>747</v>
      </c>
      <c r="AE562">
        <v>1.1533930671406334E-4</v>
      </c>
    </row>
    <row r="563" spans="29:31" x14ac:dyDescent="0.45">
      <c r="AC563" t="s">
        <v>19</v>
      </c>
      <c r="AD563" t="s">
        <v>395</v>
      </c>
      <c r="AE563">
        <v>2.0705579701362661E-2</v>
      </c>
    </row>
    <row r="564" spans="29:31" x14ac:dyDescent="0.45">
      <c r="AC564" t="s">
        <v>19</v>
      </c>
      <c r="AD564" t="s">
        <v>396</v>
      </c>
      <c r="AE564">
        <v>3.4533611321054072E-3</v>
      </c>
    </row>
    <row r="565" spans="29:31" x14ac:dyDescent="0.45">
      <c r="AC565" t="s">
        <v>19</v>
      </c>
      <c r="AD565" t="s">
        <v>397</v>
      </c>
      <c r="AE565">
        <v>3.4542697081207793E-3</v>
      </c>
    </row>
    <row r="566" spans="29:31" x14ac:dyDescent="0.45">
      <c r="AC566" t="s">
        <v>19</v>
      </c>
      <c r="AD566" t="s">
        <v>398</v>
      </c>
      <c r="AE566">
        <v>2.0634184571330875E-2</v>
      </c>
    </row>
    <row r="567" spans="29:31" x14ac:dyDescent="0.45">
      <c r="AC567" t="s">
        <v>19</v>
      </c>
      <c r="AD567" t="s">
        <v>399</v>
      </c>
      <c r="AE567">
        <v>1.0114274534720715E-2</v>
      </c>
    </row>
    <row r="568" spans="29:31" x14ac:dyDescent="0.45">
      <c r="AC568" t="s">
        <v>19</v>
      </c>
      <c r="AD568" t="s">
        <v>400</v>
      </c>
      <c r="AE568">
        <v>3.3610157856715007E-3</v>
      </c>
    </row>
    <row r="569" spans="29:31" x14ac:dyDescent="0.45">
      <c r="AC569" t="s">
        <v>19</v>
      </c>
      <c r="AD569" t="s">
        <v>401</v>
      </c>
      <c r="AE569">
        <v>3.3623898619092167E-3</v>
      </c>
    </row>
    <row r="570" spans="29:31" x14ac:dyDescent="0.45">
      <c r="AC570" t="s">
        <v>19</v>
      </c>
      <c r="AD570" t="s">
        <v>402</v>
      </c>
      <c r="AE570">
        <v>1.7106964328365611E-2</v>
      </c>
    </row>
    <row r="571" spans="29:31" x14ac:dyDescent="0.45">
      <c r="AC571" t="s">
        <v>19</v>
      </c>
      <c r="AD571" t="s">
        <v>748</v>
      </c>
      <c r="AE571">
        <v>1.1374320675357377E-4</v>
      </c>
    </row>
    <row r="572" spans="29:31" x14ac:dyDescent="0.45">
      <c r="AC572" t="s">
        <v>19</v>
      </c>
      <c r="AD572" t="s">
        <v>749</v>
      </c>
      <c r="AE572">
        <v>1.136763200937187E-4</v>
      </c>
    </row>
    <row r="573" spans="29:31" x14ac:dyDescent="0.45">
      <c r="AC573" t="s">
        <v>19</v>
      </c>
      <c r="AD573" t="s">
        <v>750</v>
      </c>
      <c r="AE573">
        <v>1.136763200937187E-4</v>
      </c>
    </row>
    <row r="574" spans="29:31" x14ac:dyDescent="0.45">
      <c r="AC574" t="s">
        <v>19</v>
      </c>
      <c r="AD574" t="s">
        <v>751</v>
      </c>
      <c r="AE574">
        <v>1.1363572414409567E-4</v>
      </c>
    </row>
    <row r="575" spans="29:31" x14ac:dyDescent="0.45">
      <c r="AC575" t="s">
        <v>19</v>
      </c>
      <c r="AD575" t="s">
        <v>752</v>
      </c>
      <c r="AE575">
        <v>1.1368250614318508E-4</v>
      </c>
    </row>
    <row r="576" spans="29:31" x14ac:dyDescent="0.45">
      <c r="AC576" t="s">
        <v>19</v>
      </c>
      <c r="AD576" t="s">
        <v>753</v>
      </c>
      <c r="AE576">
        <v>1.1375480559632321E-4</v>
      </c>
    </row>
    <row r="577" spans="29:31" x14ac:dyDescent="0.45">
      <c r="AC577" t="s">
        <v>19</v>
      </c>
      <c r="AD577" t="s">
        <v>754</v>
      </c>
      <c r="AE577">
        <v>1.1386499460244285E-4</v>
      </c>
    </row>
    <row r="578" spans="29:31" x14ac:dyDescent="0.45">
      <c r="AC578" t="s">
        <v>19</v>
      </c>
      <c r="AD578" t="s">
        <v>755</v>
      </c>
      <c r="AE578">
        <v>1.1403549759085955E-4</v>
      </c>
    </row>
    <row r="579" spans="29:31" x14ac:dyDescent="0.45">
      <c r="AC579" t="s">
        <v>19</v>
      </c>
      <c r="AD579" t="s">
        <v>756</v>
      </c>
      <c r="AE579">
        <v>1.1406604121009973E-4</v>
      </c>
    </row>
    <row r="580" spans="29:31" x14ac:dyDescent="0.45">
      <c r="AC580" t="s">
        <v>19</v>
      </c>
      <c r="AD580" t="s">
        <v>757</v>
      </c>
      <c r="AE580">
        <v>1.1404941620215888E-4</v>
      </c>
    </row>
    <row r="581" spans="29:31" x14ac:dyDescent="0.45">
      <c r="AC581" t="s">
        <v>19</v>
      </c>
      <c r="AD581" t="s">
        <v>758</v>
      </c>
      <c r="AE581">
        <v>1.139106167172573E-4</v>
      </c>
    </row>
    <row r="582" spans="29:31" x14ac:dyDescent="0.45">
      <c r="AC582" t="s">
        <v>19</v>
      </c>
      <c r="AD582" t="s">
        <v>759</v>
      </c>
      <c r="AE582">
        <v>1.1376872420762254E-4</v>
      </c>
    </row>
    <row r="583" spans="29:31" x14ac:dyDescent="0.45">
      <c r="AC583" t="s">
        <v>19</v>
      </c>
      <c r="AD583" t="s">
        <v>760</v>
      </c>
      <c r="AE583">
        <v>1.1342075892513948E-4</v>
      </c>
    </row>
    <row r="584" spans="29:31" x14ac:dyDescent="0.45">
      <c r="AC584" t="s">
        <v>19</v>
      </c>
      <c r="AD584" t="s">
        <v>761</v>
      </c>
      <c r="AE584">
        <v>1.1320038091290019E-4</v>
      </c>
    </row>
    <row r="585" spans="29:31" x14ac:dyDescent="0.45">
      <c r="AC585" t="s">
        <v>19</v>
      </c>
      <c r="AD585" t="s">
        <v>762</v>
      </c>
      <c r="AE585">
        <v>1.1261425272596205E-4</v>
      </c>
    </row>
    <row r="586" spans="29:31" x14ac:dyDescent="0.45">
      <c r="AC586" t="s">
        <v>19</v>
      </c>
      <c r="AD586" t="s">
        <v>763</v>
      </c>
      <c r="AE586">
        <v>1.1235946481356611E-4</v>
      </c>
    </row>
    <row r="587" spans="29:31" x14ac:dyDescent="0.45">
      <c r="AC587" t="s">
        <v>19</v>
      </c>
      <c r="AD587" t="s">
        <v>764</v>
      </c>
      <c r="AE587">
        <v>1.1209153154605414E-4</v>
      </c>
    </row>
    <row r="588" spans="29:31" x14ac:dyDescent="0.45">
      <c r="AC588" t="s">
        <v>19</v>
      </c>
      <c r="AD588" t="s">
        <v>765</v>
      </c>
      <c r="AE588">
        <v>1.1213754028896025E-4</v>
      </c>
    </row>
    <row r="589" spans="29:31" x14ac:dyDescent="0.45">
      <c r="AC589" t="s">
        <v>19</v>
      </c>
      <c r="AD589" t="s">
        <v>766</v>
      </c>
      <c r="AE589">
        <v>1.1219862752744061E-4</v>
      </c>
    </row>
    <row r="590" spans="29:31" x14ac:dyDescent="0.45">
      <c r="AC590" t="s">
        <v>19</v>
      </c>
      <c r="AD590" t="s">
        <v>767</v>
      </c>
      <c r="AE590">
        <v>1.1296724417363653E-4</v>
      </c>
    </row>
    <row r="591" spans="29:31" x14ac:dyDescent="0.45">
      <c r="AC591" t="s">
        <v>19</v>
      </c>
      <c r="AD591" t="s">
        <v>768</v>
      </c>
      <c r="AE591">
        <v>1.1398755570749522E-4</v>
      </c>
    </row>
    <row r="592" spans="29:31" x14ac:dyDescent="0.45">
      <c r="AC592" t="s">
        <v>19</v>
      </c>
      <c r="AD592" t="s">
        <v>769</v>
      </c>
      <c r="AE592">
        <v>1.1481919273262975E-4</v>
      </c>
    </row>
    <row r="593" spans="29:31" x14ac:dyDescent="0.45">
      <c r="AC593" t="s">
        <v>19</v>
      </c>
      <c r="AD593" t="s">
        <v>770</v>
      </c>
      <c r="AE593">
        <v>1.1549192561209703E-4</v>
      </c>
    </row>
    <row r="594" spans="29:31" x14ac:dyDescent="0.45">
      <c r="AC594" t="s">
        <v>19</v>
      </c>
      <c r="AD594" t="s">
        <v>771</v>
      </c>
      <c r="AE594">
        <v>1.1552633551225369E-4</v>
      </c>
    </row>
    <row r="595" spans="29:31" x14ac:dyDescent="0.45">
      <c r="AC595" t="s">
        <v>19</v>
      </c>
      <c r="AD595" t="s">
        <v>403</v>
      </c>
      <c r="AE595">
        <v>2.0700732586758447E-2</v>
      </c>
    </row>
    <row r="596" spans="29:31" x14ac:dyDescent="0.45">
      <c r="AC596" t="s">
        <v>19</v>
      </c>
      <c r="AD596" t="s">
        <v>404</v>
      </c>
      <c r="AE596">
        <v>3.452575381910611E-3</v>
      </c>
    </row>
    <row r="597" spans="29:31" x14ac:dyDescent="0.45">
      <c r="AC597" t="s">
        <v>19</v>
      </c>
      <c r="AD597" t="s">
        <v>405</v>
      </c>
      <c r="AE597">
        <v>3.4535021294462907E-3</v>
      </c>
    </row>
    <row r="598" spans="29:31" x14ac:dyDescent="0.45">
      <c r="AC598" t="s">
        <v>19</v>
      </c>
      <c r="AD598" t="s">
        <v>406</v>
      </c>
      <c r="AE598">
        <v>2.0623439445188577E-2</v>
      </c>
    </row>
    <row r="599" spans="29:31" x14ac:dyDescent="0.45">
      <c r="AC599" t="s">
        <v>19</v>
      </c>
      <c r="AD599" t="s">
        <v>407</v>
      </c>
      <c r="AE599">
        <v>1.0111045051161569E-2</v>
      </c>
    </row>
    <row r="600" spans="29:31" x14ac:dyDescent="0.45">
      <c r="AC600" t="s">
        <v>19</v>
      </c>
      <c r="AD600" t="s">
        <v>408</v>
      </c>
      <c r="AE600">
        <v>3.3624407749047467E-3</v>
      </c>
    </row>
    <row r="601" spans="29:31" x14ac:dyDescent="0.45">
      <c r="AC601" t="s">
        <v>19</v>
      </c>
      <c r="AD601" t="s">
        <v>409</v>
      </c>
      <c r="AE601">
        <v>3.3637788947299399E-3</v>
      </c>
    </row>
    <row r="602" spans="29:31" x14ac:dyDescent="0.45">
      <c r="AC602" t="s">
        <v>19</v>
      </c>
      <c r="AD602" t="s">
        <v>410</v>
      </c>
      <c r="AE602">
        <v>1.7106455689490346E-2</v>
      </c>
    </row>
    <row r="603" spans="29:31" x14ac:dyDescent="0.45">
      <c r="AC603" t="s">
        <v>19</v>
      </c>
      <c r="AD603" t="s">
        <v>411</v>
      </c>
      <c r="AE603">
        <v>2.071797552491756E-2</v>
      </c>
    </row>
    <row r="604" spans="29:31" x14ac:dyDescent="0.45">
      <c r="AC604" t="s">
        <v>19</v>
      </c>
      <c r="AD604" t="s">
        <v>412</v>
      </c>
      <c r="AE604">
        <v>3.455631435644326E-3</v>
      </c>
    </row>
    <row r="605" spans="29:31" x14ac:dyDescent="0.45">
      <c r="AC605" t="s">
        <v>19</v>
      </c>
      <c r="AD605" t="s">
        <v>413</v>
      </c>
      <c r="AE605">
        <v>3.4552200633548129E-3</v>
      </c>
    </row>
    <row r="606" spans="29:31" x14ac:dyDescent="0.45">
      <c r="AC606" t="s">
        <v>19</v>
      </c>
      <c r="AD606" t="s">
        <v>414</v>
      </c>
      <c r="AE606">
        <v>2.0620833670378671E-2</v>
      </c>
    </row>
    <row r="607" spans="29:31" x14ac:dyDescent="0.45">
      <c r="AC607" t="s">
        <v>19</v>
      </c>
      <c r="AD607" t="s">
        <v>415</v>
      </c>
      <c r="AE607">
        <v>1.0114950044151113E-2</v>
      </c>
    </row>
    <row r="608" spans="29:31" x14ac:dyDescent="0.45">
      <c r="AC608" t="s">
        <v>19</v>
      </c>
      <c r="AD608" t="s">
        <v>416</v>
      </c>
      <c r="AE608">
        <v>3.3632439467484298E-3</v>
      </c>
    </row>
    <row r="609" spans="29:31" x14ac:dyDescent="0.45">
      <c r="AC609" t="s">
        <v>19</v>
      </c>
      <c r="AD609" t="s">
        <v>417</v>
      </c>
      <c r="AE609">
        <v>3.3643721275198584E-3</v>
      </c>
    </row>
    <row r="610" spans="29:31" x14ac:dyDescent="0.45">
      <c r="AC610" t="s">
        <v>19</v>
      </c>
      <c r="AD610" t="s">
        <v>418</v>
      </c>
      <c r="AE610">
        <v>1.7114934783398747E-2</v>
      </c>
    </row>
    <row r="611" spans="29:31" x14ac:dyDescent="0.45">
      <c r="AC611" t="s">
        <v>19</v>
      </c>
      <c r="AD611" t="s">
        <v>772</v>
      </c>
      <c r="AE611">
        <v>1.1373609357617957E-4</v>
      </c>
    </row>
    <row r="612" spans="29:31" x14ac:dyDescent="0.45">
      <c r="AC612" t="s">
        <v>19</v>
      </c>
      <c r="AD612" t="s">
        <v>773</v>
      </c>
      <c r="AE612">
        <v>1.1366108772639988E-4</v>
      </c>
    </row>
    <row r="613" spans="29:31" x14ac:dyDescent="0.45">
      <c r="AC613" t="s">
        <v>19</v>
      </c>
      <c r="AD613" t="s">
        <v>774</v>
      </c>
      <c r="AE613">
        <v>1.1366108772639988E-4</v>
      </c>
    </row>
    <row r="614" spans="29:31" x14ac:dyDescent="0.45">
      <c r="AC614" t="s">
        <v>19</v>
      </c>
      <c r="AD614" t="s">
        <v>775</v>
      </c>
      <c r="AE614">
        <v>1.1368003250289063E-4</v>
      </c>
    </row>
    <row r="615" spans="29:31" x14ac:dyDescent="0.45">
      <c r="AC615" t="s">
        <v>19</v>
      </c>
      <c r="AD615" t="s">
        <v>776</v>
      </c>
      <c r="AE615">
        <v>1.1370323018838949E-4</v>
      </c>
    </row>
    <row r="616" spans="29:31" x14ac:dyDescent="0.45">
      <c r="AC616" t="s">
        <v>19</v>
      </c>
      <c r="AD616" t="s">
        <v>777</v>
      </c>
      <c r="AE616">
        <v>1.1374459939419582E-4</v>
      </c>
    </row>
    <row r="617" spans="29:31" x14ac:dyDescent="0.45">
      <c r="AC617" t="s">
        <v>19</v>
      </c>
      <c r="AD617" t="s">
        <v>778</v>
      </c>
      <c r="AE617">
        <v>1.1388455876337235E-4</v>
      </c>
    </row>
    <row r="618" spans="29:31" x14ac:dyDescent="0.45">
      <c r="AC618" t="s">
        <v>19</v>
      </c>
      <c r="AD618" t="s">
        <v>779</v>
      </c>
      <c r="AE618">
        <v>1.1403611697529829E-4</v>
      </c>
    </row>
    <row r="619" spans="29:31" x14ac:dyDescent="0.45">
      <c r="AC619" t="s">
        <v>19</v>
      </c>
      <c r="AD619" t="s">
        <v>780</v>
      </c>
      <c r="AE619">
        <v>1.1406704722263012E-4</v>
      </c>
    </row>
    <row r="620" spans="29:31" x14ac:dyDescent="0.45">
      <c r="AC620" t="s">
        <v>19</v>
      </c>
      <c r="AD620" t="s">
        <v>781</v>
      </c>
      <c r="AE620">
        <v>1.1405003558659761E-4</v>
      </c>
    </row>
    <row r="621" spans="29:31" x14ac:dyDescent="0.45">
      <c r="AC621" t="s">
        <v>19</v>
      </c>
      <c r="AD621" t="s">
        <v>782</v>
      </c>
      <c r="AE621">
        <v>1.1391394249833757E-4</v>
      </c>
    </row>
    <row r="622" spans="29:31" x14ac:dyDescent="0.45">
      <c r="AC622" t="s">
        <v>19</v>
      </c>
      <c r="AD622" t="s">
        <v>783</v>
      </c>
      <c r="AE622">
        <v>1.1376973022015293E-4</v>
      </c>
    </row>
    <row r="623" spans="29:31" x14ac:dyDescent="0.45">
      <c r="AC623" t="s">
        <v>19</v>
      </c>
      <c r="AD623" t="s">
        <v>784</v>
      </c>
      <c r="AE623">
        <v>1.1340088702072086E-4</v>
      </c>
    </row>
    <row r="624" spans="29:31" x14ac:dyDescent="0.45">
      <c r="AC624" t="s">
        <v>19</v>
      </c>
      <c r="AD624" t="s">
        <v>785</v>
      </c>
      <c r="AE624">
        <v>1.1313024735656737E-4</v>
      </c>
    </row>
    <row r="625" spans="29:31" x14ac:dyDescent="0.45">
      <c r="AC625" t="s">
        <v>19</v>
      </c>
      <c r="AD625" t="s">
        <v>786</v>
      </c>
      <c r="AE625">
        <v>1.1247645925359084E-4</v>
      </c>
    </row>
    <row r="626" spans="29:31" x14ac:dyDescent="0.45">
      <c r="AC626" t="s">
        <v>19</v>
      </c>
      <c r="AD626" t="s">
        <v>787</v>
      </c>
      <c r="AE626">
        <v>1.1214125269813216E-4</v>
      </c>
    </row>
    <row r="627" spans="29:31" x14ac:dyDescent="0.45">
      <c r="AC627" t="s">
        <v>19</v>
      </c>
      <c r="AD627" t="s">
        <v>788</v>
      </c>
      <c r="AE627">
        <v>1.1178555485381613E-4</v>
      </c>
    </row>
    <row r="628" spans="29:31" x14ac:dyDescent="0.45">
      <c r="AC628" t="s">
        <v>19</v>
      </c>
      <c r="AD628" t="s">
        <v>789</v>
      </c>
      <c r="AE628">
        <v>1.117828484571746E-4</v>
      </c>
    </row>
    <row r="629" spans="29:31" x14ac:dyDescent="0.45">
      <c r="AC629" t="s">
        <v>19</v>
      </c>
      <c r="AD629" t="s">
        <v>790</v>
      </c>
      <c r="AE629">
        <v>1.1179676706847394E-4</v>
      </c>
    </row>
    <row r="630" spans="29:31" x14ac:dyDescent="0.45">
      <c r="AC630" t="s">
        <v>19</v>
      </c>
      <c r="AD630" t="s">
        <v>791</v>
      </c>
      <c r="AE630">
        <v>1.1210452302942562E-4</v>
      </c>
    </row>
    <row r="631" spans="29:31" x14ac:dyDescent="0.45">
      <c r="AC631" t="s">
        <v>19</v>
      </c>
      <c r="AD631" t="s">
        <v>792</v>
      </c>
      <c r="AE631">
        <v>1.1247491274122427E-4</v>
      </c>
    </row>
    <row r="632" spans="29:31" x14ac:dyDescent="0.45">
      <c r="AC632" t="s">
        <v>19</v>
      </c>
      <c r="AD632" t="s">
        <v>793</v>
      </c>
      <c r="AE632">
        <v>1.1302044497853938E-4</v>
      </c>
    </row>
    <row r="633" spans="29:31" x14ac:dyDescent="0.45">
      <c r="AC633" t="s">
        <v>19</v>
      </c>
      <c r="AD633" t="s">
        <v>794</v>
      </c>
      <c r="AE633">
        <v>1.1348903822561658E-4</v>
      </c>
    </row>
    <row r="634" spans="29:31" x14ac:dyDescent="0.45">
      <c r="AC634" t="s">
        <v>19</v>
      </c>
      <c r="AD634" t="s">
        <v>795</v>
      </c>
      <c r="AE634">
        <v>1.1342872424331952E-4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BEB0-650E-4E19-83B0-AA37CBD3B890}">
  <dimension ref="A9:AN92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108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124</v>
      </c>
      <c r="K10" t="s">
        <v>248</v>
      </c>
      <c r="L10" t="s">
        <v>30</v>
      </c>
      <c r="N10" t="s">
        <v>13</v>
      </c>
      <c r="O10" t="s">
        <v>124</v>
      </c>
      <c r="P10" t="s">
        <v>248</v>
      </c>
      <c r="Q10" t="s">
        <v>30</v>
      </c>
      <c r="S10" t="s">
        <v>13</v>
      </c>
      <c r="T10" t="s">
        <v>124</v>
      </c>
      <c r="U10" t="s">
        <v>248</v>
      </c>
      <c r="V10" t="s">
        <v>30</v>
      </c>
      <c r="X10" t="s">
        <v>421</v>
      </c>
      <c r="Y10" t="s">
        <v>248</v>
      </c>
      <c r="Z10" t="s">
        <v>124</v>
      </c>
      <c r="AA10" t="s">
        <v>13</v>
      </c>
      <c r="AC10" t="s">
        <v>13</v>
      </c>
      <c r="AD10" t="s">
        <v>124</v>
      </c>
      <c r="AE10" t="s">
        <v>248</v>
      </c>
      <c r="AG10" t="s">
        <v>13</v>
      </c>
      <c r="AH10" t="s">
        <v>124</v>
      </c>
      <c r="AI10" t="s">
        <v>427</v>
      </c>
      <c r="AK10" t="s">
        <v>47</v>
      </c>
      <c r="AL10" t="s">
        <v>124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798</v>
      </c>
      <c r="F11" t="s">
        <v>154</v>
      </c>
      <c r="G11" t="s">
        <v>155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3.2023983738383797E-2</v>
      </c>
      <c r="Q11" t="s">
        <v>251</v>
      </c>
      <c r="S11" t="s">
        <v>420</v>
      </c>
      <c r="T11" t="s">
        <v>250</v>
      </c>
      <c r="U11">
        <v>1.7877727916413823E-2</v>
      </c>
      <c r="V11" t="s">
        <v>251</v>
      </c>
      <c r="X11">
        <v>2.1232876712328767E-2</v>
      </c>
      <c r="Y11">
        <v>4.5420116185598634E-3</v>
      </c>
      <c r="Z11" t="s">
        <v>250</v>
      </c>
      <c r="AA11" t="s">
        <v>25</v>
      </c>
      <c r="AC11" t="s">
        <v>22</v>
      </c>
      <c r="AD11" t="s">
        <v>250</v>
      </c>
      <c r="AE11">
        <v>2.5333277982719261E-2</v>
      </c>
      <c r="AG11" t="s">
        <v>99</v>
      </c>
      <c r="AH11" t="s">
        <v>250</v>
      </c>
      <c r="AI11">
        <v>0.14041549864646474</v>
      </c>
    </row>
    <row r="12" spans="1:40" x14ac:dyDescent="0.45">
      <c r="C12" t="s">
        <v>156</v>
      </c>
      <c r="D12" t="s">
        <v>155</v>
      </c>
      <c r="E12" t="s">
        <v>799</v>
      </c>
      <c r="F12" t="s">
        <v>166</v>
      </c>
      <c r="G12" t="s">
        <v>155</v>
      </c>
      <c r="I12" t="s">
        <v>249</v>
      </c>
      <c r="J12" t="s">
        <v>252</v>
      </c>
      <c r="K12">
        <v>2.1566995796228287E-3</v>
      </c>
      <c r="L12" t="s">
        <v>251</v>
      </c>
      <c r="N12" t="s">
        <v>419</v>
      </c>
      <c r="O12" t="s">
        <v>252</v>
      </c>
      <c r="P12">
        <v>4.6753520212145542E-3</v>
      </c>
      <c r="Q12" t="s">
        <v>251</v>
      </c>
      <c r="S12" t="s">
        <v>420</v>
      </c>
      <c r="T12" t="s">
        <v>252</v>
      </c>
      <c r="U12">
        <v>2.9400777924750939E-3</v>
      </c>
      <c r="V12" t="s">
        <v>251</v>
      </c>
      <c r="X12">
        <v>3.5388127853881279E-3</v>
      </c>
      <c r="Y12">
        <v>5.240782636799844E-3</v>
      </c>
      <c r="Z12" t="s">
        <v>252</v>
      </c>
      <c r="AA12" t="s">
        <v>25</v>
      </c>
      <c r="AC12" t="s">
        <v>22</v>
      </c>
      <c r="AD12" t="s">
        <v>252</v>
      </c>
      <c r="AE12">
        <v>4.2213820286558E-3</v>
      </c>
      <c r="AG12" t="s">
        <v>99</v>
      </c>
      <c r="AH12" t="s">
        <v>252</v>
      </c>
      <c r="AI12">
        <v>0.10695568022603918</v>
      </c>
    </row>
    <row r="13" spans="1:40" x14ac:dyDescent="0.45">
      <c r="C13" t="s">
        <v>159</v>
      </c>
      <c r="D13" t="s">
        <v>160</v>
      </c>
      <c r="E13" t="s">
        <v>800</v>
      </c>
      <c r="F13" t="s">
        <v>158</v>
      </c>
      <c r="G13" t="s">
        <v>155</v>
      </c>
      <c r="I13" t="s">
        <v>249</v>
      </c>
      <c r="J13" t="s">
        <v>253</v>
      </c>
      <c r="K13">
        <v>5.7351265280208997E-3</v>
      </c>
      <c r="L13" t="s">
        <v>251</v>
      </c>
      <c r="N13" t="s">
        <v>419</v>
      </c>
      <c r="O13" t="s">
        <v>253</v>
      </c>
      <c r="P13">
        <v>4.1117343163884672E-3</v>
      </c>
      <c r="Q13" t="s">
        <v>251</v>
      </c>
      <c r="S13" t="s">
        <v>420</v>
      </c>
      <c r="T13" t="s">
        <v>253</v>
      </c>
      <c r="U13">
        <v>2.9873619792351001E-3</v>
      </c>
      <c r="V13" t="s">
        <v>251</v>
      </c>
      <c r="X13">
        <v>3.5388127853881279E-3</v>
      </c>
      <c r="Y13">
        <v>5.9087255218821738E-3</v>
      </c>
      <c r="Z13" t="s">
        <v>253</v>
      </c>
      <c r="AA13" t="s">
        <v>25</v>
      </c>
      <c r="AC13" t="s">
        <v>22</v>
      </c>
      <c r="AD13" t="s">
        <v>253</v>
      </c>
      <c r="AE13">
        <v>4.1846049727618205E-3</v>
      </c>
      <c r="AG13" t="s">
        <v>99</v>
      </c>
      <c r="AH13" t="s">
        <v>253</v>
      </c>
      <c r="AI13">
        <v>0.10918176237600519</v>
      </c>
    </row>
    <row r="14" spans="1:40" x14ac:dyDescent="0.45">
      <c r="C14" t="s">
        <v>163</v>
      </c>
      <c r="D14" t="s">
        <v>164</v>
      </c>
      <c r="E14" t="s">
        <v>801</v>
      </c>
      <c r="F14" t="s">
        <v>158</v>
      </c>
      <c r="G14" t="s">
        <v>155</v>
      </c>
      <c r="I14" t="s">
        <v>249</v>
      </c>
      <c r="J14" t="s">
        <v>254</v>
      </c>
      <c r="K14">
        <v>5.6741174349457101E-2</v>
      </c>
      <c r="L14" t="s">
        <v>251</v>
      </c>
      <c r="N14" t="s">
        <v>419</v>
      </c>
      <c r="O14" t="s">
        <v>254</v>
      </c>
      <c r="P14">
        <v>1.8148492540508484E-2</v>
      </c>
      <c r="Q14" t="s">
        <v>251</v>
      </c>
      <c r="S14" t="s">
        <v>420</v>
      </c>
      <c r="T14" t="s">
        <v>254</v>
      </c>
      <c r="U14">
        <v>1.9091430054603994E-2</v>
      </c>
      <c r="V14" t="s">
        <v>251</v>
      </c>
      <c r="X14">
        <v>2.1232876712328767E-2</v>
      </c>
      <c r="Y14">
        <v>2.6758819580836844E-2</v>
      </c>
      <c r="Z14" t="s">
        <v>254</v>
      </c>
      <c r="AA14" t="s">
        <v>25</v>
      </c>
      <c r="AC14" t="s">
        <v>22</v>
      </c>
      <c r="AD14" t="s">
        <v>254</v>
      </c>
      <c r="AE14">
        <v>2.3058390122999334E-2</v>
      </c>
      <c r="AG14" t="s">
        <v>99</v>
      </c>
      <c r="AH14" t="s">
        <v>254</v>
      </c>
      <c r="AI14">
        <v>0.17850472951247887</v>
      </c>
    </row>
    <row r="15" spans="1:40" x14ac:dyDescent="0.45">
      <c r="C15" t="s">
        <v>166</v>
      </c>
      <c r="D15" t="s">
        <v>434</v>
      </c>
      <c r="E15" t="s">
        <v>802</v>
      </c>
      <c r="F15" t="s">
        <v>158</v>
      </c>
      <c r="G15" t="s">
        <v>155</v>
      </c>
      <c r="I15" t="s">
        <v>249</v>
      </c>
      <c r="J15" t="s">
        <v>255</v>
      </c>
      <c r="K15">
        <v>2.6611029620498401E-2</v>
      </c>
      <c r="L15" t="s">
        <v>251</v>
      </c>
      <c r="N15" t="s">
        <v>419</v>
      </c>
      <c r="O15" t="s">
        <v>255</v>
      </c>
      <c r="P15">
        <v>8.3608854468542309E-3</v>
      </c>
      <c r="Q15" t="s">
        <v>251</v>
      </c>
      <c r="S15" t="s">
        <v>420</v>
      </c>
      <c r="T15" t="s">
        <v>255</v>
      </c>
      <c r="U15">
        <v>1.057631646936439E-2</v>
      </c>
      <c r="V15" t="s">
        <v>251</v>
      </c>
      <c r="X15">
        <v>1.0616438356164383E-2</v>
      </c>
      <c r="Y15">
        <v>1.6893816970390073E-2</v>
      </c>
      <c r="Z15" t="s">
        <v>255</v>
      </c>
      <c r="AA15" t="s">
        <v>25</v>
      </c>
      <c r="AC15" t="s">
        <v>22</v>
      </c>
      <c r="AD15" t="s">
        <v>255</v>
      </c>
      <c r="AE15">
        <v>8.2765194171414147E-3</v>
      </c>
      <c r="AG15" t="s">
        <v>99</v>
      </c>
      <c r="AH15" t="s">
        <v>255</v>
      </c>
      <c r="AI15">
        <v>0.11116120742126734</v>
      </c>
    </row>
    <row r="16" spans="1:40" x14ac:dyDescent="0.45">
      <c r="C16" t="s">
        <v>158</v>
      </c>
      <c r="D16" t="s">
        <v>436</v>
      </c>
      <c r="E16" t="s">
        <v>803</v>
      </c>
      <c r="F16" t="s">
        <v>158</v>
      </c>
      <c r="G16" t="s">
        <v>155</v>
      </c>
      <c r="I16" t="s">
        <v>249</v>
      </c>
      <c r="J16" t="s">
        <v>256</v>
      </c>
      <c r="K16">
        <v>6.8186755141492004E-3</v>
      </c>
      <c r="L16" t="s">
        <v>251</v>
      </c>
      <c r="N16" t="s">
        <v>419</v>
      </c>
      <c r="O16" t="s">
        <v>256</v>
      </c>
      <c r="P16">
        <v>3.4758049043377842E-3</v>
      </c>
      <c r="Q16" t="s">
        <v>251</v>
      </c>
      <c r="S16" t="s">
        <v>420</v>
      </c>
      <c r="T16" t="s">
        <v>256</v>
      </c>
      <c r="U16">
        <v>3.6162519572219168E-3</v>
      </c>
      <c r="V16" t="s">
        <v>251</v>
      </c>
      <c r="X16">
        <v>3.5388127853881279E-3</v>
      </c>
      <c r="Y16">
        <v>6.8849497385409693E-3</v>
      </c>
      <c r="Z16" t="s">
        <v>256</v>
      </c>
      <c r="AA16" t="s">
        <v>25</v>
      </c>
      <c r="AC16" t="s">
        <v>22</v>
      </c>
      <c r="AD16" t="s">
        <v>256</v>
      </c>
      <c r="AE16">
        <v>2.6039599917713476E-3</v>
      </c>
      <c r="AG16" t="s">
        <v>99</v>
      </c>
      <c r="AH16" t="s">
        <v>256</v>
      </c>
      <c r="AI16">
        <v>9.0743392615567409E-2</v>
      </c>
    </row>
    <row r="17" spans="3:35" x14ac:dyDescent="0.45">
      <c r="C17" t="s">
        <v>169</v>
      </c>
      <c r="D17" t="s">
        <v>438</v>
      </c>
      <c r="E17" t="s">
        <v>804</v>
      </c>
      <c r="F17" t="s">
        <v>171</v>
      </c>
      <c r="G17" t="s">
        <v>155</v>
      </c>
      <c r="I17" t="s">
        <v>249</v>
      </c>
      <c r="J17" t="s">
        <v>257</v>
      </c>
      <c r="K17">
        <v>4.8522002634973837E-3</v>
      </c>
      <c r="L17" t="s">
        <v>251</v>
      </c>
      <c r="N17" t="s">
        <v>419</v>
      </c>
      <c r="O17" t="s">
        <v>257</v>
      </c>
      <c r="P17">
        <v>3.7771415098806268E-3</v>
      </c>
      <c r="Q17" t="s">
        <v>251</v>
      </c>
      <c r="S17" t="s">
        <v>420</v>
      </c>
      <c r="T17" t="s">
        <v>257</v>
      </c>
      <c r="U17">
        <v>3.5228871449100416E-3</v>
      </c>
      <c r="V17" t="s">
        <v>251</v>
      </c>
      <c r="X17">
        <v>3.5388127853881279E-3</v>
      </c>
      <c r="Y17">
        <v>5.3435430806586613E-3</v>
      </c>
      <c r="Z17" t="s">
        <v>257</v>
      </c>
      <c r="AA17" t="s">
        <v>25</v>
      </c>
      <c r="AC17" t="s">
        <v>22</v>
      </c>
      <c r="AD17" t="s">
        <v>257</v>
      </c>
      <c r="AE17">
        <v>2.61882807267698E-3</v>
      </c>
      <c r="AG17" t="s">
        <v>99</v>
      </c>
      <c r="AH17" t="s">
        <v>257</v>
      </c>
      <c r="AI17">
        <v>0.1011496097588569</v>
      </c>
    </row>
    <row r="18" spans="3:35" x14ac:dyDescent="0.45">
      <c r="C18" t="s">
        <v>171</v>
      </c>
      <c r="D18" t="s">
        <v>440</v>
      </c>
      <c r="E18" t="s">
        <v>805</v>
      </c>
      <c r="F18" t="s">
        <v>171</v>
      </c>
      <c r="G18" t="s">
        <v>155</v>
      </c>
      <c r="I18" t="s">
        <v>249</v>
      </c>
      <c r="J18" t="s">
        <v>258</v>
      </c>
      <c r="K18">
        <v>1.6361687235408717E-3</v>
      </c>
      <c r="L18" t="s">
        <v>251</v>
      </c>
      <c r="N18" t="s">
        <v>419</v>
      </c>
      <c r="O18" t="s">
        <v>258</v>
      </c>
      <c r="P18">
        <v>2.4660282460977644E-2</v>
      </c>
      <c r="Q18" t="s">
        <v>251</v>
      </c>
      <c r="S18" t="s">
        <v>420</v>
      </c>
      <c r="T18" t="s">
        <v>258</v>
      </c>
      <c r="U18">
        <v>1.5757336683578368E-2</v>
      </c>
      <c r="V18" t="s">
        <v>251</v>
      </c>
      <c r="X18">
        <v>1.7694063926940638E-2</v>
      </c>
      <c r="Y18">
        <v>1.3358857701646654E-2</v>
      </c>
      <c r="Z18" t="s">
        <v>258</v>
      </c>
      <c r="AA18" t="s">
        <v>25</v>
      </c>
      <c r="AC18" t="s">
        <v>22</v>
      </c>
      <c r="AD18" t="s">
        <v>258</v>
      </c>
      <c r="AE18">
        <v>1.7530475484761106E-2</v>
      </c>
      <c r="AG18" t="s">
        <v>99</v>
      </c>
      <c r="AH18" t="s">
        <v>258</v>
      </c>
      <c r="AI18">
        <v>0.18108104719035567</v>
      </c>
    </row>
    <row r="19" spans="3:35" x14ac:dyDescent="0.45">
      <c r="C19" t="s">
        <v>162</v>
      </c>
      <c r="D19" t="s">
        <v>442</v>
      </c>
      <c r="E19" t="s">
        <v>806</v>
      </c>
      <c r="F19" t="s">
        <v>162</v>
      </c>
      <c r="G19" t="s">
        <v>155</v>
      </c>
      <c r="I19" t="s">
        <v>249</v>
      </c>
      <c r="J19" t="s">
        <v>259</v>
      </c>
      <c r="K19">
        <v>0</v>
      </c>
      <c r="L19" t="s">
        <v>251</v>
      </c>
      <c r="N19" t="s">
        <v>419</v>
      </c>
      <c r="O19" t="s">
        <v>259</v>
      </c>
      <c r="P19">
        <v>2.6859085503510967E-2</v>
      </c>
      <c r="Q19" t="s">
        <v>251</v>
      </c>
      <c r="S19" t="s">
        <v>420</v>
      </c>
      <c r="T19" t="s">
        <v>259</v>
      </c>
      <c r="U19">
        <v>1.5570388743208208E-2</v>
      </c>
      <c r="V19" t="s">
        <v>251</v>
      </c>
      <c r="X19">
        <v>1.9178082191780823E-2</v>
      </c>
      <c r="Y19">
        <v>4.1024621070863279E-3</v>
      </c>
      <c r="Z19" t="s">
        <v>259</v>
      </c>
      <c r="AA19" t="s">
        <v>25</v>
      </c>
      <c r="AC19" t="s">
        <v>22</v>
      </c>
      <c r="AD19" t="s">
        <v>259</v>
      </c>
      <c r="AE19">
        <v>2.161888624949352E-2</v>
      </c>
      <c r="AG19" t="s">
        <v>99</v>
      </c>
      <c r="AH19" t="s">
        <v>259</v>
      </c>
      <c r="AI19">
        <v>6.725101334592587E-2</v>
      </c>
    </row>
    <row r="20" spans="3:35" x14ac:dyDescent="0.45">
      <c r="C20" t="s">
        <v>174</v>
      </c>
      <c r="D20" t="s">
        <v>444</v>
      </c>
      <c r="E20" t="s">
        <v>807</v>
      </c>
      <c r="F20" t="s">
        <v>162</v>
      </c>
      <c r="G20" t="s">
        <v>155</v>
      </c>
      <c r="I20" t="s">
        <v>249</v>
      </c>
      <c r="J20" t="s">
        <v>260</v>
      </c>
      <c r="K20">
        <v>1.339658701922193E-3</v>
      </c>
      <c r="L20" t="s">
        <v>251</v>
      </c>
      <c r="N20" t="s">
        <v>419</v>
      </c>
      <c r="O20" t="s">
        <v>260</v>
      </c>
      <c r="P20">
        <v>3.8927029331353872E-3</v>
      </c>
      <c r="Q20" t="s">
        <v>251</v>
      </c>
      <c r="S20" t="s">
        <v>420</v>
      </c>
      <c r="T20" t="s">
        <v>260</v>
      </c>
      <c r="U20">
        <v>2.5524247052464877E-3</v>
      </c>
      <c r="V20" t="s">
        <v>251</v>
      </c>
      <c r="X20">
        <v>3.1963470319634705E-3</v>
      </c>
      <c r="Y20">
        <v>4.7336101235611484E-3</v>
      </c>
      <c r="Z20" t="s">
        <v>260</v>
      </c>
      <c r="AA20" t="s">
        <v>25</v>
      </c>
      <c r="AC20" t="s">
        <v>22</v>
      </c>
      <c r="AD20" t="s">
        <v>260</v>
      </c>
      <c r="AE20">
        <v>3.6358344534236685E-3</v>
      </c>
      <c r="AG20" t="s">
        <v>99</v>
      </c>
      <c r="AH20" t="s">
        <v>260</v>
      </c>
      <c r="AI20">
        <v>6.2737773474196734E-2</v>
      </c>
    </row>
    <row r="21" spans="3:35" x14ac:dyDescent="0.45">
      <c r="C21" t="s">
        <v>176</v>
      </c>
      <c r="D21" t="s">
        <v>808</v>
      </c>
      <c r="E21" t="s">
        <v>809</v>
      </c>
      <c r="F21" t="s">
        <v>162</v>
      </c>
      <c r="G21" t="s">
        <v>155</v>
      </c>
      <c r="I21" t="s">
        <v>249</v>
      </c>
      <c r="J21" t="s">
        <v>261</v>
      </c>
      <c r="K21">
        <v>4.4976164179348485E-3</v>
      </c>
      <c r="L21" t="s">
        <v>251</v>
      </c>
      <c r="N21" t="s">
        <v>419</v>
      </c>
      <c r="O21" t="s">
        <v>261</v>
      </c>
      <c r="P21">
        <v>3.4166545041474372E-3</v>
      </c>
      <c r="Q21" t="s">
        <v>251</v>
      </c>
      <c r="S21" t="s">
        <v>420</v>
      </c>
      <c r="T21" t="s">
        <v>261</v>
      </c>
      <c r="U21">
        <v>2.5094079632623409E-3</v>
      </c>
      <c r="V21" t="s">
        <v>251</v>
      </c>
      <c r="X21">
        <v>3.1963470319634705E-3</v>
      </c>
      <c r="Y21">
        <v>5.3369133746032542E-3</v>
      </c>
      <c r="Z21" t="s">
        <v>261</v>
      </c>
      <c r="AA21" t="s">
        <v>25</v>
      </c>
      <c r="AC21" t="s">
        <v>22</v>
      </c>
      <c r="AD21" t="s">
        <v>261</v>
      </c>
      <c r="AE21">
        <v>3.6344703546546822E-3</v>
      </c>
      <c r="AG21" t="s">
        <v>99</v>
      </c>
      <c r="AH21" t="s">
        <v>261</v>
      </c>
      <c r="AI21">
        <v>5.5388514883157214E-2</v>
      </c>
    </row>
    <row r="22" spans="3:35" x14ac:dyDescent="0.45">
      <c r="C22" t="s">
        <v>178</v>
      </c>
      <c r="D22" t="s">
        <v>810</v>
      </c>
      <c r="E22" t="s">
        <v>811</v>
      </c>
      <c r="F22" t="s">
        <v>162</v>
      </c>
      <c r="G22" t="s">
        <v>155</v>
      </c>
      <c r="I22" t="s">
        <v>249</v>
      </c>
      <c r="J22" t="s">
        <v>262</v>
      </c>
      <c r="K22">
        <v>4.7312849365851707E-2</v>
      </c>
      <c r="L22" t="s">
        <v>251</v>
      </c>
      <c r="N22" t="s">
        <v>419</v>
      </c>
      <c r="O22" t="s">
        <v>262</v>
      </c>
      <c r="P22">
        <v>1.5332261546275745E-2</v>
      </c>
      <c r="Q22" t="s">
        <v>251</v>
      </c>
      <c r="S22" t="s">
        <v>420</v>
      </c>
      <c r="T22" t="s">
        <v>262</v>
      </c>
      <c r="U22">
        <v>1.5549107374137295E-2</v>
      </c>
      <c r="V22" t="s">
        <v>251</v>
      </c>
      <c r="X22">
        <v>1.9178082191780823E-2</v>
      </c>
      <c r="Y22">
        <v>2.4169256395594564E-2</v>
      </c>
      <c r="Z22" t="s">
        <v>262</v>
      </c>
      <c r="AA22" t="s">
        <v>25</v>
      </c>
      <c r="AC22" t="s">
        <v>22</v>
      </c>
      <c r="AD22" t="s">
        <v>262</v>
      </c>
      <c r="AE22">
        <v>2.0108209408854633E-2</v>
      </c>
      <c r="AG22" t="s">
        <v>99</v>
      </c>
      <c r="AH22" t="s">
        <v>262</v>
      </c>
      <c r="AI22">
        <v>0.11604443548905641</v>
      </c>
    </row>
    <row r="23" spans="3:35" x14ac:dyDescent="0.45">
      <c r="D23" t="s">
        <v>812</v>
      </c>
      <c r="E23" t="s">
        <v>813</v>
      </c>
      <c r="F23" t="s">
        <v>174</v>
      </c>
      <c r="G23" t="s">
        <v>155</v>
      </c>
      <c r="I23" t="s">
        <v>249</v>
      </c>
      <c r="J23" t="s">
        <v>263</v>
      </c>
      <c r="K23">
        <v>2.1487248563208199E-2</v>
      </c>
      <c r="L23" t="s">
        <v>251</v>
      </c>
      <c r="N23" t="s">
        <v>419</v>
      </c>
      <c r="O23" t="s">
        <v>263</v>
      </c>
      <c r="P23">
        <v>6.9159360614657866E-3</v>
      </c>
      <c r="Q23" t="s">
        <v>251</v>
      </c>
      <c r="S23" t="s">
        <v>420</v>
      </c>
      <c r="T23" t="s">
        <v>263</v>
      </c>
      <c r="U23">
        <v>8.3281989093384225E-3</v>
      </c>
      <c r="V23" t="s">
        <v>251</v>
      </c>
      <c r="X23">
        <v>9.5890410958904115E-3</v>
      </c>
      <c r="Y23">
        <v>1.5258931457126519E-2</v>
      </c>
      <c r="Z23" t="s">
        <v>263</v>
      </c>
      <c r="AA23" t="s">
        <v>25</v>
      </c>
      <c r="AC23" t="s">
        <v>22</v>
      </c>
      <c r="AD23" t="s">
        <v>263</v>
      </c>
      <c r="AE23">
        <v>7.3804323982535015E-3</v>
      </c>
      <c r="AG23" t="s">
        <v>99</v>
      </c>
      <c r="AH23" t="s">
        <v>263</v>
      </c>
      <c r="AI23">
        <v>0.11196228135959285</v>
      </c>
    </row>
    <row r="24" spans="3:35" x14ac:dyDescent="0.45">
      <c r="D24" t="s">
        <v>814</v>
      </c>
      <c r="E24" t="s">
        <v>815</v>
      </c>
      <c r="F24" t="s">
        <v>174</v>
      </c>
      <c r="G24" t="s">
        <v>155</v>
      </c>
      <c r="I24" t="s">
        <v>249</v>
      </c>
      <c r="J24" t="s">
        <v>264</v>
      </c>
      <c r="K24">
        <v>5.3228780119697807E-3</v>
      </c>
      <c r="L24" t="s">
        <v>251</v>
      </c>
      <c r="N24" t="s">
        <v>419</v>
      </c>
      <c r="O24" t="s">
        <v>264</v>
      </c>
      <c r="P24">
        <v>2.8972208796751299E-3</v>
      </c>
      <c r="Q24" t="s">
        <v>251</v>
      </c>
      <c r="S24" t="s">
        <v>420</v>
      </c>
      <c r="T24" t="s">
        <v>264</v>
      </c>
      <c r="U24">
        <v>2.8530080087175195E-3</v>
      </c>
      <c r="V24" t="s">
        <v>251</v>
      </c>
      <c r="X24">
        <v>3.1963470319634705E-3</v>
      </c>
      <c r="Y24">
        <v>6.2186642799724884E-3</v>
      </c>
      <c r="Z24" t="s">
        <v>264</v>
      </c>
      <c r="AA24" t="s">
        <v>25</v>
      </c>
      <c r="AC24" t="s">
        <v>22</v>
      </c>
      <c r="AD24" t="s">
        <v>264</v>
      </c>
      <c r="AE24">
        <v>2.3245185630050126E-3</v>
      </c>
      <c r="AG24" t="s">
        <v>99</v>
      </c>
      <c r="AH24" t="s">
        <v>264</v>
      </c>
      <c r="AI24">
        <v>6.2711363706509315E-2</v>
      </c>
    </row>
    <row r="25" spans="3:35" x14ac:dyDescent="0.45">
      <c r="D25" t="s">
        <v>816</v>
      </c>
      <c r="E25" t="s">
        <v>817</v>
      </c>
      <c r="F25" t="s">
        <v>174</v>
      </c>
      <c r="G25" t="s">
        <v>155</v>
      </c>
      <c r="I25" t="s">
        <v>249</v>
      </c>
      <c r="J25" t="s">
        <v>265</v>
      </c>
      <c r="K25">
        <v>3.6504304492904721E-3</v>
      </c>
      <c r="L25" t="s">
        <v>251</v>
      </c>
      <c r="N25" t="s">
        <v>419</v>
      </c>
      <c r="O25" t="s">
        <v>265</v>
      </c>
      <c r="P25">
        <v>3.1606032717252232E-3</v>
      </c>
      <c r="Q25" t="s">
        <v>251</v>
      </c>
      <c r="S25" t="s">
        <v>420</v>
      </c>
      <c r="T25" t="s">
        <v>265</v>
      </c>
      <c r="U25">
        <v>2.841370638053637E-3</v>
      </c>
      <c r="V25" t="s">
        <v>251</v>
      </c>
      <c r="X25">
        <v>3.1963470319634705E-3</v>
      </c>
      <c r="Y25">
        <v>4.8264260083368555E-3</v>
      </c>
      <c r="Z25" t="s">
        <v>265</v>
      </c>
      <c r="AA25" t="s">
        <v>25</v>
      </c>
      <c r="AC25" t="s">
        <v>22</v>
      </c>
      <c r="AD25" t="s">
        <v>265</v>
      </c>
      <c r="AE25">
        <v>2.3297486010799904E-3</v>
      </c>
      <c r="AG25" t="s">
        <v>99</v>
      </c>
      <c r="AH25" t="s">
        <v>265</v>
      </c>
      <c r="AI25">
        <v>5.8752555846999899E-2</v>
      </c>
    </row>
    <row r="26" spans="3:35" x14ac:dyDescent="0.45">
      <c r="D26" t="s">
        <v>818</v>
      </c>
      <c r="E26" t="s">
        <v>819</v>
      </c>
      <c r="F26" t="s">
        <v>178</v>
      </c>
      <c r="G26" t="s">
        <v>155</v>
      </c>
      <c r="I26" t="s">
        <v>249</v>
      </c>
      <c r="J26" t="s">
        <v>266</v>
      </c>
      <c r="K26">
        <v>1.0742479766925439E-3</v>
      </c>
      <c r="L26" t="s">
        <v>251</v>
      </c>
      <c r="N26" t="s">
        <v>419</v>
      </c>
      <c r="O26" t="s">
        <v>266</v>
      </c>
      <c r="P26">
        <v>2.1056926725522049E-2</v>
      </c>
      <c r="Q26" t="s">
        <v>251</v>
      </c>
      <c r="S26" t="s">
        <v>420</v>
      </c>
      <c r="T26" t="s">
        <v>266</v>
      </c>
      <c r="U26">
        <v>1.3771904585956271E-2</v>
      </c>
      <c r="V26" t="s">
        <v>251</v>
      </c>
      <c r="X26">
        <v>1.5981735159817351E-2</v>
      </c>
      <c r="Y26">
        <v>1.2066065020842141E-2</v>
      </c>
      <c r="Z26" t="s">
        <v>266</v>
      </c>
      <c r="AA26" t="s">
        <v>25</v>
      </c>
      <c r="AC26" t="s">
        <v>22</v>
      </c>
      <c r="AD26" t="s">
        <v>266</v>
      </c>
      <c r="AE26">
        <v>1.5517970444668863E-2</v>
      </c>
      <c r="AG26" t="s">
        <v>99</v>
      </c>
      <c r="AH26" t="s">
        <v>266</v>
      </c>
      <c r="AI26">
        <v>0.15352800830975277</v>
      </c>
    </row>
    <row r="27" spans="3:35" x14ac:dyDescent="0.45">
      <c r="E27" t="s">
        <v>820</v>
      </c>
      <c r="G27" t="s">
        <v>155</v>
      </c>
      <c r="I27" t="s">
        <v>249</v>
      </c>
      <c r="J27" t="s">
        <v>267</v>
      </c>
      <c r="K27">
        <v>0</v>
      </c>
      <c r="L27" t="s">
        <v>251</v>
      </c>
      <c r="N27" t="s">
        <v>419</v>
      </c>
      <c r="O27" t="s">
        <v>267</v>
      </c>
      <c r="P27">
        <v>2.8256257914633733E-2</v>
      </c>
      <c r="Q27" t="s">
        <v>251</v>
      </c>
      <c r="S27" t="s">
        <v>420</v>
      </c>
      <c r="T27" t="s">
        <v>267</v>
      </c>
      <c r="U27">
        <v>1.9682460027021023E-2</v>
      </c>
      <c r="V27" t="s">
        <v>251</v>
      </c>
      <c r="X27">
        <v>2.1232876712328767E-2</v>
      </c>
      <c r="Y27">
        <v>4.5420116185598634E-3</v>
      </c>
      <c r="Z27" t="s">
        <v>267</v>
      </c>
      <c r="AA27" t="s">
        <v>25</v>
      </c>
      <c r="AC27" t="s">
        <v>22</v>
      </c>
      <c r="AD27" t="s">
        <v>267</v>
      </c>
      <c r="AE27">
        <v>2.3711587136367566E-2</v>
      </c>
      <c r="AG27" t="s">
        <v>99</v>
      </c>
      <c r="AH27" t="s">
        <v>267</v>
      </c>
      <c r="AI27">
        <v>0.11638577900886826</v>
      </c>
    </row>
    <row r="28" spans="3:35" x14ac:dyDescent="0.45">
      <c r="E28" t="s">
        <v>821</v>
      </c>
      <c r="G28" t="s">
        <v>155</v>
      </c>
      <c r="I28" t="s">
        <v>249</v>
      </c>
      <c r="J28" t="s">
        <v>268</v>
      </c>
      <c r="K28">
        <v>3.8870564019590214E-4</v>
      </c>
      <c r="L28" t="s">
        <v>251</v>
      </c>
      <c r="N28" t="s">
        <v>419</v>
      </c>
      <c r="O28" t="s">
        <v>268</v>
      </c>
      <c r="P28">
        <v>4.3642596673502199E-3</v>
      </c>
      <c r="Q28" t="s">
        <v>251</v>
      </c>
      <c r="S28" t="s">
        <v>420</v>
      </c>
      <c r="T28" t="s">
        <v>268</v>
      </c>
      <c r="U28">
        <v>3.2677551220692386E-3</v>
      </c>
      <c r="V28" t="s">
        <v>251</v>
      </c>
      <c r="X28">
        <v>3.5388127853881279E-3</v>
      </c>
      <c r="Y28">
        <v>5.240782636799844E-3</v>
      </c>
      <c r="Z28" t="s">
        <v>268</v>
      </c>
      <c r="AA28" t="s">
        <v>25</v>
      </c>
      <c r="AC28" t="s">
        <v>22</v>
      </c>
      <c r="AD28" t="s">
        <v>268</v>
      </c>
      <c r="AE28">
        <v>3.9961661127941236E-3</v>
      </c>
      <c r="AG28" t="s">
        <v>99</v>
      </c>
      <c r="AH28" t="s">
        <v>268</v>
      </c>
      <c r="AI28">
        <v>9.82212681904302E-2</v>
      </c>
    </row>
    <row r="29" spans="3:35" x14ac:dyDescent="0.45">
      <c r="E29" t="s">
        <v>822</v>
      </c>
      <c r="G29" t="s">
        <v>155</v>
      </c>
      <c r="I29" t="s">
        <v>249</v>
      </c>
      <c r="J29" t="s">
        <v>269</v>
      </c>
      <c r="K29">
        <v>4.9796343443622004E-3</v>
      </c>
      <c r="L29" t="s">
        <v>251</v>
      </c>
      <c r="N29" t="s">
        <v>419</v>
      </c>
      <c r="O29" t="s">
        <v>269</v>
      </c>
      <c r="P29">
        <v>3.9802360242095422E-3</v>
      </c>
      <c r="Q29" t="s">
        <v>251</v>
      </c>
      <c r="S29" t="s">
        <v>420</v>
      </c>
      <c r="T29" t="s">
        <v>269</v>
      </c>
      <c r="U29">
        <v>3.2577080412417832E-3</v>
      </c>
      <c r="V29" t="s">
        <v>251</v>
      </c>
      <c r="X29">
        <v>3.5388127853881279E-3</v>
      </c>
      <c r="Y29">
        <v>5.9087255218821738E-3</v>
      </c>
      <c r="Z29" t="s">
        <v>269</v>
      </c>
      <c r="AA29" t="s">
        <v>25</v>
      </c>
      <c r="AC29" t="s">
        <v>22</v>
      </c>
      <c r="AD29" t="s">
        <v>269</v>
      </c>
      <c r="AE29">
        <v>3.9885176288667074E-3</v>
      </c>
      <c r="AG29" t="s">
        <v>99</v>
      </c>
      <c r="AH29" t="s">
        <v>269</v>
      </c>
      <c r="AI29">
        <v>6.8143564656164113E-2</v>
      </c>
    </row>
    <row r="30" spans="3:35" x14ac:dyDescent="0.45">
      <c r="E30" t="s">
        <v>823</v>
      </c>
      <c r="G30" t="s">
        <v>155</v>
      </c>
      <c r="I30" t="s">
        <v>249</v>
      </c>
      <c r="J30" t="s">
        <v>270</v>
      </c>
      <c r="K30">
        <v>5.1897645322585798E-2</v>
      </c>
      <c r="L30" t="s">
        <v>251</v>
      </c>
      <c r="N30" t="s">
        <v>419</v>
      </c>
      <c r="O30" t="s">
        <v>270</v>
      </c>
      <c r="P30">
        <v>1.8503689500717891E-2</v>
      </c>
      <c r="Q30" t="s">
        <v>251</v>
      </c>
      <c r="S30" t="s">
        <v>420</v>
      </c>
      <c r="T30" t="s">
        <v>270</v>
      </c>
      <c r="U30">
        <v>1.9330486528263999E-2</v>
      </c>
      <c r="V30" t="s">
        <v>251</v>
      </c>
      <c r="X30">
        <v>2.1232876712328767E-2</v>
      </c>
      <c r="Y30">
        <v>2.6758819580836844E-2</v>
      </c>
      <c r="Z30" t="s">
        <v>270</v>
      </c>
      <c r="AA30" t="s">
        <v>25</v>
      </c>
      <c r="AC30" t="s">
        <v>22</v>
      </c>
      <c r="AD30" t="s">
        <v>270</v>
      </c>
      <c r="AE30">
        <v>2.2135749263266054E-2</v>
      </c>
      <c r="AG30" t="s">
        <v>99</v>
      </c>
      <c r="AH30" t="s">
        <v>270</v>
      </c>
      <c r="AI30">
        <v>0.13173562310592568</v>
      </c>
    </row>
    <row r="31" spans="3:35" x14ac:dyDescent="0.45">
      <c r="E31" t="s">
        <v>824</v>
      </c>
      <c r="G31" t="s">
        <v>155</v>
      </c>
      <c r="I31" t="s">
        <v>249</v>
      </c>
      <c r="J31" t="s">
        <v>271</v>
      </c>
      <c r="K31">
        <v>2.3890633137586399E-2</v>
      </c>
      <c r="L31" t="s">
        <v>251</v>
      </c>
      <c r="N31" t="s">
        <v>419</v>
      </c>
      <c r="O31" t="s">
        <v>271</v>
      </c>
      <c r="P31">
        <v>8.4908130991335727E-3</v>
      </c>
      <c r="Q31" t="s">
        <v>251</v>
      </c>
      <c r="S31" t="s">
        <v>420</v>
      </c>
      <c r="T31" t="s">
        <v>271</v>
      </c>
      <c r="U31">
        <v>9.3069590820403277E-3</v>
      </c>
      <c r="V31" t="s">
        <v>251</v>
      </c>
      <c r="X31">
        <v>1.0616438356164383E-2</v>
      </c>
      <c r="Y31">
        <v>1.6893816970390073E-2</v>
      </c>
      <c r="Z31" t="s">
        <v>271</v>
      </c>
      <c r="AA31" t="s">
        <v>25</v>
      </c>
      <c r="AC31" t="s">
        <v>22</v>
      </c>
      <c r="AD31" t="s">
        <v>271</v>
      </c>
      <c r="AE31">
        <v>8.0994765750551992E-3</v>
      </c>
      <c r="AG31" t="s">
        <v>99</v>
      </c>
      <c r="AH31" t="s">
        <v>271</v>
      </c>
      <c r="AI31">
        <v>8.4242662862822781E-2</v>
      </c>
    </row>
    <row r="32" spans="3:35" x14ac:dyDescent="0.45">
      <c r="E32" t="s">
        <v>825</v>
      </c>
      <c r="G32" t="s">
        <v>155</v>
      </c>
      <c r="I32" t="s">
        <v>249</v>
      </c>
      <c r="J32" t="s">
        <v>272</v>
      </c>
      <c r="K32">
        <v>6.1164188379895998E-3</v>
      </c>
      <c r="L32" t="s">
        <v>251</v>
      </c>
      <c r="N32" t="s">
        <v>419</v>
      </c>
      <c r="O32" t="s">
        <v>272</v>
      </c>
      <c r="P32">
        <v>3.2255779984932246E-3</v>
      </c>
      <c r="Q32" t="s">
        <v>251</v>
      </c>
      <c r="S32" t="s">
        <v>420</v>
      </c>
      <c r="T32" t="s">
        <v>272</v>
      </c>
      <c r="U32">
        <v>3.1185031283167E-3</v>
      </c>
      <c r="V32" t="s">
        <v>251</v>
      </c>
      <c r="X32">
        <v>3.5388127853881279E-3</v>
      </c>
      <c r="Y32">
        <v>6.8849497385409693E-3</v>
      </c>
      <c r="Z32" t="s">
        <v>272</v>
      </c>
      <c r="AA32" t="s">
        <v>25</v>
      </c>
      <c r="AC32" t="s">
        <v>22</v>
      </c>
      <c r="AD32" t="s">
        <v>272</v>
      </c>
      <c r="AE32">
        <v>2.5503286394059593E-3</v>
      </c>
      <c r="AG32" t="s">
        <v>99</v>
      </c>
      <c r="AH32" t="s">
        <v>272</v>
      </c>
      <c r="AI32">
        <v>5.8054213283028178E-2</v>
      </c>
    </row>
    <row r="33" spans="5:35" x14ac:dyDescent="0.45">
      <c r="E33" t="s">
        <v>826</v>
      </c>
      <c r="G33" t="s">
        <v>155</v>
      </c>
      <c r="I33" t="s">
        <v>249</v>
      </c>
      <c r="J33" t="s">
        <v>273</v>
      </c>
      <c r="K33">
        <v>3.7733047864497546E-3</v>
      </c>
      <c r="L33" t="s">
        <v>251</v>
      </c>
      <c r="N33" t="s">
        <v>419</v>
      </c>
      <c r="O33" t="s">
        <v>273</v>
      </c>
      <c r="P33">
        <v>3.419858473822849E-3</v>
      </c>
      <c r="Q33" t="s">
        <v>251</v>
      </c>
      <c r="S33" t="s">
        <v>420</v>
      </c>
      <c r="T33" t="s">
        <v>273</v>
      </c>
      <c r="U33">
        <v>3.1769901080109329E-3</v>
      </c>
      <c r="V33" t="s">
        <v>251</v>
      </c>
      <c r="X33">
        <v>3.5388127853881279E-3</v>
      </c>
      <c r="Y33">
        <v>5.3435430806586613E-3</v>
      </c>
      <c r="Z33" t="s">
        <v>273</v>
      </c>
      <c r="AA33" t="s">
        <v>25</v>
      </c>
      <c r="AC33" t="s">
        <v>22</v>
      </c>
      <c r="AD33" t="s">
        <v>273</v>
      </c>
      <c r="AE33">
        <v>2.5599130713679637E-3</v>
      </c>
      <c r="AG33" t="s">
        <v>99</v>
      </c>
      <c r="AH33" t="s">
        <v>273</v>
      </c>
      <c r="AI33">
        <v>4.435631490733738E-2</v>
      </c>
    </row>
    <row r="34" spans="5:35" x14ac:dyDescent="0.45">
      <c r="E34" t="s">
        <v>827</v>
      </c>
      <c r="G34" t="s">
        <v>155</v>
      </c>
      <c r="I34" t="s">
        <v>249</v>
      </c>
      <c r="J34" t="s">
        <v>274</v>
      </c>
      <c r="K34">
        <v>5.3177883933484631E-5</v>
      </c>
      <c r="L34" t="s">
        <v>251</v>
      </c>
      <c r="N34" t="s">
        <v>419</v>
      </c>
      <c r="O34" t="s">
        <v>274</v>
      </c>
      <c r="P34">
        <v>2.3181079674091134E-2</v>
      </c>
      <c r="Q34" t="s">
        <v>251</v>
      </c>
      <c r="S34" t="s">
        <v>420</v>
      </c>
      <c r="T34" t="s">
        <v>274</v>
      </c>
      <c r="U34">
        <v>1.613114842353618E-2</v>
      </c>
      <c r="V34" t="s">
        <v>251</v>
      </c>
      <c r="X34">
        <v>1.7694063926940638E-2</v>
      </c>
      <c r="Y34">
        <v>1.3358857701646654E-2</v>
      </c>
      <c r="Z34" t="s">
        <v>274</v>
      </c>
      <c r="AA34" t="s">
        <v>25</v>
      </c>
      <c r="AC34" t="s">
        <v>22</v>
      </c>
      <c r="AD34" t="s">
        <v>274</v>
      </c>
      <c r="AE34">
        <v>1.7047916945675982E-2</v>
      </c>
      <c r="AG34" t="s">
        <v>99</v>
      </c>
      <c r="AH34" t="s">
        <v>274</v>
      </c>
      <c r="AI34">
        <v>0.15879766383465954</v>
      </c>
    </row>
    <row r="35" spans="5:35" x14ac:dyDescent="0.45">
      <c r="E35" t="s">
        <v>430</v>
      </c>
      <c r="G35" t="s">
        <v>160</v>
      </c>
      <c r="I35" t="s">
        <v>249</v>
      </c>
      <c r="J35" t="s">
        <v>275</v>
      </c>
      <c r="K35">
        <v>0</v>
      </c>
      <c r="L35" t="s">
        <v>251</v>
      </c>
      <c r="N35" t="s">
        <v>419</v>
      </c>
      <c r="O35" t="s">
        <v>275</v>
      </c>
      <c r="P35">
        <v>2.0389424056945722E-2</v>
      </c>
      <c r="Q35" t="s">
        <v>251</v>
      </c>
      <c r="S35" t="s">
        <v>420</v>
      </c>
      <c r="T35" t="s">
        <v>275</v>
      </c>
      <c r="U35">
        <v>1.9415336490079316E-2</v>
      </c>
      <c r="V35" t="s">
        <v>251</v>
      </c>
      <c r="X35">
        <v>2.0547945205479451E-2</v>
      </c>
      <c r="Y35">
        <v>4.3954951147353507E-3</v>
      </c>
      <c r="Z35" t="s">
        <v>275</v>
      </c>
      <c r="AA35" t="s">
        <v>25</v>
      </c>
      <c r="AC35" t="s">
        <v>22</v>
      </c>
      <c r="AD35" t="s">
        <v>275</v>
      </c>
      <c r="AE35">
        <v>2.2301014114127767E-2</v>
      </c>
      <c r="AG35" t="s">
        <v>99</v>
      </c>
      <c r="AH35" t="s">
        <v>275</v>
      </c>
      <c r="AI35">
        <v>4.9626454518111318E-2</v>
      </c>
    </row>
    <row r="36" spans="5:35" x14ac:dyDescent="0.45">
      <c r="E36" t="s">
        <v>431</v>
      </c>
      <c r="G36" t="s">
        <v>160</v>
      </c>
      <c r="I36" t="s">
        <v>249</v>
      </c>
      <c r="J36" t="s">
        <v>276</v>
      </c>
      <c r="K36">
        <v>2.0517109116268366E-6</v>
      </c>
      <c r="L36" t="s">
        <v>251</v>
      </c>
      <c r="N36" t="s">
        <v>419</v>
      </c>
      <c r="O36" t="s">
        <v>276</v>
      </c>
      <c r="P36">
        <v>3.1607267371689613E-3</v>
      </c>
      <c r="Q36" t="s">
        <v>251</v>
      </c>
      <c r="S36" t="s">
        <v>420</v>
      </c>
      <c r="T36" t="s">
        <v>276</v>
      </c>
      <c r="U36">
        <v>3.2289324244967454E-3</v>
      </c>
      <c r="V36" t="s">
        <v>251</v>
      </c>
      <c r="X36">
        <v>3.4246575342465752E-3</v>
      </c>
      <c r="Y36">
        <v>5.0717251323869452E-3</v>
      </c>
      <c r="Z36" t="s">
        <v>276</v>
      </c>
      <c r="AA36" t="s">
        <v>25</v>
      </c>
      <c r="AC36" t="s">
        <v>22</v>
      </c>
      <c r="AD36" t="s">
        <v>276</v>
      </c>
      <c r="AE36">
        <v>3.73658632681621E-3</v>
      </c>
      <c r="AG36" t="s">
        <v>99</v>
      </c>
      <c r="AH36" t="s">
        <v>276</v>
      </c>
      <c r="AI36">
        <v>4.0869223385679998E-2</v>
      </c>
    </row>
    <row r="37" spans="5:35" x14ac:dyDescent="0.45">
      <c r="E37" t="s">
        <v>432</v>
      </c>
      <c r="G37" t="s">
        <v>160</v>
      </c>
      <c r="I37" t="s">
        <v>249</v>
      </c>
      <c r="J37" t="s">
        <v>277</v>
      </c>
      <c r="K37">
        <v>4.2034545150900051E-3</v>
      </c>
      <c r="L37" t="s">
        <v>251</v>
      </c>
      <c r="N37" t="s">
        <v>419</v>
      </c>
      <c r="O37" t="s">
        <v>277</v>
      </c>
      <c r="P37">
        <v>2.976389370092905E-3</v>
      </c>
      <c r="Q37" t="s">
        <v>251</v>
      </c>
      <c r="S37" t="s">
        <v>420</v>
      </c>
      <c r="T37" t="s">
        <v>277</v>
      </c>
      <c r="U37">
        <v>3.1787996386982288E-3</v>
      </c>
      <c r="V37" t="s">
        <v>251</v>
      </c>
      <c r="X37">
        <v>3.4246575342465752E-3</v>
      </c>
      <c r="Y37">
        <v>5.7181214727892006E-3</v>
      </c>
      <c r="Z37" t="s">
        <v>277</v>
      </c>
      <c r="AA37" t="s">
        <v>25</v>
      </c>
      <c r="AC37" t="s">
        <v>22</v>
      </c>
      <c r="AD37" t="s">
        <v>277</v>
      </c>
      <c r="AE37">
        <v>3.764362713540153E-3</v>
      </c>
      <c r="AG37" t="s">
        <v>99</v>
      </c>
      <c r="AH37" t="s">
        <v>277</v>
      </c>
      <c r="AI37">
        <v>3.5724129158097861E-2</v>
      </c>
    </row>
    <row r="38" spans="5:35" x14ac:dyDescent="0.45">
      <c r="E38" t="s">
        <v>433</v>
      </c>
      <c r="G38" t="s">
        <v>160</v>
      </c>
      <c r="I38" t="s">
        <v>249</v>
      </c>
      <c r="J38" t="s">
        <v>278</v>
      </c>
      <c r="K38">
        <v>4.4356241580810703E-2</v>
      </c>
      <c r="L38" t="s">
        <v>251</v>
      </c>
      <c r="N38" t="s">
        <v>419</v>
      </c>
      <c r="O38" t="s">
        <v>278</v>
      </c>
      <c r="P38">
        <v>1.0653333459856721E-2</v>
      </c>
      <c r="Q38" t="s">
        <v>251</v>
      </c>
      <c r="S38" t="s">
        <v>420</v>
      </c>
      <c r="T38" t="s">
        <v>278</v>
      </c>
      <c r="U38">
        <v>1.8406815010020155E-2</v>
      </c>
      <c r="V38" t="s">
        <v>251</v>
      </c>
      <c r="X38">
        <v>2.0547945205479451E-2</v>
      </c>
      <c r="Y38">
        <v>2.5895631852422749E-2</v>
      </c>
      <c r="Z38" t="s">
        <v>278</v>
      </c>
      <c r="AA38" t="s">
        <v>25</v>
      </c>
      <c r="AC38" t="s">
        <v>22</v>
      </c>
      <c r="AD38" t="s">
        <v>278</v>
      </c>
      <c r="AE38">
        <v>2.1776342412938632E-2</v>
      </c>
      <c r="AG38" t="s">
        <v>99</v>
      </c>
      <c r="AH38" t="s">
        <v>278</v>
      </c>
      <c r="AI38">
        <v>6.7959091165817664E-2</v>
      </c>
    </row>
    <row r="39" spans="5:35" x14ac:dyDescent="0.45">
      <c r="E39" t="s">
        <v>435</v>
      </c>
      <c r="G39" t="s">
        <v>160</v>
      </c>
      <c r="I39" t="s">
        <v>249</v>
      </c>
      <c r="J39" t="s">
        <v>279</v>
      </c>
      <c r="K39">
        <v>2.00173866079956E-2</v>
      </c>
      <c r="L39" t="s">
        <v>251</v>
      </c>
      <c r="N39" t="s">
        <v>419</v>
      </c>
      <c r="O39" t="s">
        <v>279</v>
      </c>
      <c r="P39">
        <v>4.6384492328032031E-3</v>
      </c>
      <c r="Q39" t="s">
        <v>251</v>
      </c>
      <c r="S39" t="s">
        <v>420</v>
      </c>
      <c r="T39" t="s">
        <v>279</v>
      </c>
      <c r="U39">
        <v>9.3006190060524845E-3</v>
      </c>
      <c r="V39" t="s">
        <v>251</v>
      </c>
      <c r="X39">
        <v>1.0273972602739725E-2</v>
      </c>
      <c r="Y39">
        <v>1.6348855132635558E-2</v>
      </c>
      <c r="Z39" t="s">
        <v>279</v>
      </c>
      <c r="AA39" t="s">
        <v>25</v>
      </c>
      <c r="AC39" t="s">
        <v>22</v>
      </c>
      <c r="AD39" t="s">
        <v>279</v>
      </c>
      <c r="AE39">
        <v>8.0391169002698298E-3</v>
      </c>
      <c r="AG39" t="s">
        <v>99</v>
      </c>
      <c r="AH39" t="s">
        <v>279</v>
      </c>
      <c r="AI39">
        <v>0.10474634976168629</v>
      </c>
    </row>
    <row r="40" spans="5:35" x14ac:dyDescent="0.45">
      <c r="E40" t="s">
        <v>437</v>
      </c>
      <c r="G40" t="s">
        <v>160</v>
      </c>
      <c r="I40" t="s">
        <v>249</v>
      </c>
      <c r="J40" t="s">
        <v>280</v>
      </c>
      <c r="K40">
        <v>4.9464738077248001E-3</v>
      </c>
      <c r="L40" t="s">
        <v>251</v>
      </c>
      <c r="N40" t="s">
        <v>419</v>
      </c>
      <c r="O40" t="s">
        <v>280</v>
      </c>
      <c r="P40">
        <v>1.7672870015609293E-3</v>
      </c>
      <c r="Q40" t="s">
        <v>251</v>
      </c>
      <c r="S40" t="s">
        <v>420</v>
      </c>
      <c r="T40" t="s">
        <v>280</v>
      </c>
      <c r="U40">
        <v>3.1644740752954916E-3</v>
      </c>
      <c r="V40" t="s">
        <v>251</v>
      </c>
      <c r="X40">
        <v>3.4246575342465752E-3</v>
      </c>
      <c r="Y40">
        <v>6.662854585684809E-3</v>
      </c>
      <c r="Z40" t="s">
        <v>280</v>
      </c>
      <c r="AA40" t="s">
        <v>25</v>
      </c>
      <c r="AC40" t="s">
        <v>22</v>
      </c>
      <c r="AD40" t="s">
        <v>280</v>
      </c>
      <c r="AE40">
        <v>2.3604012853309128E-3</v>
      </c>
      <c r="AG40" t="s">
        <v>99</v>
      </c>
      <c r="AH40" t="s">
        <v>280</v>
      </c>
      <c r="AI40">
        <v>1.3512367730849295E-2</v>
      </c>
    </row>
    <row r="41" spans="5:35" x14ac:dyDescent="0.45">
      <c r="E41" t="s">
        <v>439</v>
      </c>
      <c r="G41" t="s">
        <v>160</v>
      </c>
      <c r="I41" t="s">
        <v>249</v>
      </c>
      <c r="J41" t="s">
        <v>281</v>
      </c>
      <c r="K41">
        <v>2.0025868097443083E-3</v>
      </c>
      <c r="L41" t="s">
        <v>251</v>
      </c>
      <c r="N41" t="s">
        <v>419</v>
      </c>
      <c r="O41" t="s">
        <v>281</v>
      </c>
      <c r="P41">
        <v>2.0148571403143531E-3</v>
      </c>
      <c r="Q41" t="s">
        <v>251</v>
      </c>
      <c r="S41" t="s">
        <v>420</v>
      </c>
      <c r="T41" t="s">
        <v>281</v>
      </c>
      <c r="U41">
        <v>3.1611429117214063E-3</v>
      </c>
      <c r="V41" t="s">
        <v>251</v>
      </c>
      <c r="X41">
        <v>3.4246575342465752E-3</v>
      </c>
      <c r="Y41">
        <v>5.1711707232180593E-3</v>
      </c>
      <c r="Z41" t="s">
        <v>281</v>
      </c>
      <c r="AA41" t="s">
        <v>25</v>
      </c>
      <c r="AC41" t="s">
        <v>22</v>
      </c>
      <c r="AD41" t="s">
        <v>281</v>
      </c>
      <c r="AE41">
        <v>2.3763594538990973E-3</v>
      </c>
      <c r="AG41" t="s">
        <v>99</v>
      </c>
      <c r="AH41" t="s">
        <v>281</v>
      </c>
      <c r="AI41">
        <v>1.7165333712501507E-2</v>
      </c>
    </row>
    <row r="42" spans="5:35" x14ac:dyDescent="0.45">
      <c r="E42" t="s">
        <v>441</v>
      </c>
      <c r="G42" t="s">
        <v>160</v>
      </c>
      <c r="I42" t="s">
        <v>249</v>
      </c>
      <c r="J42" t="s">
        <v>282</v>
      </c>
      <c r="K42">
        <v>0</v>
      </c>
      <c r="L42" t="s">
        <v>251</v>
      </c>
      <c r="N42" t="s">
        <v>419</v>
      </c>
      <c r="O42" t="s">
        <v>282</v>
      </c>
      <c r="P42">
        <v>1.4925971407484051E-2</v>
      </c>
      <c r="Q42" t="s">
        <v>251</v>
      </c>
      <c r="S42" t="s">
        <v>420</v>
      </c>
      <c r="T42" t="s">
        <v>282</v>
      </c>
      <c r="U42">
        <v>1.5948499659726105E-2</v>
      </c>
      <c r="V42" t="s">
        <v>251</v>
      </c>
      <c r="X42">
        <v>1.7123287671232876E-2</v>
      </c>
      <c r="Y42">
        <v>1.2927926808045149E-2</v>
      </c>
      <c r="Z42" t="s">
        <v>282</v>
      </c>
      <c r="AA42" t="s">
        <v>25</v>
      </c>
      <c r="AC42" t="s">
        <v>22</v>
      </c>
      <c r="AD42" t="s">
        <v>282</v>
      </c>
      <c r="AE42">
        <v>1.5578099873551859E-2</v>
      </c>
      <c r="AG42" t="s">
        <v>99</v>
      </c>
      <c r="AH42" t="s">
        <v>282</v>
      </c>
      <c r="AI42">
        <v>0.17748445228691057</v>
      </c>
    </row>
    <row r="43" spans="5:35" x14ac:dyDescent="0.45">
      <c r="E43" t="s">
        <v>443</v>
      </c>
      <c r="G43" t="s">
        <v>160</v>
      </c>
      <c r="I43" t="s">
        <v>249</v>
      </c>
      <c r="J43" t="s">
        <v>283</v>
      </c>
      <c r="K43">
        <v>0</v>
      </c>
      <c r="L43" t="s">
        <v>251</v>
      </c>
      <c r="N43" t="s">
        <v>419</v>
      </c>
      <c r="O43" t="s">
        <v>283</v>
      </c>
      <c r="P43">
        <v>2.2371664005181903E-2</v>
      </c>
      <c r="Q43" t="s">
        <v>251</v>
      </c>
      <c r="S43" t="s">
        <v>420</v>
      </c>
      <c r="T43" t="s">
        <v>283</v>
      </c>
      <c r="U43">
        <v>1.7309422994866049E-2</v>
      </c>
      <c r="V43" t="s">
        <v>251</v>
      </c>
      <c r="X43">
        <v>2.0547945205479451E-2</v>
      </c>
      <c r="Y43">
        <v>4.3954951147353507E-3</v>
      </c>
      <c r="Z43" t="s">
        <v>283</v>
      </c>
      <c r="AA43" t="s">
        <v>25</v>
      </c>
      <c r="AC43" t="s">
        <v>22</v>
      </c>
      <c r="AD43" t="s">
        <v>283</v>
      </c>
      <c r="AE43">
        <v>2.2538131457940886E-2</v>
      </c>
      <c r="AG43" t="s">
        <v>99</v>
      </c>
      <c r="AH43" t="s">
        <v>283</v>
      </c>
      <c r="AI43">
        <v>6.9372852423736031E-2</v>
      </c>
    </row>
    <row r="44" spans="5:35" x14ac:dyDescent="0.45">
      <c r="E44" t="s">
        <v>445</v>
      </c>
      <c r="G44" t="s">
        <v>160</v>
      </c>
      <c r="I44" t="s">
        <v>249</v>
      </c>
      <c r="J44" t="s">
        <v>284</v>
      </c>
      <c r="K44">
        <v>0</v>
      </c>
      <c r="L44" t="s">
        <v>251</v>
      </c>
      <c r="N44" t="s">
        <v>419</v>
      </c>
      <c r="O44" t="s">
        <v>284</v>
      </c>
      <c r="P44">
        <v>3.5920119272526288E-3</v>
      </c>
      <c r="Q44" t="s">
        <v>251</v>
      </c>
      <c r="S44" t="s">
        <v>420</v>
      </c>
      <c r="T44" t="s">
        <v>284</v>
      </c>
      <c r="U44">
        <v>2.7132181509651587E-3</v>
      </c>
      <c r="V44" t="s">
        <v>251</v>
      </c>
      <c r="X44">
        <v>3.4246575342465752E-3</v>
      </c>
      <c r="Y44">
        <v>5.0717251323869452E-3</v>
      </c>
      <c r="Z44" t="s">
        <v>284</v>
      </c>
      <c r="AA44" t="s">
        <v>25</v>
      </c>
      <c r="AC44" t="s">
        <v>22</v>
      </c>
      <c r="AD44" t="s">
        <v>284</v>
      </c>
      <c r="AE44">
        <v>3.7508581433657825E-3</v>
      </c>
      <c r="AG44" t="s">
        <v>99</v>
      </c>
      <c r="AH44" t="s">
        <v>284</v>
      </c>
      <c r="AI44">
        <v>5.8910190180997191E-2</v>
      </c>
    </row>
    <row r="45" spans="5:35" x14ac:dyDescent="0.45">
      <c r="E45" t="s">
        <v>446</v>
      </c>
      <c r="G45" t="s">
        <v>160</v>
      </c>
      <c r="I45" t="s">
        <v>249</v>
      </c>
      <c r="J45" t="s">
        <v>285</v>
      </c>
      <c r="K45">
        <v>1.866544856439807E-3</v>
      </c>
      <c r="L45" t="s">
        <v>251</v>
      </c>
      <c r="N45" t="s">
        <v>419</v>
      </c>
      <c r="O45" t="s">
        <v>285</v>
      </c>
      <c r="P45">
        <v>3.5050902320513662E-3</v>
      </c>
      <c r="Q45" t="s">
        <v>251</v>
      </c>
      <c r="S45" t="s">
        <v>420</v>
      </c>
      <c r="T45" t="s">
        <v>285</v>
      </c>
      <c r="U45">
        <v>2.6464437015614076E-3</v>
      </c>
      <c r="V45" t="s">
        <v>251</v>
      </c>
      <c r="X45">
        <v>3.4246575342465752E-3</v>
      </c>
      <c r="Y45">
        <v>5.7181214727892006E-3</v>
      </c>
      <c r="Z45" t="s">
        <v>285</v>
      </c>
      <c r="AA45" t="s">
        <v>25</v>
      </c>
      <c r="AC45" t="s">
        <v>22</v>
      </c>
      <c r="AD45" t="s">
        <v>285</v>
      </c>
      <c r="AE45">
        <v>3.8094726930899096E-3</v>
      </c>
      <c r="AG45" t="s">
        <v>99</v>
      </c>
      <c r="AH45" t="s">
        <v>285</v>
      </c>
      <c r="AI45">
        <v>4.6655474065565139E-2</v>
      </c>
    </row>
    <row r="46" spans="5:35" x14ac:dyDescent="0.45">
      <c r="E46" t="s">
        <v>447</v>
      </c>
      <c r="G46" t="s">
        <v>160</v>
      </c>
      <c r="I46" t="s">
        <v>249</v>
      </c>
      <c r="J46" t="s">
        <v>286</v>
      </c>
      <c r="K46">
        <v>3.4236630509472621E-2</v>
      </c>
      <c r="L46" t="s">
        <v>251</v>
      </c>
      <c r="N46" t="s">
        <v>419</v>
      </c>
      <c r="O46" t="s">
        <v>286</v>
      </c>
      <c r="P46">
        <v>1.5869097696511823E-2</v>
      </c>
      <c r="Q46" t="s">
        <v>251</v>
      </c>
      <c r="S46" t="s">
        <v>420</v>
      </c>
      <c r="T46" t="s">
        <v>286</v>
      </c>
      <c r="U46">
        <v>1.5635512755768747E-2</v>
      </c>
      <c r="V46" t="s">
        <v>251</v>
      </c>
      <c r="X46">
        <v>2.0547945205479451E-2</v>
      </c>
      <c r="Y46">
        <v>2.5895631852422749E-2</v>
      </c>
      <c r="Z46" t="s">
        <v>286</v>
      </c>
      <c r="AA46" t="s">
        <v>25</v>
      </c>
      <c r="AC46" t="s">
        <v>22</v>
      </c>
      <c r="AD46" t="s">
        <v>286</v>
      </c>
      <c r="AE46">
        <v>2.2490953893528783E-2</v>
      </c>
      <c r="AG46" t="s">
        <v>99</v>
      </c>
      <c r="AH46" t="s">
        <v>286</v>
      </c>
      <c r="AI46">
        <v>0.10864543022449014</v>
      </c>
    </row>
    <row r="47" spans="5:35" x14ac:dyDescent="0.45">
      <c r="E47" t="s">
        <v>448</v>
      </c>
      <c r="G47" t="s">
        <v>160</v>
      </c>
      <c r="I47" t="s">
        <v>249</v>
      </c>
      <c r="J47" t="s">
        <v>287</v>
      </c>
      <c r="K47">
        <v>1.4801716201289269E-2</v>
      </c>
      <c r="L47" t="s">
        <v>251</v>
      </c>
      <c r="N47" t="s">
        <v>419</v>
      </c>
      <c r="O47" t="s">
        <v>287</v>
      </c>
      <c r="P47">
        <v>7.0224326047286087E-3</v>
      </c>
      <c r="Q47" t="s">
        <v>251</v>
      </c>
      <c r="S47" t="s">
        <v>420</v>
      </c>
      <c r="T47" t="s">
        <v>287</v>
      </c>
      <c r="U47">
        <v>7.8437402797192808E-3</v>
      </c>
      <c r="V47" t="s">
        <v>251</v>
      </c>
      <c r="X47">
        <v>1.0273972602739725E-2</v>
      </c>
      <c r="Y47">
        <v>1.6348855132635558E-2</v>
      </c>
      <c r="Z47" t="s">
        <v>287</v>
      </c>
      <c r="AA47" t="s">
        <v>25</v>
      </c>
      <c r="AC47" t="s">
        <v>22</v>
      </c>
      <c r="AD47" t="s">
        <v>287</v>
      </c>
      <c r="AE47">
        <v>8.2652159963069287E-3</v>
      </c>
      <c r="AG47" t="s">
        <v>99</v>
      </c>
      <c r="AH47" t="s">
        <v>287</v>
      </c>
      <c r="AI47">
        <v>9.1428726543686167E-2</v>
      </c>
    </row>
    <row r="48" spans="5:35" x14ac:dyDescent="0.45">
      <c r="E48" t="s">
        <v>449</v>
      </c>
      <c r="G48" t="s">
        <v>160</v>
      </c>
      <c r="I48" t="s">
        <v>249</v>
      </c>
      <c r="J48" t="s">
        <v>288</v>
      </c>
      <c r="K48">
        <v>3.4377983209480443E-3</v>
      </c>
      <c r="L48" t="s">
        <v>251</v>
      </c>
      <c r="N48" t="s">
        <v>419</v>
      </c>
      <c r="O48" t="s">
        <v>288</v>
      </c>
      <c r="P48">
        <v>2.3734102354833497E-3</v>
      </c>
      <c r="Q48" t="s">
        <v>251</v>
      </c>
      <c r="S48" t="s">
        <v>420</v>
      </c>
      <c r="T48" t="s">
        <v>288</v>
      </c>
      <c r="U48">
        <v>2.7713950519505891E-3</v>
      </c>
      <c r="V48" t="s">
        <v>251</v>
      </c>
      <c r="X48">
        <v>3.4246575342465752E-3</v>
      </c>
      <c r="Y48">
        <v>6.662854585684809E-3</v>
      </c>
      <c r="Z48" t="s">
        <v>288</v>
      </c>
      <c r="AA48" t="s">
        <v>25</v>
      </c>
      <c r="AC48" t="s">
        <v>22</v>
      </c>
      <c r="AD48" t="s">
        <v>288</v>
      </c>
      <c r="AE48">
        <v>2.3820118341223687E-3</v>
      </c>
      <c r="AG48" t="s">
        <v>99</v>
      </c>
      <c r="AH48" t="s">
        <v>288</v>
      </c>
      <c r="AI48">
        <v>9.3798655679184773E-3</v>
      </c>
    </row>
    <row r="49" spans="5:35" x14ac:dyDescent="0.45">
      <c r="E49" t="s">
        <v>450</v>
      </c>
      <c r="G49" t="s">
        <v>160</v>
      </c>
      <c r="I49" t="s">
        <v>249</v>
      </c>
      <c r="J49" t="s">
        <v>289</v>
      </c>
      <c r="K49">
        <v>5.1127748370418682E-4</v>
      </c>
      <c r="L49" t="s">
        <v>251</v>
      </c>
      <c r="N49" t="s">
        <v>419</v>
      </c>
      <c r="O49" t="s">
        <v>289</v>
      </c>
      <c r="P49">
        <v>2.6647065779488994E-3</v>
      </c>
      <c r="Q49" t="s">
        <v>251</v>
      </c>
      <c r="S49" t="s">
        <v>420</v>
      </c>
      <c r="T49" t="s">
        <v>289</v>
      </c>
      <c r="U49">
        <v>2.8377004903505382E-3</v>
      </c>
      <c r="V49" t="s">
        <v>251</v>
      </c>
      <c r="X49">
        <v>3.4246575342465752E-3</v>
      </c>
      <c r="Y49">
        <v>5.1711707232180593E-3</v>
      </c>
      <c r="Z49" t="s">
        <v>289</v>
      </c>
      <c r="AA49" t="s">
        <v>25</v>
      </c>
      <c r="AC49" t="s">
        <v>22</v>
      </c>
      <c r="AD49" t="s">
        <v>289</v>
      </c>
      <c r="AE49">
        <v>2.4075186940734571E-3</v>
      </c>
      <c r="AG49" t="s">
        <v>99</v>
      </c>
      <c r="AH49" t="s">
        <v>289</v>
      </c>
      <c r="AI49">
        <v>1.189336099643068E-2</v>
      </c>
    </row>
    <row r="50" spans="5:35" x14ac:dyDescent="0.45">
      <c r="E50" t="s">
        <v>451</v>
      </c>
      <c r="G50" t="s">
        <v>160</v>
      </c>
      <c r="I50" t="s">
        <v>249</v>
      </c>
      <c r="J50" t="s">
        <v>290</v>
      </c>
      <c r="K50">
        <v>0</v>
      </c>
      <c r="L50" t="s">
        <v>251</v>
      </c>
      <c r="N50" t="s">
        <v>419</v>
      </c>
      <c r="O50" t="s">
        <v>290</v>
      </c>
      <c r="P50">
        <v>1.7256475804826345E-2</v>
      </c>
      <c r="Q50" t="s">
        <v>251</v>
      </c>
      <c r="S50" t="s">
        <v>420</v>
      </c>
      <c r="T50" t="s">
        <v>290</v>
      </c>
      <c r="U50">
        <v>1.4722840189046946E-2</v>
      </c>
      <c r="V50" t="s">
        <v>251</v>
      </c>
      <c r="X50">
        <v>1.7123287671232876E-2</v>
      </c>
      <c r="Y50">
        <v>1.2927926808045149E-2</v>
      </c>
      <c r="Z50" t="s">
        <v>290</v>
      </c>
      <c r="AA50" t="s">
        <v>25</v>
      </c>
      <c r="AC50" t="s">
        <v>22</v>
      </c>
      <c r="AD50" t="s">
        <v>290</v>
      </c>
      <c r="AE50">
        <v>1.5766145990298294E-2</v>
      </c>
      <c r="AG50" t="s">
        <v>99</v>
      </c>
      <c r="AH50" t="s">
        <v>290</v>
      </c>
      <c r="AI50">
        <v>0.21726168591921424</v>
      </c>
    </row>
    <row r="51" spans="5:35" x14ac:dyDescent="0.45">
      <c r="E51" t="s">
        <v>452</v>
      </c>
      <c r="G51" t="s">
        <v>160</v>
      </c>
      <c r="I51" t="s">
        <v>249</v>
      </c>
      <c r="J51" t="s">
        <v>948</v>
      </c>
      <c r="K51">
        <v>0</v>
      </c>
      <c r="L51" t="s">
        <v>251</v>
      </c>
      <c r="N51" t="s">
        <v>419</v>
      </c>
      <c r="O51" t="s">
        <v>948</v>
      </c>
      <c r="P51">
        <v>3.8371264125067557E-5</v>
      </c>
      <c r="Q51" t="s">
        <v>251</v>
      </c>
      <c r="S51" t="s">
        <v>420</v>
      </c>
      <c r="T51" t="s">
        <v>948</v>
      </c>
      <c r="U51">
        <v>1.2575083022910001E-4</v>
      </c>
      <c r="V51" t="s">
        <v>251</v>
      </c>
      <c r="X51">
        <v>1.1415525114155251E-4</v>
      </c>
      <c r="Y51">
        <v>2.1546544680075254E-5</v>
      </c>
      <c r="Z51" t="s">
        <v>948</v>
      </c>
      <c r="AA51" t="s">
        <v>25</v>
      </c>
      <c r="AC51" t="s">
        <v>22</v>
      </c>
      <c r="AD51" t="s">
        <v>948</v>
      </c>
      <c r="AE51">
        <v>1.0573703153327433E-4</v>
      </c>
      <c r="AG51" t="s">
        <v>99</v>
      </c>
      <c r="AH51" t="s">
        <v>948</v>
      </c>
      <c r="AI51">
        <v>0</v>
      </c>
    </row>
    <row r="52" spans="5:35" x14ac:dyDescent="0.45">
      <c r="E52" t="s">
        <v>453</v>
      </c>
      <c r="G52" t="s">
        <v>160</v>
      </c>
      <c r="I52" t="s">
        <v>249</v>
      </c>
      <c r="J52" t="s">
        <v>949</v>
      </c>
      <c r="K52">
        <v>0</v>
      </c>
      <c r="L52" t="s">
        <v>251</v>
      </c>
      <c r="N52" t="s">
        <v>419</v>
      </c>
      <c r="O52" t="s">
        <v>949</v>
      </c>
      <c r="P52">
        <v>3.8726650163760877E-5</v>
      </c>
      <c r="Q52" t="s">
        <v>251</v>
      </c>
      <c r="S52" t="s">
        <v>420</v>
      </c>
      <c r="T52" t="s">
        <v>949</v>
      </c>
      <c r="U52">
        <v>1.272616139587E-4</v>
      </c>
      <c r="V52" t="s">
        <v>251</v>
      </c>
      <c r="X52">
        <v>1.1415525114155251E-4</v>
      </c>
      <c r="Y52">
        <v>1.4916838624667481E-5</v>
      </c>
      <c r="Z52" t="s">
        <v>949</v>
      </c>
      <c r="AA52" t="s">
        <v>25</v>
      </c>
      <c r="AC52" t="s">
        <v>22</v>
      </c>
      <c r="AD52" t="s">
        <v>949</v>
      </c>
      <c r="AE52">
        <v>1.0599912911334156E-4</v>
      </c>
      <c r="AG52" t="s">
        <v>99</v>
      </c>
      <c r="AH52" t="s">
        <v>949</v>
      </c>
      <c r="AI52">
        <v>0</v>
      </c>
    </row>
    <row r="53" spans="5:35" x14ac:dyDescent="0.45">
      <c r="E53" t="s">
        <v>454</v>
      </c>
      <c r="G53" t="s">
        <v>160</v>
      </c>
      <c r="I53" t="s">
        <v>249</v>
      </c>
      <c r="J53" t="s">
        <v>950</v>
      </c>
      <c r="K53">
        <v>0</v>
      </c>
      <c r="L53" t="s">
        <v>251</v>
      </c>
      <c r="N53" t="s">
        <v>419</v>
      </c>
      <c r="O53" t="s">
        <v>950</v>
      </c>
      <c r="P53">
        <v>3.9651681984018402E-5</v>
      </c>
      <c r="Q53" t="s">
        <v>251</v>
      </c>
      <c r="S53" t="s">
        <v>420</v>
      </c>
      <c r="T53" t="s">
        <v>950</v>
      </c>
      <c r="U53">
        <v>1.3408828755049999E-4</v>
      </c>
      <c r="V53" t="s">
        <v>251</v>
      </c>
      <c r="X53">
        <v>1.1415525114155251E-4</v>
      </c>
      <c r="Y53">
        <v>1.6574265138519424E-5</v>
      </c>
      <c r="Z53" t="s">
        <v>950</v>
      </c>
      <c r="AA53" t="s">
        <v>25</v>
      </c>
      <c r="AC53" t="s">
        <v>22</v>
      </c>
      <c r="AD53" t="s">
        <v>950</v>
      </c>
      <c r="AE53">
        <v>1.0435506247473796E-4</v>
      </c>
      <c r="AG53" t="s">
        <v>99</v>
      </c>
      <c r="AH53" t="s">
        <v>950</v>
      </c>
      <c r="AI53">
        <v>0</v>
      </c>
    </row>
    <row r="54" spans="5:35" x14ac:dyDescent="0.45">
      <c r="E54" t="s">
        <v>455</v>
      </c>
      <c r="G54" t="s">
        <v>160</v>
      </c>
      <c r="I54" t="s">
        <v>249</v>
      </c>
      <c r="J54" t="s">
        <v>951</v>
      </c>
      <c r="K54">
        <v>0</v>
      </c>
      <c r="L54" t="s">
        <v>251</v>
      </c>
      <c r="N54" t="s">
        <v>419</v>
      </c>
      <c r="O54" t="s">
        <v>951</v>
      </c>
      <c r="P54">
        <v>4.2059248153936525E-5</v>
      </c>
      <c r="Q54" t="s">
        <v>251</v>
      </c>
      <c r="S54" t="s">
        <v>420</v>
      </c>
      <c r="T54" t="s">
        <v>951</v>
      </c>
      <c r="U54">
        <v>1.4205311971609999E-4</v>
      </c>
      <c r="V54" t="s">
        <v>251</v>
      </c>
      <c r="X54">
        <v>1.1415525114155251E-4</v>
      </c>
      <c r="Y54">
        <v>1.4585353321897093E-5</v>
      </c>
      <c r="Z54" t="s">
        <v>951</v>
      </c>
      <c r="AA54" t="s">
        <v>25</v>
      </c>
      <c r="AC54" t="s">
        <v>22</v>
      </c>
      <c r="AD54" t="s">
        <v>951</v>
      </c>
      <c r="AE54">
        <v>1.0401552697328726E-4</v>
      </c>
      <c r="AG54" t="s">
        <v>99</v>
      </c>
      <c r="AH54" t="s">
        <v>951</v>
      </c>
      <c r="AI54">
        <v>0</v>
      </c>
    </row>
    <row r="55" spans="5:35" x14ac:dyDescent="0.45">
      <c r="E55" t="s">
        <v>456</v>
      </c>
      <c r="G55" t="s">
        <v>160</v>
      </c>
      <c r="I55" t="s">
        <v>249</v>
      </c>
      <c r="J55" t="s">
        <v>952</v>
      </c>
      <c r="K55">
        <v>0</v>
      </c>
      <c r="L55" t="s">
        <v>251</v>
      </c>
      <c r="N55" t="s">
        <v>419</v>
      </c>
      <c r="O55" t="s">
        <v>952</v>
      </c>
      <c r="P55">
        <v>4.3360095149071339E-5</v>
      </c>
      <c r="Q55" t="s">
        <v>251</v>
      </c>
      <c r="S55" t="s">
        <v>420</v>
      </c>
      <c r="T55" t="s">
        <v>952</v>
      </c>
      <c r="U55">
        <v>1.4462001595000001E-4</v>
      </c>
      <c r="V55" t="s">
        <v>251</v>
      </c>
      <c r="X55">
        <v>1.1415525114155251E-4</v>
      </c>
      <c r="Y55">
        <v>2.1215059377304864E-5</v>
      </c>
      <c r="Z55" t="s">
        <v>952</v>
      </c>
      <c r="AA55" t="s">
        <v>25</v>
      </c>
      <c r="AC55" t="s">
        <v>22</v>
      </c>
      <c r="AD55" t="s">
        <v>952</v>
      </c>
      <c r="AE55">
        <v>1.0383086731460351E-4</v>
      </c>
      <c r="AG55" t="s">
        <v>99</v>
      </c>
      <c r="AH55" t="s">
        <v>952</v>
      </c>
      <c r="AI55">
        <v>0</v>
      </c>
    </row>
    <row r="56" spans="5:35" x14ac:dyDescent="0.45">
      <c r="E56" t="s">
        <v>457</v>
      </c>
      <c r="G56" t="s">
        <v>160</v>
      </c>
      <c r="I56" t="s">
        <v>249</v>
      </c>
      <c r="J56" t="s">
        <v>953</v>
      </c>
      <c r="K56">
        <v>0</v>
      </c>
      <c r="L56" t="s">
        <v>251</v>
      </c>
      <c r="N56" t="s">
        <v>419</v>
      </c>
      <c r="O56" t="s">
        <v>953</v>
      </c>
      <c r="P56">
        <v>4.3734789600527057E-5</v>
      </c>
      <c r="Q56" t="s">
        <v>251</v>
      </c>
      <c r="S56" t="s">
        <v>420</v>
      </c>
      <c r="T56" t="s">
        <v>953</v>
      </c>
      <c r="U56">
        <v>1.3872302664580001E-4</v>
      </c>
      <c r="V56" t="s">
        <v>251</v>
      </c>
      <c r="X56">
        <v>1.1415525114155251E-4</v>
      </c>
      <c r="Y56">
        <v>5.7678442682047593E-5</v>
      </c>
      <c r="Z56" t="s">
        <v>953</v>
      </c>
      <c r="AA56" t="s">
        <v>25</v>
      </c>
      <c r="AC56" t="s">
        <v>22</v>
      </c>
      <c r="AD56" t="s">
        <v>953</v>
      </c>
      <c r="AE56">
        <v>1.0454567889660505E-4</v>
      </c>
      <c r="AG56" t="s">
        <v>99</v>
      </c>
      <c r="AH56" t="s">
        <v>953</v>
      </c>
      <c r="AI56">
        <v>0</v>
      </c>
    </row>
    <row r="57" spans="5:35" x14ac:dyDescent="0.45">
      <c r="E57" t="s">
        <v>458</v>
      </c>
      <c r="G57" t="s">
        <v>160</v>
      </c>
      <c r="I57" t="s">
        <v>249</v>
      </c>
      <c r="J57" t="s">
        <v>954</v>
      </c>
      <c r="K57">
        <v>0</v>
      </c>
      <c r="L57" t="s">
        <v>251</v>
      </c>
      <c r="N57" t="s">
        <v>419</v>
      </c>
      <c r="O57" t="s">
        <v>954</v>
      </c>
      <c r="P57">
        <v>4.2476191356420819E-5</v>
      </c>
      <c r="Q57" t="s">
        <v>251</v>
      </c>
      <c r="S57" t="s">
        <v>420</v>
      </c>
      <c r="T57" t="s">
        <v>954</v>
      </c>
      <c r="U57">
        <v>1.267676844096E-4</v>
      </c>
      <c r="V57" t="s">
        <v>251</v>
      </c>
      <c r="X57">
        <v>1.1415525114155251E-4</v>
      </c>
      <c r="Y57">
        <v>1.6905750441289813E-4</v>
      </c>
      <c r="Z57" t="s">
        <v>954</v>
      </c>
      <c r="AA57" t="s">
        <v>25</v>
      </c>
      <c r="AC57" t="s">
        <v>22</v>
      </c>
      <c r="AD57" t="s">
        <v>954</v>
      </c>
      <c r="AE57">
        <v>1.0518900932040648E-4</v>
      </c>
      <c r="AG57" t="s">
        <v>99</v>
      </c>
      <c r="AH57" t="s">
        <v>954</v>
      </c>
      <c r="AI57">
        <v>0</v>
      </c>
    </row>
    <row r="58" spans="5:35" x14ac:dyDescent="0.45">
      <c r="E58" t="s">
        <v>459</v>
      </c>
      <c r="G58" t="s">
        <v>160</v>
      </c>
      <c r="I58" t="s">
        <v>249</v>
      </c>
      <c r="J58" t="s">
        <v>955</v>
      </c>
      <c r="K58">
        <v>4.2088493976118691E-5</v>
      </c>
      <c r="L58" t="s">
        <v>251</v>
      </c>
      <c r="N58" t="s">
        <v>419</v>
      </c>
      <c r="O58" t="s">
        <v>955</v>
      </c>
      <c r="P58">
        <v>4.2241317629927213E-5</v>
      </c>
      <c r="Q58" t="s">
        <v>251</v>
      </c>
      <c r="S58" t="s">
        <v>420</v>
      </c>
      <c r="T58" t="s">
        <v>955</v>
      </c>
      <c r="U58">
        <v>1.2132950247169999E-4</v>
      </c>
      <c r="V58" t="s">
        <v>251</v>
      </c>
      <c r="X58">
        <v>1.1415525114155251E-4</v>
      </c>
      <c r="Y58">
        <v>1.9060404909297337E-4</v>
      </c>
      <c r="Z58" t="s">
        <v>955</v>
      </c>
      <c r="AA58" t="s">
        <v>25</v>
      </c>
      <c r="AC58" t="s">
        <v>22</v>
      </c>
      <c r="AD58" t="s">
        <v>955</v>
      </c>
      <c r="AE58">
        <v>1.1347486690844107E-4</v>
      </c>
      <c r="AG58" t="s">
        <v>99</v>
      </c>
      <c r="AH58" t="s">
        <v>955</v>
      </c>
      <c r="AI58">
        <v>0</v>
      </c>
    </row>
    <row r="59" spans="5:35" x14ac:dyDescent="0.45">
      <c r="E59" t="s">
        <v>153</v>
      </c>
      <c r="G59" t="s">
        <v>164</v>
      </c>
      <c r="I59" t="s">
        <v>249</v>
      </c>
      <c r="J59" t="s">
        <v>956</v>
      </c>
      <c r="K59">
        <v>9.1010527801431166E-5</v>
      </c>
      <c r="L59" t="s">
        <v>251</v>
      </c>
      <c r="N59" t="s">
        <v>419</v>
      </c>
      <c r="O59" t="s">
        <v>956</v>
      </c>
      <c r="P59">
        <v>3.6121438182476335E-5</v>
      </c>
      <c r="Q59" t="s">
        <v>251</v>
      </c>
      <c r="S59" t="s">
        <v>420</v>
      </c>
      <c r="T59" t="s">
        <v>956</v>
      </c>
      <c r="U59">
        <v>1.02526003739E-4</v>
      </c>
      <c r="V59" t="s">
        <v>251</v>
      </c>
      <c r="X59">
        <v>1.1415525114155251E-4</v>
      </c>
      <c r="Y59">
        <v>1.4585353321897094E-4</v>
      </c>
      <c r="Z59" t="s">
        <v>956</v>
      </c>
      <c r="AA59" t="s">
        <v>25</v>
      </c>
      <c r="AC59" t="s">
        <v>22</v>
      </c>
      <c r="AD59" t="s">
        <v>956</v>
      </c>
      <c r="AE59">
        <v>1.1804966103325096E-4</v>
      </c>
      <c r="AG59" t="s">
        <v>99</v>
      </c>
      <c r="AH59" t="s">
        <v>956</v>
      </c>
      <c r="AI59">
        <v>0</v>
      </c>
    </row>
    <row r="60" spans="5:35" x14ac:dyDescent="0.45">
      <c r="E60" t="s">
        <v>157</v>
      </c>
      <c r="G60" t="s">
        <v>164</v>
      </c>
      <c r="I60" t="s">
        <v>249</v>
      </c>
      <c r="J60" t="s">
        <v>957</v>
      </c>
      <c r="K60">
        <v>1.1903975573000001E-4</v>
      </c>
      <c r="L60" t="s">
        <v>251</v>
      </c>
      <c r="N60" t="s">
        <v>419</v>
      </c>
      <c r="O60" t="s">
        <v>957</v>
      </c>
      <c r="P60">
        <v>2.2805844164008077E-5</v>
      </c>
      <c r="Q60" t="s">
        <v>251</v>
      </c>
      <c r="S60" t="s">
        <v>420</v>
      </c>
      <c r="T60" t="s">
        <v>957</v>
      </c>
      <c r="U60">
        <v>9.2038515357713483E-5</v>
      </c>
      <c r="V60" t="s">
        <v>251</v>
      </c>
      <c r="X60">
        <v>1.1415525114155251E-4</v>
      </c>
      <c r="Y60">
        <v>1.4452759200788939E-4</v>
      </c>
      <c r="Z60" t="s">
        <v>957</v>
      </c>
      <c r="AA60" t="s">
        <v>25</v>
      </c>
      <c r="AC60" t="s">
        <v>22</v>
      </c>
      <c r="AD60" t="s">
        <v>957</v>
      </c>
      <c r="AE60">
        <v>1.1836536948196835E-4</v>
      </c>
      <c r="AG60" t="s">
        <v>99</v>
      </c>
      <c r="AH60" t="s">
        <v>957</v>
      </c>
      <c r="AI60">
        <v>0</v>
      </c>
    </row>
    <row r="61" spans="5:35" x14ac:dyDescent="0.45">
      <c r="E61" t="s">
        <v>161</v>
      </c>
      <c r="G61" t="s">
        <v>164</v>
      </c>
      <c r="I61" t="s">
        <v>249</v>
      </c>
      <c r="J61" t="s">
        <v>958</v>
      </c>
      <c r="K61">
        <v>1.4503500350779999E-4</v>
      </c>
      <c r="L61" t="s">
        <v>251</v>
      </c>
      <c r="N61" t="s">
        <v>419</v>
      </c>
      <c r="O61" t="s">
        <v>958</v>
      </c>
      <c r="P61">
        <v>2.2558338102696715E-5</v>
      </c>
      <c r="Q61" t="s">
        <v>251</v>
      </c>
      <c r="S61" t="s">
        <v>420</v>
      </c>
      <c r="T61" t="s">
        <v>958</v>
      </c>
      <c r="U61">
        <v>9.4829053183039755E-5</v>
      </c>
      <c r="V61" t="s">
        <v>251</v>
      </c>
      <c r="X61">
        <v>1.1415525114155251E-4</v>
      </c>
      <c r="Y61">
        <v>1.408812536774151E-4</v>
      </c>
      <c r="Z61" t="s">
        <v>958</v>
      </c>
      <c r="AA61" t="s">
        <v>25</v>
      </c>
      <c r="AC61" t="s">
        <v>22</v>
      </c>
      <c r="AD61" t="s">
        <v>958</v>
      </c>
      <c r="AE61">
        <v>1.2213004381384315E-4</v>
      </c>
      <c r="AG61" t="s">
        <v>99</v>
      </c>
      <c r="AH61" t="s">
        <v>958</v>
      </c>
      <c r="AI61">
        <v>0</v>
      </c>
    </row>
    <row r="62" spans="5:35" x14ac:dyDescent="0.45">
      <c r="E62" t="s">
        <v>165</v>
      </c>
      <c r="G62" t="s">
        <v>164</v>
      </c>
      <c r="I62" t="s">
        <v>249</v>
      </c>
      <c r="J62" t="s">
        <v>959</v>
      </c>
      <c r="K62">
        <v>1.6352714791019999E-4</v>
      </c>
      <c r="L62" t="s">
        <v>251</v>
      </c>
      <c r="N62" t="s">
        <v>419</v>
      </c>
      <c r="O62" t="s">
        <v>959</v>
      </c>
      <c r="P62">
        <v>1.9318083555611008E-5</v>
      </c>
      <c r="Q62" t="s">
        <v>251</v>
      </c>
      <c r="S62" t="s">
        <v>420</v>
      </c>
      <c r="T62" t="s">
        <v>959</v>
      </c>
      <c r="U62">
        <v>9.8971979330254097E-5</v>
      </c>
      <c r="V62" t="s">
        <v>251</v>
      </c>
      <c r="X62">
        <v>1.1415525114155251E-4</v>
      </c>
      <c r="Y62">
        <v>1.4054976837464471E-4</v>
      </c>
      <c r="Z62" t="s">
        <v>959</v>
      </c>
      <c r="AA62" t="s">
        <v>25</v>
      </c>
      <c r="AC62" t="s">
        <v>22</v>
      </c>
      <c r="AD62" t="s">
        <v>959</v>
      </c>
      <c r="AE62">
        <v>1.2158797836415864E-4</v>
      </c>
      <c r="AG62" t="s">
        <v>99</v>
      </c>
      <c r="AH62" t="s">
        <v>959</v>
      </c>
      <c r="AI62">
        <v>0</v>
      </c>
    </row>
    <row r="63" spans="5:35" x14ac:dyDescent="0.45">
      <c r="E63" t="s">
        <v>167</v>
      </c>
      <c r="G63" t="s">
        <v>164</v>
      </c>
      <c r="I63" t="s">
        <v>249</v>
      </c>
      <c r="J63" t="s">
        <v>960</v>
      </c>
      <c r="K63">
        <v>1.885941073801E-4</v>
      </c>
      <c r="L63" t="s">
        <v>251</v>
      </c>
      <c r="N63" t="s">
        <v>419</v>
      </c>
      <c r="O63" t="s">
        <v>960</v>
      </c>
      <c r="P63">
        <v>1.6656617674035167E-5</v>
      </c>
      <c r="Q63" t="s">
        <v>251</v>
      </c>
      <c r="S63" t="s">
        <v>420</v>
      </c>
      <c r="T63" t="s">
        <v>960</v>
      </c>
      <c r="U63">
        <v>1.0921758084890001E-4</v>
      </c>
      <c r="V63" t="s">
        <v>251</v>
      </c>
      <c r="X63">
        <v>1.1415525114155251E-4</v>
      </c>
      <c r="Y63">
        <v>1.4253868019126702E-4</v>
      </c>
      <c r="Z63" t="s">
        <v>960</v>
      </c>
      <c r="AA63" t="s">
        <v>25</v>
      </c>
      <c r="AC63" t="s">
        <v>22</v>
      </c>
      <c r="AD63" t="s">
        <v>960</v>
      </c>
      <c r="AE63">
        <v>1.1750163882038311E-4</v>
      </c>
      <c r="AG63" t="s">
        <v>99</v>
      </c>
      <c r="AH63" t="s">
        <v>960</v>
      </c>
      <c r="AI63">
        <v>0</v>
      </c>
    </row>
    <row r="64" spans="5:35" x14ac:dyDescent="0.45">
      <c r="E64" t="s">
        <v>168</v>
      </c>
      <c r="G64" t="s">
        <v>164</v>
      </c>
      <c r="I64" t="s">
        <v>249</v>
      </c>
      <c r="J64" t="s">
        <v>961</v>
      </c>
      <c r="K64">
        <v>1.6023971343690001E-4</v>
      </c>
      <c r="L64" t="s">
        <v>251</v>
      </c>
      <c r="N64" t="s">
        <v>419</v>
      </c>
      <c r="O64" t="s">
        <v>961</v>
      </c>
      <c r="P64">
        <v>1.6070847510919575E-5</v>
      </c>
      <c r="Q64" t="s">
        <v>251</v>
      </c>
      <c r="S64" t="s">
        <v>420</v>
      </c>
      <c r="T64" t="s">
        <v>961</v>
      </c>
      <c r="U64">
        <v>1.23242615431E-4</v>
      </c>
      <c r="V64" t="s">
        <v>251</v>
      </c>
      <c r="X64">
        <v>1.1415525114155251E-4</v>
      </c>
      <c r="Y64">
        <v>1.4883690094390442E-4</v>
      </c>
      <c r="Z64" t="s">
        <v>961</v>
      </c>
      <c r="AA64" t="s">
        <v>25</v>
      </c>
      <c r="AC64" t="s">
        <v>22</v>
      </c>
      <c r="AD64" t="s">
        <v>961</v>
      </c>
      <c r="AE64">
        <v>1.1259922272048917E-4</v>
      </c>
      <c r="AG64" t="s">
        <v>99</v>
      </c>
      <c r="AH64" t="s">
        <v>961</v>
      </c>
      <c r="AI64">
        <v>0</v>
      </c>
    </row>
    <row r="65" spans="5:35" x14ac:dyDescent="0.45">
      <c r="E65" t="s">
        <v>170</v>
      </c>
      <c r="G65" t="s">
        <v>164</v>
      </c>
      <c r="I65" t="s">
        <v>249</v>
      </c>
      <c r="J65" t="s">
        <v>962</v>
      </c>
      <c r="K65">
        <v>1.3822530568859999E-4</v>
      </c>
      <c r="L65" t="s">
        <v>251</v>
      </c>
      <c r="N65" t="s">
        <v>419</v>
      </c>
      <c r="O65" t="s">
        <v>962</v>
      </c>
      <c r="P65">
        <v>1.8044539513554121E-5</v>
      </c>
      <c r="Q65" t="s">
        <v>251</v>
      </c>
      <c r="S65" t="s">
        <v>420</v>
      </c>
      <c r="T65" t="s">
        <v>962</v>
      </c>
      <c r="U65">
        <v>1.3476073238589999E-4</v>
      </c>
      <c r="V65" t="s">
        <v>251</v>
      </c>
      <c r="X65">
        <v>1.1415525114155251E-4</v>
      </c>
      <c r="Y65">
        <v>1.5049432745775637E-4</v>
      </c>
      <c r="Z65" t="s">
        <v>962</v>
      </c>
      <c r="AA65" t="s">
        <v>25</v>
      </c>
      <c r="AC65" t="s">
        <v>22</v>
      </c>
      <c r="AD65" t="s">
        <v>962</v>
      </c>
      <c r="AE65">
        <v>1.0156729730493193E-4</v>
      </c>
      <c r="AG65" t="s">
        <v>99</v>
      </c>
      <c r="AH65" t="s">
        <v>962</v>
      </c>
      <c r="AI65">
        <v>0</v>
      </c>
    </row>
    <row r="66" spans="5:35" x14ac:dyDescent="0.45">
      <c r="E66" t="s">
        <v>172</v>
      </c>
      <c r="G66" t="s">
        <v>164</v>
      </c>
      <c r="I66" t="s">
        <v>249</v>
      </c>
      <c r="J66" t="s">
        <v>963</v>
      </c>
      <c r="K66">
        <v>1.147495500865E-4</v>
      </c>
      <c r="L66" t="s">
        <v>251</v>
      </c>
      <c r="N66" t="s">
        <v>419</v>
      </c>
      <c r="O66" t="s">
        <v>963</v>
      </c>
      <c r="P66">
        <v>2.1976238570097733E-5</v>
      </c>
      <c r="Q66" t="s">
        <v>251</v>
      </c>
      <c r="S66" t="s">
        <v>420</v>
      </c>
      <c r="T66" t="s">
        <v>963</v>
      </c>
      <c r="U66">
        <v>1.365445414284E-4</v>
      </c>
      <c r="V66" t="s">
        <v>251</v>
      </c>
      <c r="X66">
        <v>1.1415525114155251E-4</v>
      </c>
      <c r="Y66">
        <v>1.7237235744060203E-4</v>
      </c>
      <c r="Z66" t="s">
        <v>963</v>
      </c>
      <c r="AA66" t="s">
        <v>25</v>
      </c>
      <c r="AC66" t="s">
        <v>22</v>
      </c>
      <c r="AD66" t="s">
        <v>963</v>
      </c>
      <c r="AE66">
        <v>8.6395421476949101E-5</v>
      </c>
      <c r="AG66" t="s">
        <v>99</v>
      </c>
      <c r="AH66" t="s">
        <v>963</v>
      </c>
      <c r="AI66">
        <v>0</v>
      </c>
    </row>
    <row r="67" spans="5:35" x14ac:dyDescent="0.45">
      <c r="E67" t="s">
        <v>173</v>
      </c>
      <c r="G67" t="s">
        <v>164</v>
      </c>
      <c r="I67" t="s">
        <v>249</v>
      </c>
      <c r="J67" t="s">
        <v>964</v>
      </c>
      <c r="K67">
        <v>1.1997668960330001E-4</v>
      </c>
      <c r="L67" t="s">
        <v>251</v>
      </c>
      <c r="N67" t="s">
        <v>419</v>
      </c>
      <c r="O67" t="s">
        <v>964</v>
      </c>
      <c r="P67">
        <v>2.564398788859073E-5</v>
      </c>
      <c r="Q67" t="s">
        <v>251</v>
      </c>
      <c r="S67" t="s">
        <v>420</v>
      </c>
      <c r="T67" t="s">
        <v>964</v>
      </c>
      <c r="U67">
        <v>1.3785085680899999E-4</v>
      </c>
      <c r="V67" t="s">
        <v>251</v>
      </c>
      <c r="X67">
        <v>1.1415525114155251E-4</v>
      </c>
      <c r="Y67">
        <v>2.2209515285616027E-4</v>
      </c>
      <c r="Z67" t="s">
        <v>964</v>
      </c>
      <c r="AA67" t="s">
        <v>25</v>
      </c>
      <c r="AC67" t="s">
        <v>22</v>
      </c>
      <c r="AD67" t="s">
        <v>964</v>
      </c>
      <c r="AE67">
        <v>8.1689578562105583E-5</v>
      </c>
      <c r="AG67" t="s">
        <v>99</v>
      </c>
      <c r="AH67" t="s">
        <v>964</v>
      </c>
      <c r="AI67">
        <v>0</v>
      </c>
    </row>
    <row r="68" spans="5:35" x14ac:dyDescent="0.45">
      <c r="E68" t="s">
        <v>175</v>
      </c>
      <c r="G68" t="s">
        <v>164</v>
      </c>
      <c r="I68" t="s">
        <v>249</v>
      </c>
      <c r="J68" t="s">
        <v>965</v>
      </c>
      <c r="K68">
        <v>1.070964015411E-4</v>
      </c>
      <c r="L68" t="s">
        <v>251</v>
      </c>
      <c r="N68" t="s">
        <v>419</v>
      </c>
      <c r="O68" t="s">
        <v>965</v>
      </c>
      <c r="P68">
        <v>2.9297939518311E-5</v>
      </c>
      <c r="Q68" t="s">
        <v>251</v>
      </c>
      <c r="S68" t="s">
        <v>420</v>
      </c>
      <c r="T68" t="s">
        <v>965</v>
      </c>
      <c r="U68">
        <v>1.3541772348849999E-4</v>
      </c>
      <c r="V68" t="s">
        <v>251</v>
      </c>
      <c r="X68">
        <v>1.1415525114155251E-4</v>
      </c>
      <c r="Y68">
        <v>2.2209515285616027E-4</v>
      </c>
      <c r="Z68" t="s">
        <v>965</v>
      </c>
      <c r="AA68" t="s">
        <v>25</v>
      </c>
      <c r="AC68" t="s">
        <v>22</v>
      </c>
      <c r="AD68" t="s">
        <v>965</v>
      </c>
      <c r="AE68">
        <v>7.636423227619405E-5</v>
      </c>
      <c r="AG68" t="s">
        <v>99</v>
      </c>
      <c r="AH68" t="s">
        <v>965</v>
      </c>
      <c r="AI68">
        <v>0</v>
      </c>
    </row>
    <row r="69" spans="5:35" x14ac:dyDescent="0.45">
      <c r="E69" t="s">
        <v>177</v>
      </c>
      <c r="G69" t="s">
        <v>164</v>
      </c>
      <c r="I69" t="s">
        <v>249</v>
      </c>
      <c r="J69" t="s">
        <v>966</v>
      </c>
      <c r="K69">
        <v>1.2153989827617857E-5</v>
      </c>
      <c r="L69" t="s">
        <v>251</v>
      </c>
      <c r="N69" t="s">
        <v>419</v>
      </c>
      <c r="O69" t="s">
        <v>966</v>
      </c>
      <c r="P69">
        <v>3.423477342543982E-5</v>
      </c>
      <c r="Q69" t="s">
        <v>251</v>
      </c>
      <c r="S69" t="s">
        <v>420</v>
      </c>
      <c r="T69" t="s">
        <v>966</v>
      </c>
      <c r="U69">
        <v>1.290188611047E-4</v>
      </c>
      <c r="V69" t="s">
        <v>251</v>
      </c>
      <c r="X69">
        <v>1.1415525114155251E-4</v>
      </c>
      <c r="Y69">
        <v>1.7237235744060203E-4</v>
      </c>
      <c r="Z69" t="s">
        <v>966</v>
      </c>
      <c r="AA69" t="s">
        <v>25</v>
      </c>
      <c r="AC69" t="s">
        <v>22</v>
      </c>
      <c r="AD69" t="s">
        <v>966</v>
      </c>
      <c r="AE69">
        <v>7.5804296536959492E-5</v>
      </c>
      <c r="AG69" t="s">
        <v>99</v>
      </c>
      <c r="AH69" t="s">
        <v>966</v>
      </c>
      <c r="AI69">
        <v>0</v>
      </c>
    </row>
    <row r="70" spans="5:35" x14ac:dyDescent="0.45">
      <c r="E70" t="s">
        <v>179</v>
      </c>
      <c r="G70" t="s">
        <v>164</v>
      </c>
      <c r="I70" t="s">
        <v>249</v>
      </c>
      <c r="J70" t="s">
        <v>967</v>
      </c>
      <c r="K70">
        <v>0</v>
      </c>
      <c r="L70" t="s">
        <v>251</v>
      </c>
      <c r="N70" t="s">
        <v>419</v>
      </c>
      <c r="O70" t="s">
        <v>967</v>
      </c>
      <c r="P70">
        <v>3.3828296415566458E-5</v>
      </c>
      <c r="Q70" t="s">
        <v>251</v>
      </c>
      <c r="S70" t="s">
        <v>420</v>
      </c>
      <c r="T70" t="s">
        <v>967</v>
      </c>
      <c r="U70">
        <v>1.157807621973E-4</v>
      </c>
      <c r="V70" t="s">
        <v>251</v>
      </c>
      <c r="X70">
        <v>1.1415525114155251E-4</v>
      </c>
      <c r="Y70">
        <v>1.5579809230208258E-4</v>
      </c>
      <c r="Z70" t="s">
        <v>967</v>
      </c>
      <c r="AA70" t="s">
        <v>25</v>
      </c>
      <c r="AC70" t="s">
        <v>22</v>
      </c>
      <c r="AD70" t="s">
        <v>967</v>
      </c>
      <c r="AE70">
        <v>7.688247067314518E-5</v>
      </c>
      <c r="AG70" t="s">
        <v>99</v>
      </c>
      <c r="AH70" t="s">
        <v>967</v>
      </c>
      <c r="AI70">
        <v>0</v>
      </c>
    </row>
    <row r="71" spans="5:35" x14ac:dyDescent="0.45">
      <c r="E71" t="s">
        <v>180</v>
      </c>
      <c r="G71" t="s">
        <v>164</v>
      </c>
      <c r="I71" t="s">
        <v>249</v>
      </c>
      <c r="J71" t="s">
        <v>968</v>
      </c>
      <c r="K71">
        <v>0</v>
      </c>
      <c r="L71" t="s">
        <v>251</v>
      </c>
      <c r="N71" t="s">
        <v>419</v>
      </c>
      <c r="O71" t="s">
        <v>968</v>
      </c>
      <c r="P71">
        <v>3.7221247012404903E-5</v>
      </c>
      <c r="Q71" t="s">
        <v>251</v>
      </c>
      <c r="S71" t="s">
        <v>420</v>
      </c>
      <c r="T71" t="s">
        <v>968</v>
      </c>
      <c r="U71">
        <v>1.111510433719E-4</v>
      </c>
      <c r="V71" t="s">
        <v>251</v>
      </c>
      <c r="X71">
        <v>1.1415525114155251E-4</v>
      </c>
      <c r="Y71">
        <v>1.093901499142282E-4</v>
      </c>
      <c r="Z71" t="s">
        <v>968</v>
      </c>
      <c r="AA71" t="s">
        <v>25</v>
      </c>
      <c r="AC71" t="s">
        <v>22</v>
      </c>
      <c r="AD71" t="s">
        <v>968</v>
      </c>
      <c r="AE71">
        <v>8.2410346907290456E-5</v>
      </c>
      <c r="AG71" t="s">
        <v>99</v>
      </c>
      <c r="AH71" t="s">
        <v>968</v>
      </c>
      <c r="AI71">
        <v>0</v>
      </c>
    </row>
    <row r="72" spans="5:35" x14ac:dyDescent="0.45">
      <c r="E72" t="s">
        <v>181</v>
      </c>
      <c r="G72" t="s">
        <v>164</v>
      </c>
      <c r="I72" t="s">
        <v>249</v>
      </c>
      <c r="J72" t="s">
        <v>969</v>
      </c>
      <c r="K72">
        <v>0</v>
      </c>
      <c r="L72" t="s">
        <v>251</v>
      </c>
      <c r="N72" t="s">
        <v>419</v>
      </c>
      <c r="O72" t="s">
        <v>969</v>
      </c>
      <c r="P72">
        <v>4.2456836956011083E-5</v>
      </c>
      <c r="Q72" t="s">
        <v>251</v>
      </c>
      <c r="S72" t="s">
        <v>420</v>
      </c>
      <c r="T72" t="s">
        <v>969</v>
      </c>
      <c r="U72">
        <v>1.108555649766E-4</v>
      </c>
      <c r="V72" t="s">
        <v>251</v>
      </c>
      <c r="X72">
        <v>1.1415525114155251E-4</v>
      </c>
      <c r="Y72">
        <v>7.9556472664893237E-5</v>
      </c>
      <c r="Z72" t="s">
        <v>969</v>
      </c>
      <c r="AA72" t="s">
        <v>25</v>
      </c>
      <c r="AC72" t="s">
        <v>22</v>
      </c>
      <c r="AD72" t="s">
        <v>969</v>
      </c>
      <c r="AE72">
        <v>8.8545812986137083E-5</v>
      </c>
      <c r="AG72" t="s">
        <v>99</v>
      </c>
      <c r="AH72" t="s">
        <v>969</v>
      </c>
      <c r="AI72">
        <v>0</v>
      </c>
    </row>
    <row r="73" spans="5:35" x14ac:dyDescent="0.45">
      <c r="E73" t="s">
        <v>182</v>
      </c>
      <c r="G73" t="s">
        <v>164</v>
      </c>
      <c r="I73" t="s">
        <v>249</v>
      </c>
      <c r="J73" t="s">
        <v>970</v>
      </c>
      <c r="K73">
        <v>0</v>
      </c>
      <c r="L73" t="s">
        <v>251</v>
      </c>
      <c r="N73" t="s">
        <v>419</v>
      </c>
      <c r="O73" t="s">
        <v>970</v>
      </c>
      <c r="P73">
        <v>4.723445130012485E-5</v>
      </c>
      <c r="Q73" t="s">
        <v>251</v>
      </c>
      <c r="S73" t="s">
        <v>420</v>
      </c>
      <c r="T73" t="s">
        <v>970</v>
      </c>
      <c r="U73">
        <v>1.119908396294E-4</v>
      </c>
      <c r="V73" t="s">
        <v>251</v>
      </c>
      <c r="X73">
        <v>1.1415525114155251E-4</v>
      </c>
      <c r="Y73">
        <v>5.6352501470966035E-5</v>
      </c>
      <c r="Z73" t="s">
        <v>970</v>
      </c>
      <c r="AA73" t="s">
        <v>25</v>
      </c>
      <c r="AC73" t="s">
        <v>22</v>
      </c>
      <c r="AD73" t="s">
        <v>970</v>
      </c>
      <c r="AE73">
        <v>9.7248643997005938E-5</v>
      </c>
      <c r="AG73" t="s">
        <v>99</v>
      </c>
      <c r="AH73" t="s">
        <v>970</v>
      </c>
      <c r="AI73">
        <v>0</v>
      </c>
    </row>
    <row r="74" spans="5:35" x14ac:dyDescent="0.45">
      <c r="E74" t="s">
        <v>183</v>
      </c>
      <c r="G74" t="s">
        <v>164</v>
      </c>
      <c r="I74" t="s">
        <v>249</v>
      </c>
      <c r="J74" t="s">
        <v>971</v>
      </c>
      <c r="K74">
        <v>0</v>
      </c>
      <c r="L74" t="s">
        <v>251</v>
      </c>
      <c r="N74" t="s">
        <v>419</v>
      </c>
      <c r="O74" t="s">
        <v>971</v>
      </c>
      <c r="P74">
        <v>4.9512759112373163E-5</v>
      </c>
      <c r="Q74" t="s">
        <v>251</v>
      </c>
      <c r="S74" t="s">
        <v>420</v>
      </c>
      <c r="T74" t="s">
        <v>971</v>
      </c>
      <c r="U74">
        <v>1.143507476247E-4</v>
      </c>
      <c r="V74" t="s">
        <v>251</v>
      </c>
      <c r="X74">
        <v>1.1415525114155251E-4</v>
      </c>
      <c r="Y74">
        <v>2.9833677249334962E-5</v>
      </c>
      <c r="Z74" t="s">
        <v>971</v>
      </c>
      <c r="AA74" t="s">
        <v>25</v>
      </c>
      <c r="AC74" t="s">
        <v>22</v>
      </c>
      <c r="AD74" t="s">
        <v>971</v>
      </c>
      <c r="AE74">
        <v>1.0346154799723607E-4</v>
      </c>
      <c r="AG74" t="s">
        <v>99</v>
      </c>
      <c r="AH74" t="s">
        <v>971</v>
      </c>
      <c r="AI74">
        <v>0</v>
      </c>
    </row>
    <row r="75" spans="5:35" x14ac:dyDescent="0.45">
      <c r="E75" t="s">
        <v>184</v>
      </c>
      <c r="G75" t="s">
        <v>164</v>
      </c>
      <c r="I75" t="s">
        <v>249</v>
      </c>
      <c r="J75" t="s">
        <v>291</v>
      </c>
      <c r="K75">
        <v>0</v>
      </c>
      <c r="L75" t="s">
        <v>251</v>
      </c>
      <c r="N75" t="s">
        <v>419</v>
      </c>
      <c r="O75" t="s">
        <v>291</v>
      </c>
      <c r="P75">
        <v>1.5991459633737083E-2</v>
      </c>
      <c r="Q75" t="s">
        <v>251</v>
      </c>
      <c r="S75" t="s">
        <v>420</v>
      </c>
      <c r="T75" t="s">
        <v>291</v>
      </c>
      <c r="U75">
        <v>1.6993695472775239E-2</v>
      </c>
      <c r="V75" t="s">
        <v>251</v>
      </c>
      <c r="X75">
        <v>1.7808219178082191E-2</v>
      </c>
      <c r="Y75">
        <v>3.8094290994373043E-3</v>
      </c>
      <c r="Z75" t="s">
        <v>291</v>
      </c>
      <c r="AA75" t="s">
        <v>25</v>
      </c>
      <c r="AC75" t="s">
        <v>22</v>
      </c>
      <c r="AD75" t="s">
        <v>291</v>
      </c>
      <c r="AE75">
        <v>1.9655551493071952E-2</v>
      </c>
      <c r="AG75" t="s">
        <v>99</v>
      </c>
      <c r="AH75" t="s">
        <v>291</v>
      </c>
      <c r="AI75">
        <v>0.14611117105635518</v>
      </c>
    </row>
    <row r="76" spans="5:35" x14ac:dyDescent="0.45">
      <c r="E76" t="s">
        <v>185</v>
      </c>
      <c r="G76" t="s">
        <v>164</v>
      </c>
      <c r="I76" t="s">
        <v>249</v>
      </c>
      <c r="J76" t="s">
        <v>292</v>
      </c>
      <c r="K76">
        <v>0</v>
      </c>
      <c r="L76" t="s">
        <v>251</v>
      </c>
      <c r="N76" t="s">
        <v>419</v>
      </c>
      <c r="O76" t="s">
        <v>292</v>
      </c>
      <c r="P76">
        <v>2.5667203614991576E-3</v>
      </c>
      <c r="Q76" t="s">
        <v>251</v>
      </c>
      <c r="S76" t="s">
        <v>420</v>
      </c>
      <c r="T76" t="s">
        <v>292</v>
      </c>
      <c r="U76">
        <v>2.7928399529770615E-3</v>
      </c>
      <c r="V76" t="s">
        <v>251</v>
      </c>
      <c r="X76">
        <v>2.9680365296803654E-3</v>
      </c>
      <c r="Y76">
        <v>4.3954951147353524E-3</v>
      </c>
      <c r="Z76" t="s">
        <v>292</v>
      </c>
      <c r="AA76" t="s">
        <v>25</v>
      </c>
      <c r="AC76" t="s">
        <v>22</v>
      </c>
      <c r="AD76" t="s">
        <v>292</v>
      </c>
      <c r="AE76">
        <v>3.2774005405270673E-3</v>
      </c>
      <c r="AG76" t="s">
        <v>99</v>
      </c>
      <c r="AH76" t="s">
        <v>292</v>
      </c>
      <c r="AI76">
        <v>9.2424434848869641E-2</v>
      </c>
    </row>
    <row r="77" spans="5:35" x14ac:dyDescent="0.45">
      <c r="E77" t="s">
        <v>186</v>
      </c>
      <c r="G77" t="s">
        <v>164</v>
      </c>
      <c r="I77" t="s">
        <v>249</v>
      </c>
      <c r="J77" t="s">
        <v>293</v>
      </c>
      <c r="K77">
        <v>4.9002090287215039E-4</v>
      </c>
      <c r="L77" t="s">
        <v>251</v>
      </c>
      <c r="N77" t="s">
        <v>419</v>
      </c>
      <c r="O77" t="s">
        <v>293</v>
      </c>
      <c r="P77">
        <v>2.5480285124212599E-3</v>
      </c>
      <c r="Q77" t="s">
        <v>251</v>
      </c>
      <c r="S77" t="s">
        <v>420</v>
      </c>
      <c r="T77" t="s">
        <v>293</v>
      </c>
      <c r="U77">
        <v>2.7225388603945451E-3</v>
      </c>
      <c r="V77" t="s">
        <v>251</v>
      </c>
      <c r="X77">
        <v>2.9680365296803654E-3</v>
      </c>
      <c r="Y77">
        <v>4.9557052764173069E-3</v>
      </c>
      <c r="Z77" t="s">
        <v>293</v>
      </c>
      <c r="AA77" t="s">
        <v>25</v>
      </c>
      <c r="AC77" t="s">
        <v>22</v>
      </c>
      <c r="AD77" t="s">
        <v>293</v>
      </c>
      <c r="AE77">
        <v>3.4870607342913046E-3</v>
      </c>
      <c r="AG77" t="s">
        <v>99</v>
      </c>
      <c r="AH77" t="s">
        <v>293</v>
      </c>
      <c r="AI77">
        <v>0.11200302543165686</v>
      </c>
    </row>
    <row r="78" spans="5:35" x14ac:dyDescent="0.45">
      <c r="E78" t="s">
        <v>187</v>
      </c>
      <c r="G78" t="s">
        <v>164</v>
      </c>
      <c r="I78" t="s">
        <v>249</v>
      </c>
      <c r="J78" t="s">
        <v>294</v>
      </c>
      <c r="K78">
        <v>2.2787601722580098E-2</v>
      </c>
      <c r="L78" t="s">
        <v>251</v>
      </c>
      <c r="N78" t="s">
        <v>419</v>
      </c>
      <c r="O78" t="s">
        <v>294</v>
      </c>
      <c r="P78">
        <v>1.2294102792135407E-2</v>
      </c>
      <c r="Q78" t="s">
        <v>251</v>
      </c>
      <c r="S78" t="s">
        <v>420</v>
      </c>
      <c r="T78" t="s">
        <v>294</v>
      </c>
      <c r="U78">
        <v>1.6716946448553219E-2</v>
      </c>
      <c r="V78" t="s">
        <v>251</v>
      </c>
      <c r="X78">
        <v>1.7808219178082191E-2</v>
      </c>
      <c r="Y78">
        <v>2.2442880938766382E-2</v>
      </c>
      <c r="Z78" t="s">
        <v>294</v>
      </c>
      <c r="AA78" t="s">
        <v>25</v>
      </c>
      <c r="AC78" t="s">
        <v>22</v>
      </c>
      <c r="AD78" t="s">
        <v>294</v>
      </c>
      <c r="AE78">
        <v>2.0889768997608558E-2</v>
      </c>
      <c r="AG78" t="s">
        <v>99</v>
      </c>
      <c r="AH78" t="s">
        <v>294</v>
      </c>
      <c r="AI78">
        <v>0.17069648761517198</v>
      </c>
    </row>
    <row r="79" spans="5:35" x14ac:dyDescent="0.45">
      <c r="E79" t="s">
        <v>188</v>
      </c>
      <c r="G79" t="s">
        <v>164</v>
      </c>
      <c r="I79" t="s">
        <v>249</v>
      </c>
      <c r="J79" t="s">
        <v>295</v>
      </c>
      <c r="K79">
        <v>9.7819476142315606E-3</v>
      </c>
      <c r="L79" t="s">
        <v>251</v>
      </c>
      <c r="N79" t="s">
        <v>419</v>
      </c>
      <c r="O79" t="s">
        <v>295</v>
      </c>
      <c r="P79">
        <v>5.4463259592006799E-3</v>
      </c>
      <c r="Q79" t="s">
        <v>251</v>
      </c>
      <c r="S79" t="s">
        <v>420</v>
      </c>
      <c r="T79" t="s">
        <v>295</v>
      </c>
      <c r="U79">
        <v>8.1241730579566466E-3</v>
      </c>
      <c r="V79" t="s">
        <v>251</v>
      </c>
      <c r="X79">
        <v>8.9041095890410957E-3</v>
      </c>
      <c r="Y79">
        <v>1.416900778161748E-2</v>
      </c>
      <c r="Z79" t="s">
        <v>295</v>
      </c>
      <c r="AA79" t="s">
        <v>25</v>
      </c>
      <c r="AC79" t="s">
        <v>22</v>
      </c>
      <c r="AD79" t="s">
        <v>295</v>
      </c>
      <c r="AE79">
        <v>7.437558994823284E-3</v>
      </c>
      <c r="AG79" t="s">
        <v>99</v>
      </c>
      <c r="AH79" t="s">
        <v>295</v>
      </c>
      <c r="AI79">
        <v>0.12352459064264876</v>
      </c>
    </row>
    <row r="80" spans="5:35" x14ac:dyDescent="0.45">
      <c r="E80" t="s">
        <v>189</v>
      </c>
      <c r="G80" t="s">
        <v>164</v>
      </c>
      <c r="I80" t="s">
        <v>249</v>
      </c>
      <c r="J80" t="s">
        <v>296</v>
      </c>
      <c r="K80">
        <v>1.9886239424950847E-3</v>
      </c>
      <c r="L80" t="s">
        <v>251</v>
      </c>
      <c r="N80" t="s">
        <v>419</v>
      </c>
      <c r="O80" t="s">
        <v>296</v>
      </c>
      <c r="P80">
        <v>1.8906257529333768E-3</v>
      </c>
      <c r="Q80" t="s">
        <v>251</v>
      </c>
      <c r="S80" t="s">
        <v>420</v>
      </c>
      <c r="T80" t="s">
        <v>296</v>
      </c>
      <c r="U80">
        <v>2.7123545582632531E-3</v>
      </c>
      <c r="V80" t="s">
        <v>251</v>
      </c>
      <c r="X80">
        <v>2.9680365296803654E-3</v>
      </c>
      <c r="Y80">
        <v>5.7744739742601678E-3</v>
      </c>
      <c r="Z80" t="s">
        <v>296</v>
      </c>
      <c r="AA80" t="s">
        <v>25</v>
      </c>
      <c r="AC80" t="s">
        <v>22</v>
      </c>
      <c r="AD80" t="s">
        <v>296</v>
      </c>
      <c r="AE80">
        <v>2.1380266193957004E-3</v>
      </c>
      <c r="AG80" t="s">
        <v>99</v>
      </c>
      <c r="AH80" t="s">
        <v>296</v>
      </c>
      <c r="AI80">
        <v>2.5878633954832697E-2</v>
      </c>
    </row>
    <row r="81" spans="5:35" x14ac:dyDescent="0.45">
      <c r="E81" t="s">
        <v>190</v>
      </c>
      <c r="G81" t="s">
        <v>164</v>
      </c>
      <c r="I81" t="s">
        <v>249</v>
      </c>
      <c r="J81" t="s">
        <v>297</v>
      </c>
      <c r="K81">
        <v>1.614474536521159E-4</v>
      </c>
      <c r="L81" t="s">
        <v>251</v>
      </c>
      <c r="N81" t="s">
        <v>419</v>
      </c>
      <c r="O81" t="s">
        <v>297</v>
      </c>
      <c r="P81">
        <v>2.1660965767730626E-3</v>
      </c>
      <c r="Q81" t="s">
        <v>251</v>
      </c>
      <c r="S81" t="s">
        <v>420</v>
      </c>
      <c r="T81" t="s">
        <v>297</v>
      </c>
      <c r="U81">
        <v>2.7616306529367686E-3</v>
      </c>
      <c r="V81" t="s">
        <v>251</v>
      </c>
      <c r="X81">
        <v>2.9680365296803654E-3</v>
      </c>
      <c r="Y81">
        <v>4.4816812934556517E-3</v>
      </c>
      <c r="Z81" t="s">
        <v>297</v>
      </c>
      <c r="AA81" t="s">
        <v>25</v>
      </c>
      <c r="AC81" t="s">
        <v>22</v>
      </c>
      <c r="AD81" t="s">
        <v>297</v>
      </c>
      <c r="AE81">
        <v>2.1570108236610248E-3</v>
      </c>
      <c r="AG81" t="s">
        <v>99</v>
      </c>
      <c r="AH81" t="s">
        <v>297</v>
      </c>
      <c r="AI81">
        <v>3.6399290434981024E-2</v>
      </c>
    </row>
    <row r="82" spans="5:35" x14ac:dyDescent="0.45">
      <c r="E82" t="s">
        <v>191</v>
      </c>
      <c r="G82" t="s">
        <v>164</v>
      </c>
      <c r="I82" t="s">
        <v>249</v>
      </c>
      <c r="J82" t="s">
        <v>298</v>
      </c>
      <c r="K82">
        <v>0</v>
      </c>
      <c r="L82" t="s">
        <v>251</v>
      </c>
      <c r="N82" t="s">
        <v>419</v>
      </c>
      <c r="O82" t="s">
        <v>298</v>
      </c>
      <c r="P82">
        <v>1.3732524068230461E-2</v>
      </c>
      <c r="Q82" t="s">
        <v>251</v>
      </c>
      <c r="S82" t="s">
        <v>420</v>
      </c>
      <c r="T82" t="s">
        <v>298</v>
      </c>
      <c r="U82">
        <v>1.4039201076260797E-2</v>
      </c>
      <c r="V82" t="s">
        <v>251</v>
      </c>
      <c r="X82">
        <v>1.4840182648401826E-2</v>
      </c>
      <c r="Y82">
        <v>1.1204203233639128E-2</v>
      </c>
      <c r="Z82" t="s">
        <v>298</v>
      </c>
      <c r="AA82" t="s">
        <v>25</v>
      </c>
      <c r="AC82" t="s">
        <v>22</v>
      </c>
      <c r="AD82" t="s">
        <v>298</v>
      </c>
      <c r="AE82">
        <v>1.4393458724828037E-2</v>
      </c>
      <c r="AG82" t="s">
        <v>99</v>
      </c>
      <c r="AH82" t="s">
        <v>298</v>
      </c>
      <c r="AI82">
        <v>0.24965324054852767</v>
      </c>
    </row>
    <row r="83" spans="5:35" x14ac:dyDescent="0.45">
      <c r="E83" t="s">
        <v>460</v>
      </c>
      <c r="G83" t="s">
        <v>434</v>
      </c>
      <c r="I83" t="s">
        <v>249</v>
      </c>
      <c r="J83" t="s">
        <v>972</v>
      </c>
      <c r="K83">
        <v>0</v>
      </c>
      <c r="L83" t="s">
        <v>251</v>
      </c>
      <c r="N83" t="s">
        <v>419</v>
      </c>
      <c r="O83" t="s">
        <v>972</v>
      </c>
      <c r="P83">
        <v>5.5127614044139282E-5</v>
      </c>
      <c r="Q83" t="s">
        <v>251</v>
      </c>
      <c r="S83" t="s">
        <v>420</v>
      </c>
      <c r="T83" t="s">
        <v>972</v>
      </c>
      <c r="U83">
        <v>9.052142262294678E-5</v>
      </c>
      <c r="V83" t="s">
        <v>251</v>
      </c>
      <c r="X83">
        <v>1.1415525114155251E-4</v>
      </c>
      <c r="Y83">
        <v>2.1546544680075254E-5</v>
      </c>
      <c r="Z83" t="s">
        <v>972</v>
      </c>
      <c r="AA83" t="s">
        <v>25</v>
      </c>
      <c r="AC83" t="s">
        <v>22</v>
      </c>
      <c r="AD83" t="s">
        <v>972</v>
      </c>
      <c r="AE83">
        <v>1.4410285938888781E-4</v>
      </c>
      <c r="AG83" t="s">
        <v>99</v>
      </c>
      <c r="AH83" t="s">
        <v>972</v>
      </c>
      <c r="AI83">
        <v>0</v>
      </c>
    </row>
    <row r="84" spans="5:35" x14ac:dyDescent="0.45">
      <c r="E84" t="s">
        <v>461</v>
      </c>
      <c r="G84" t="s">
        <v>434</v>
      </c>
      <c r="I84" t="s">
        <v>249</v>
      </c>
      <c r="J84" t="s">
        <v>973</v>
      </c>
      <c r="K84">
        <v>0</v>
      </c>
      <c r="L84" t="s">
        <v>251</v>
      </c>
      <c r="N84" t="s">
        <v>419</v>
      </c>
      <c r="O84" t="s">
        <v>973</v>
      </c>
      <c r="P84">
        <v>4.909887152377508E-5</v>
      </c>
      <c r="Q84" t="s">
        <v>251</v>
      </c>
      <c r="S84" t="s">
        <v>420</v>
      </c>
      <c r="T84" t="s">
        <v>973</v>
      </c>
      <c r="U84">
        <v>9.1617986915575278E-5</v>
      </c>
      <c r="V84" t="s">
        <v>251</v>
      </c>
      <c r="X84">
        <v>1.1415525114155251E-4</v>
      </c>
      <c r="Y84">
        <v>1.4916838624667481E-5</v>
      </c>
      <c r="Z84" t="s">
        <v>973</v>
      </c>
      <c r="AA84" t="s">
        <v>25</v>
      </c>
      <c r="AC84" t="s">
        <v>22</v>
      </c>
      <c r="AD84" t="s">
        <v>973</v>
      </c>
      <c r="AE84">
        <v>1.3834862615377537E-4</v>
      </c>
      <c r="AG84" t="s">
        <v>99</v>
      </c>
      <c r="AH84" t="s">
        <v>973</v>
      </c>
      <c r="AI84">
        <v>0</v>
      </c>
    </row>
    <row r="85" spans="5:35" x14ac:dyDescent="0.45">
      <c r="E85" t="s">
        <v>462</v>
      </c>
      <c r="G85" t="s">
        <v>434</v>
      </c>
      <c r="I85" t="s">
        <v>249</v>
      </c>
      <c r="J85" t="s">
        <v>974</v>
      </c>
      <c r="K85">
        <v>0</v>
      </c>
      <c r="L85" t="s">
        <v>251</v>
      </c>
      <c r="N85" t="s">
        <v>419</v>
      </c>
      <c r="O85" t="s">
        <v>974</v>
      </c>
      <c r="P85">
        <v>4.3350154628887097E-5</v>
      </c>
      <c r="Q85" t="s">
        <v>251</v>
      </c>
      <c r="S85" t="s">
        <v>420</v>
      </c>
      <c r="T85" t="s">
        <v>974</v>
      </c>
      <c r="U85">
        <v>9.2569890124557478E-5</v>
      </c>
      <c r="V85" t="s">
        <v>251</v>
      </c>
      <c r="X85">
        <v>1.1415525114155251E-4</v>
      </c>
      <c r="Y85">
        <v>1.6574265138519424E-5</v>
      </c>
      <c r="Z85" t="s">
        <v>974</v>
      </c>
      <c r="AA85" t="s">
        <v>25</v>
      </c>
      <c r="AC85" t="s">
        <v>22</v>
      </c>
      <c r="AD85" t="s">
        <v>974</v>
      </c>
      <c r="AE85">
        <v>1.3702622472707251E-4</v>
      </c>
      <c r="AG85" t="s">
        <v>99</v>
      </c>
      <c r="AH85" t="s">
        <v>974</v>
      </c>
      <c r="AI85">
        <v>0</v>
      </c>
    </row>
    <row r="86" spans="5:35" x14ac:dyDescent="0.45">
      <c r="E86" t="s">
        <v>463</v>
      </c>
      <c r="G86" t="s">
        <v>434</v>
      </c>
      <c r="I86" t="s">
        <v>249</v>
      </c>
      <c r="J86" t="s">
        <v>975</v>
      </c>
      <c r="K86">
        <v>0</v>
      </c>
      <c r="L86" t="s">
        <v>251</v>
      </c>
      <c r="N86" t="s">
        <v>419</v>
      </c>
      <c r="O86" t="s">
        <v>975</v>
      </c>
      <c r="P86">
        <v>4.2636596861710409E-5</v>
      </c>
      <c r="Q86" t="s">
        <v>251</v>
      </c>
      <c r="S86" t="s">
        <v>420</v>
      </c>
      <c r="T86" t="s">
        <v>975</v>
      </c>
      <c r="U86">
        <v>8.9171362631455846E-5</v>
      </c>
      <c r="V86" t="s">
        <v>251</v>
      </c>
      <c r="X86">
        <v>1.1415525114155251E-4</v>
      </c>
      <c r="Y86">
        <v>1.4585353321897093E-5</v>
      </c>
      <c r="Z86" t="s">
        <v>975</v>
      </c>
      <c r="AA86" t="s">
        <v>25</v>
      </c>
      <c r="AC86" t="s">
        <v>22</v>
      </c>
      <c r="AD86" t="s">
        <v>975</v>
      </c>
      <c r="AE86">
        <v>1.3670455951517182E-4</v>
      </c>
      <c r="AG86" t="s">
        <v>99</v>
      </c>
      <c r="AH86" t="s">
        <v>975</v>
      </c>
      <c r="AI86">
        <v>0</v>
      </c>
    </row>
    <row r="87" spans="5:35" x14ac:dyDescent="0.45">
      <c r="E87" t="s">
        <v>464</v>
      </c>
      <c r="G87" t="s">
        <v>434</v>
      </c>
      <c r="I87" t="s">
        <v>249</v>
      </c>
      <c r="J87" t="s">
        <v>976</v>
      </c>
      <c r="K87">
        <v>0</v>
      </c>
      <c r="L87" t="s">
        <v>251</v>
      </c>
      <c r="N87" t="s">
        <v>419</v>
      </c>
      <c r="O87" t="s">
        <v>976</v>
      </c>
      <c r="P87">
        <v>4.2320447195917776E-5</v>
      </c>
      <c r="Q87" t="s">
        <v>251</v>
      </c>
      <c r="S87" t="s">
        <v>420</v>
      </c>
      <c r="T87" t="s">
        <v>976</v>
      </c>
      <c r="U87">
        <v>8.8577613202512248E-5</v>
      </c>
      <c r="V87" t="s">
        <v>251</v>
      </c>
      <c r="X87">
        <v>1.1415525114155251E-4</v>
      </c>
      <c r="Y87">
        <v>2.1215059377304864E-5</v>
      </c>
      <c r="Z87" t="s">
        <v>976</v>
      </c>
      <c r="AA87" t="s">
        <v>25</v>
      </c>
      <c r="AC87" t="s">
        <v>22</v>
      </c>
      <c r="AD87" t="s">
        <v>976</v>
      </c>
      <c r="AE87">
        <v>1.3550725011531921E-4</v>
      </c>
      <c r="AG87" t="s">
        <v>99</v>
      </c>
      <c r="AH87" t="s">
        <v>976</v>
      </c>
      <c r="AI87">
        <v>0</v>
      </c>
    </row>
    <row r="88" spans="5:35" x14ac:dyDescent="0.45">
      <c r="E88" t="s">
        <v>465</v>
      </c>
      <c r="G88" t="s">
        <v>434</v>
      </c>
      <c r="I88" t="s">
        <v>249</v>
      </c>
      <c r="J88" t="s">
        <v>977</v>
      </c>
      <c r="K88">
        <v>0</v>
      </c>
      <c r="L88" t="s">
        <v>251</v>
      </c>
      <c r="N88" t="s">
        <v>419</v>
      </c>
      <c r="O88" t="s">
        <v>977</v>
      </c>
      <c r="P88">
        <v>4.2164008039182531E-5</v>
      </c>
      <c r="Q88" t="s">
        <v>251</v>
      </c>
      <c r="S88" t="s">
        <v>420</v>
      </c>
      <c r="T88" t="s">
        <v>977</v>
      </c>
      <c r="U88">
        <v>9.4490429871413542E-5</v>
      </c>
      <c r="V88" t="s">
        <v>251</v>
      </c>
      <c r="X88">
        <v>1.1415525114155251E-4</v>
      </c>
      <c r="Y88">
        <v>5.7678442682047593E-5</v>
      </c>
      <c r="Z88" t="s">
        <v>977</v>
      </c>
      <c r="AA88" t="s">
        <v>25</v>
      </c>
      <c r="AC88" t="s">
        <v>22</v>
      </c>
      <c r="AD88" t="s">
        <v>977</v>
      </c>
      <c r="AE88">
        <v>1.3550725011531921E-4</v>
      </c>
      <c r="AG88" t="s">
        <v>99</v>
      </c>
      <c r="AH88" t="s">
        <v>977</v>
      </c>
      <c r="AI88">
        <v>0</v>
      </c>
    </row>
    <row r="89" spans="5:35" x14ac:dyDescent="0.45">
      <c r="E89" t="s">
        <v>466</v>
      </c>
      <c r="G89" t="s">
        <v>434</v>
      </c>
      <c r="I89" t="s">
        <v>249</v>
      </c>
      <c r="J89" t="s">
        <v>978</v>
      </c>
      <c r="K89">
        <v>0</v>
      </c>
      <c r="L89" t="s">
        <v>251</v>
      </c>
      <c r="N89" t="s">
        <v>419</v>
      </c>
      <c r="O89" t="s">
        <v>978</v>
      </c>
      <c r="P89">
        <v>3.8613975072066551E-5</v>
      </c>
      <c r="Q89" t="s">
        <v>251</v>
      </c>
      <c r="S89" t="s">
        <v>420</v>
      </c>
      <c r="T89" t="s">
        <v>978</v>
      </c>
      <c r="U89">
        <v>1.008089873595E-4</v>
      </c>
      <c r="V89" t="s">
        <v>251</v>
      </c>
      <c r="X89">
        <v>1.1415525114155251E-4</v>
      </c>
      <c r="Y89">
        <v>1.6905750441289813E-4</v>
      </c>
      <c r="Z89" t="s">
        <v>978</v>
      </c>
      <c r="AA89" t="s">
        <v>25</v>
      </c>
      <c r="AC89" t="s">
        <v>22</v>
      </c>
      <c r="AD89" t="s">
        <v>978</v>
      </c>
      <c r="AE89">
        <v>1.3591231001178677E-4</v>
      </c>
      <c r="AG89" t="s">
        <v>99</v>
      </c>
      <c r="AH89" t="s">
        <v>978</v>
      </c>
      <c r="AI89">
        <v>0</v>
      </c>
    </row>
    <row r="90" spans="5:35" x14ac:dyDescent="0.45">
      <c r="E90" t="s">
        <v>467</v>
      </c>
      <c r="G90" t="s">
        <v>434</v>
      </c>
      <c r="I90" t="s">
        <v>249</v>
      </c>
      <c r="J90" t="s">
        <v>979</v>
      </c>
      <c r="K90">
        <v>2.9563830888955483E-6</v>
      </c>
      <c r="L90" t="s">
        <v>251</v>
      </c>
      <c r="N90" t="s">
        <v>419</v>
      </c>
      <c r="O90" t="s">
        <v>979</v>
      </c>
      <c r="P90">
        <v>3.6743148630561272E-5</v>
      </c>
      <c r="Q90" t="s">
        <v>251</v>
      </c>
      <c r="S90" t="s">
        <v>420</v>
      </c>
      <c r="T90" t="s">
        <v>979</v>
      </c>
      <c r="U90">
        <v>1.0224297874669999E-4</v>
      </c>
      <c r="V90" t="s">
        <v>251</v>
      </c>
      <c r="X90">
        <v>1.1415525114155251E-4</v>
      </c>
      <c r="Y90">
        <v>1.9060404909297337E-4</v>
      </c>
      <c r="Z90" t="s">
        <v>979</v>
      </c>
      <c r="AA90" t="s">
        <v>25</v>
      </c>
      <c r="AC90" t="s">
        <v>22</v>
      </c>
      <c r="AD90" t="s">
        <v>979</v>
      </c>
      <c r="AE90">
        <v>1.4711102479647765E-4</v>
      </c>
      <c r="AG90" t="s">
        <v>99</v>
      </c>
      <c r="AH90" t="s">
        <v>979</v>
      </c>
      <c r="AI90">
        <v>0</v>
      </c>
    </row>
    <row r="91" spans="5:35" x14ac:dyDescent="0.45">
      <c r="E91" t="s">
        <v>468</v>
      </c>
      <c r="G91" t="s">
        <v>434</v>
      </c>
      <c r="I91" t="s">
        <v>249</v>
      </c>
      <c r="J91" t="s">
        <v>980</v>
      </c>
      <c r="K91">
        <v>7.7878180312628356E-5</v>
      </c>
      <c r="L91" t="s">
        <v>251</v>
      </c>
      <c r="N91" t="s">
        <v>419</v>
      </c>
      <c r="O91" t="s">
        <v>980</v>
      </c>
      <c r="P91">
        <v>3.814032583580972E-5</v>
      </c>
      <c r="Q91" t="s">
        <v>251</v>
      </c>
      <c r="S91" t="s">
        <v>420</v>
      </c>
      <c r="T91" t="s">
        <v>980</v>
      </c>
      <c r="U91">
        <v>1.0569975859810001E-4</v>
      </c>
      <c r="V91" t="s">
        <v>251</v>
      </c>
      <c r="X91">
        <v>1.1415525114155251E-4</v>
      </c>
      <c r="Y91">
        <v>1.4585353321897094E-4</v>
      </c>
      <c r="Z91" t="s">
        <v>980</v>
      </c>
      <c r="AA91" t="s">
        <v>25</v>
      </c>
      <c r="AC91" t="s">
        <v>22</v>
      </c>
      <c r="AD91" t="s">
        <v>980</v>
      </c>
      <c r="AE91">
        <v>1.4953542741209959E-4</v>
      </c>
      <c r="AG91" t="s">
        <v>99</v>
      </c>
      <c r="AH91" t="s">
        <v>980</v>
      </c>
      <c r="AI91">
        <v>0</v>
      </c>
    </row>
    <row r="92" spans="5:35" x14ac:dyDescent="0.45">
      <c r="E92" t="s">
        <v>469</v>
      </c>
      <c r="G92" t="s">
        <v>434</v>
      </c>
      <c r="I92" t="s">
        <v>249</v>
      </c>
      <c r="J92" t="s">
        <v>981</v>
      </c>
      <c r="K92">
        <v>1.030830739735E-4</v>
      </c>
      <c r="L92" t="s">
        <v>251</v>
      </c>
      <c r="N92" t="s">
        <v>419</v>
      </c>
      <c r="O92" t="s">
        <v>981</v>
      </c>
      <c r="P92">
        <v>2.7566009208053909E-5</v>
      </c>
      <c r="Q92" t="s">
        <v>251</v>
      </c>
      <c r="S92" t="s">
        <v>420</v>
      </c>
      <c r="T92" t="s">
        <v>981</v>
      </c>
      <c r="U92">
        <v>1.102571128814E-4</v>
      </c>
      <c r="V92" t="s">
        <v>251</v>
      </c>
      <c r="X92">
        <v>1.1415525114155251E-4</v>
      </c>
      <c r="Y92">
        <v>1.4452759200788939E-4</v>
      </c>
      <c r="Z92" t="s">
        <v>981</v>
      </c>
      <c r="AA92" t="s">
        <v>25</v>
      </c>
      <c r="AC92" t="s">
        <v>22</v>
      </c>
      <c r="AD92" t="s">
        <v>981</v>
      </c>
      <c r="AE92">
        <v>1.5047063923188494E-4</v>
      </c>
      <c r="AG92" t="s">
        <v>99</v>
      </c>
      <c r="AH92" t="s">
        <v>981</v>
      </c>
      <c r="AI92">
        <v>0</v>
      </c>
    </row>
    <row r="93" spans="5:35" x14ac:dyDescent="0.45">
      <c r="E93" t="s">
        <v>470</v>
      </c>
      <c r="G93" t="s">
        <v>434</v>
      </c>
      <c r="I93" t="s">
        <v>249</v>
      </c>
      <c r="J93" t="s">
        <v>982</v>
      </c>
      <c r="K93">
        <v>1.116669410604E-4</v>
      </c>
      <c r="L93" t="s">
        <v>251</v>
      </c>
      <c r="N93" t="s">
        <v>419</v>
      </c>
      <c r="O93" t="s">
        <v>982</v>
      </c>
      <c r="P93">
        <v>2.1443938725133062E-5</v>
      </c>
      <c r="Q93" t="s">
        <v>251</v>
      </c>
      <c r="S93" t="s">
        <v>420</v>
      </c>
      <c r="T93" t="s">
        <v>982</v>
      </c>
      <c r="U93">
        <v>1.085167823981E-4</v>
      </c>
      <c r="V93" t="s">
        <v>251</v>
      </c>
      <c r="X93">
        <v>1.1415525114155251E-4</v>
      </c>
      <c r="Y93">
        <v>1.408812536774151E-4</v>
      </c>
      <c r="Z93" t="s">
        <v>982</v>
      </c>
      <c r="AA93" t="s">
        <v>25</v>
      </c>
      <c r="AC93" t="s">
        <v>22</v>
      </c>
      <c r="AD93" t="s">
        <v>982</v>
      </c>
      <c r="AE93">
        <v>1.5838717750255209E-4</v>
      </c>
      <c r="AG93" t="s">
        <v>99</v>
      </c>
      <c r="AH93" t="s">
        <v>982</v>
      </c>
      <c r="AI93">
        <v>0</v>
      </c>
    </row>
    <row r="94" spans="5:35" x14ac:dyDescent="0.45">
      <c r="E94" t="s">
        <v>471</v>
      </c>
      <c r="G94" t="s">
        <v>434</v>
      </c>
      <c r="I94" t="s">
        <v>249</v>
      </c>
      <c r="J94" t="s">
        <v>983</v>
      </c>
      <c r="K94">
        <v>1.321021647512E-4</v>
      </c>
      <c r="L94" t="s">
        <v>251</v>
      </c>
      <c r="N94" t="s">
        <v>419</v>
      </c>
      <c r="O94" t="s">
        <v>983</v>
      </c>
      <c r="P94">
        <v>2.0888508049323779E-5</v>
      </c>
      <c r="Q94" t="s">
        <v>251</v>
      </c>
      <c r="S94" t="s">
        <v>420</v>
      </c>
      <c r="T94" t="s">
        <v>983</v>
      </c>
      <c r="U94">
        <v>1.032499489738E-4</v>
      </c>
      <c r="V94" t="s">
        <v>251</v>
      </c>
      <c r="X94">
        <v>1.1415525114155251E-4</v>
      </c>
      <c r="Y94">
        <v>1.4054976837464471E-4</v>
      </c>
      <c r="Z94" t="s">
        <v>983</v>
      </c>
      <c r="AA94" t="s">
        <v>25</v>
      </c>
      <c r="AC94" t="s">
        <v>22</v>
      </c>
      <c r="AD94" t="s">
        <v>983</v>
      </c>
      <c r="AE94">
        <v>1.522934087659889E-4</v>
      </c>
      <c r="AG94" t="s">
        <v>99</v>
      </c>
      <c r="AH94" t="s">
        <v>983</v>
      </c>
      <c r="AI94">
        <v>0</v>
      </c>
    </row>
    <row r="95" spans="5:35" x14ac:dyDescent="0.45">
      <c r="E95" t="s">
        <v>472</v>
      </c>
      <c r="G95" t="s">
        <v>434</v>
      </c>
      <c r="I95" t="s">
        <v>249</v>
      </c>
      <c r="J95" t="s">
        <v>984</v>
      </c>
      <c r="K95">
        <v>1.5227609499279999E-4</v>
      </c>
      <c r="L95" t="s">
        <v>251</v>
      </c>
      <c r="N95" t="s">
        <v>419</v>
      </c>
      <c r="O95" t="s">
        <v>984</v>
      </c>
      <c r="P95">
        <v>2.2857278773294303E-5</v>
      </c>
      <c r="Q95" t="s">
        <v>251</v>
      </c>
      <c r="S95" t="s">
        <v>420</v>
      </c>
      <c r="T95" t="s">
        <v>984</v>
      </c>
      <c r="U95">
        <v>9.7421367750399036E-5</v>
      </c>
      <c r="V95" t="s">
        <v>251</v>
      </c>
      <c r="X95">
        <v>1.1415525114155251E-4</v>
      </c>
      <c r="Y95">
        <v>1.4253868019126702E-4</v>
      </c>
      <c r="Z95" t="s">
        <v>984</v>
      </c>
      <c r="AA95" t="s">
        <v>25</v>
      </c>
      <c r="AC95" t="s">
        <v>22</v>
      </c>
      <c r="AD95" t="s">
        <v>984</v>
      </c>
      <c r="AE95">
        <v>1.3928383797356071E-4</v>
      </c>
      <c r="AG95" t="s">
        <v>99</v>
      </c>
      <c r="AH95" t="s">
        <v>984</v>
      </c>
      <c r="AI95">
        <v>0</v>
      </c>
    </row>
    <row r="96" spans="5:35" x14ac:dyDescent="0.45">
      <c r="E96" t="s">
        <v>473</v>
      </c>
      <c r="G96" t="s">
        <v>434</v>
      </c>
      <c r="I96" t="s">
        <v>249</v>
      </c>
      <c r="J96" t="s">
        <v>985</v>
      </c>
      <c r="K96">
        <v>1.3148320081400001E-4</v>
      </c>
      <c r="L96" t="s">
        <v>251</v>
      </c>
      <c r="N96" t="s">
        <v>419</v>
      </c>
      <c r="O96" t="s">
        <v>985</v>
      </c>
      <c r="P96">
        <v>2.433281429355795E-5</v>
      </c>
      <c r="Q96" t="s">
        <v>251</v>
      </c>
      <c r="S96" t="s">
        <v>420</v>
      </c>
      <c r="T96" t="s">
        <v>985</v>
      </c>
      <c r="U96">
        <v>9.2491692060358435E-5</v>
      </c>
      <c r="V96" t="s">
        <v>251</v>
      </c>
      <c r="X96">
        <v>1.1415525114155251E-4</v>
      </c>
      <c r="Y96">
        <v>1.4883690094390442E-4</v>
      </c>
      <c r="Z96" t="s">
        <v>985</v>
      </c>
      <c r="AA96" t="s">
        <v>25</v>
      </c>
      <c r="AC96" t="s">
        <v>22</v>
      </c>
      <c r="AD96" t="s">
        <v>985</v>
      </c>
      <c r="AE96">
        <v>1.244634111733953E-4</v>
      </c>
      <c r="AG96" t="s">
        <v>99</v>
      </c>
      <c r="AH96" t="s">
        <v>985</v>
      </c>
      <c r="AI96">
        <v>0</v>
      </c>
    </row>
    <row r="97" spans="5:35" x14ac:dyDescent="0.45">
      <c r="E97" t="s">
        <v>474</v>
      </c>
      <c r="G97" t="s">
        <v>434</v>
      </c>
      <c r="I97" t="s">
        <v>249</v>
      </c>
      <c r="J97" t="s">
        <v>986</v>
      </c>
      <c r="K97">
        <v>9.7884034842219726E-5</v>
      </c>
      <c r="L97" t="s">
        <v>251</v>
      </c>
      <c r="N97" t="s">
        <v>419</v>
      </c>
      <c r="O97" t="s">
        <v>986</v>
      </c>
      <c r="P97">
        <v>2.5040419836676039E-5</v>
      </c>
      <c r="Q97" t="s">
        <v>251</v>
      </c>
      <c r="S97" t="s">
        <v>420</v>
      </c>
      <c r="T97" t="s">
        <v>986</v>
      </c>
      <c r="U97">
        <v>8.7972891238890567E-5</v>
      </c>
      <c r="V97" t="s">
        <v>251</v>
      </c>
      <c r="X97">
        <v>1.1415525114155251E-4</v>
      </c>
      <c r="Y97">
        <v>1.5049432745775637E-4</v>
      </c>
      <c r="Z97" t="s">
        <v>986</v>
      </c>
      <c r="AA97" t="s">
        <v>25</v>
      </c>
      <c r="AC97" t="s">
        <v>22</v>
      </c>
      <c r="AD97" t="s">
        <v>986</v>
      </c>
      <c r="AE97">
        <v>1.1265114978081973E-4</v>
      </c>
      <c r="AG97" t="s">
        <v>99</v>
      </c>
      <c r="AH97" t="s">
        <v>986</v>
      </c>
      <c r="AI97">
        <v>0</v>
      </c>
    </row>
    <row r="98" spans="5:35" x14ac:dyDescent="0.45">
      <c r="E98" t="s">
        <v>475</v>
      </c>
      <c r="G98" t="s">
        <v>434</v>
      </c>
      <c r="I98" t="s">
        <v>249</v>
      </c>
      <c r="J98" t="s">
        <v>987</v>
      </c>
      <c r="K98">
        <v>7.0923891572374493E-5</v>
      </c>
      <c r="L98" t="s">
        <v>251</v>
      </c>
      <c r="N98" t="s">
        <v>419</v>
      </c>
      <c r="O98" t="s">
        <v>987</v>
      </c>
      <c r="P98">
        <v>2.7953432476133229E-5</v>
      </c>
      <c r="Q98" t="s">
        <v>251</v>
      </c>
      <c r="S98" t="s">
        <v>420</v>
      </c>
      <c r="T98" t="s">
        <v>987</v>
      </c>
      <c r="U98">
        <v>8.8116384076365175E-5</v>
      </c>
      <c r="V98" t="s">
        <v>251</v>
      </c>
      <c r="X98">
        <v>1.1415525114155251E-4</v>
      </c>
      <c r="Y98">
        <v>1.7237235744060203E-4</v>
      </c>
      <c r="Z98" t="s">
        <v>987</v>
      </c>
      <c r="AA98" t="s">
        <v>25</v>
      </c>
      <c r="AC98" t="s">
        <v>22</v>
      </c>
      <c r="AD98" t="s">
        <v>987</v>
      </c>
      <c r="AE98">
        <v>9.1004272372539519E-5</v>
      </c>
      <c r="AG98" t="s">
        <v>99</v>
      </c>
      <c r="AH98" t="s">
        <v>987</v>
      </c>
      <c r="AI98">
        <v>0</v>
      </c>
    </row>
    <row r="99" spans="5:35" x14ac:dyDescent="0.45">
      <c r="E99" t="s">
        <v>476</v>
      </c>
      <c r="G99" t="s">
        <v>434</v>
      </c>
      <c r="I99" t="s">
        <v>249</v>
      </c>
      <c r="J99" t="s">
        <v>988</v>
      </c>
      <c r="K99">
        <v>4.4973962301458209E-5</v>
      </c>
      <c r="L99" t="s">
        <v>251</v>
      </c>
      <c r="N99" t="s">
        <v>419</v>
      </c>
      <c r="O99" t="s">
        <v>988</v>
      </c>
      <c r="P99">
        <v>3.001877714074836E-5</v>
      </c>
      <c r="Q99" t="s">
        <v>251</v>
      </c>
      <c r="S99" t="s">
        <v>420</v>
      </c>
      <c r="T99" t="s">
        <v>988</v>
      </c>
      <c r="U99">
        <v>8.6683487654948645E-5</v>
      </c>
      <c r="V99" t="s">
        <v>251</v>
      </c>
      <c r="X99">
        <v>1.1415525114155251E-4</v>
      </c>
      <c r="Y99">
        <v>2.2209515285616027E-4</v>
      </c>
      <c r="Z99" t="s">
        <v>988</v>
      </c>
      <c r="AA99" t="s">
        <v>25</v>
      </c>
      <c r="AC99" t="s">
        <v>22</v>
      </c>
      <c r="AD99" t="s">
        <v>988</v>
      </c>
      <c r="AE99">
        <v>8.697750046059746E-5</v>
      </c>
      <c r="AG99" t="s">
        <v>99</v>
      </c>
      <c r="AH99" t="s">
        <v>988</v>
      </c>
      <c r="AI99">
        <v>0</v>
      </c>
    </row>
    <row r="100" spans="5:35" x14ac:dyDescent="0.45">
      <c r="E100" t="s">
        <v>477</v>
      </c>
      <c r="G100" t="s">
        <v>434</v>
      </c>
      <c r="I100" t="s">
        <v>249</v>
      </c>
      <c r="J100" t="s">
        <v>989</v>
      </c>
      <c r="K100">
        <v>2.6920372339788199E-5</v>
      </c>
      <c r="L100" t="s">
        <v>251</v>
      </c>
      <c r="N100" t="s">
        <v>419</v>
      </c>
      <c r="O100" t="s">
        <v>989</v>
      </c>
      <c r="P100">
        <v>3.658866091976676E-5</v>
      </c>
      <c r="Q100" t="s">
        <v>251</v>
      </c>
      <c r="S100" t="s">
        <v>420</v>
      </c>
      <c r="T100" t="s">
        <v>989</v>
      </c>
      <c r="U100">
        <v>8.8050071621080471E-5</v>
      </c>
      <c r="V100" t="s">
        <v>251</v>
      </c>
      <c r="X100">
        <v>1.1415525114155251E-4</v>
      </c>
      <c r="Y100">
        <v>2.2209515285616027E-4</v>
      </c>
      <c r="Z100" t="s">
        <v>989</v>
      </c>
      <c r="AA100" t="s">
        <v>25</v>
      </c>
      <c r="AC100" t="s">
        <v>22</v>
      </c>
      <c r="AD100" t="s">
        <v>989</v>
      </c>
      <c r="AE100">
        <v>8.3617886025190183E-5</v>
      </c>
      <c r="AG100" t="s">
        <v>99</v>
      </c>
      <c r="AH100" t="s">
        <v>989</v>
      </c>
      <c r="AI100">
        <v>0</v>
      </c>
    </row>
    <row r="101" spans="5:35" x14ac:dyDescent="0.45">
      <c r="E101" t="s">
        <v>478</v>
      </c>
      <c r="G101" t="s">
        <v>434</v>
      </c>
      <c r="I101" t="s">
        <v>249</v>
      </c>
      <c r="J101" t="s">
        <v>990</v>
      </c>
      <c r="K101">
        <v>1.6767389369756258E-7</v>
      </c>
      <c r="L101" t="s">
        <v>251</v>
      </c>
      <c r="N101" t="s">
        <v>419</v>
      </c>
      <c r="O101" t="s">
        <v>990</v>
      </c>
      <c r="P101">
        <v>4.6484149952011783E-5</v>
      </c>
      <c r="Q101" t="s">
        <v>251</v>
      </c>
      <c r="S101" t="s">
        <v>420</v>
      </c>
      <c r="T101" t="s">
        <v>990</v>
      </c>
      <c r="U101">
        <v>8.8513718486715081E-5</v>
      </c>
      <c r="V101" t="s">
        <v>251</v>
      </c>
      <c r="X101">
        <v>1.1415525114155251E-4</v>
      </c>
      <c r="Y101">
        <v>1.7237235744060203E-4</v>
      </c>
      <c r="Z101" t="s">
        <v>990</v>
      </c>
      <c r="AA101" t="s">
        <v>25</v>
      </c>
      <c r="AC101" t="s">
        <v>22</v>
      </c>
      <c r="AD101" t="s">
        <v>990</v>
      </c>
      <c r="AE101">
        <v>8.5333433821993903E-5</v>
      </c>
      <c r="AG101" t="s">
        <v>99</v>
      </c>
      <c r="AH101" t="s">
        <v>990</v>
      </c>
      <c r="AI101">
        <v>0</v>
      </c>
    </row>
    <row r="102" spans="5:35" x14ac:dyDescent="0.45">
      <c r="E102" t="s">
        <v>479</v>
      </c>
      <c r="G102" t="s">
        <v>434</v>
      </c>
      <c r="I102" t="s">
        <v>249</v>
      </c>
      <c r="J102" t="s">
        <v>991</v>
      </c>
      <c r="K102">
        <v>0</v>
      </c>
      <c r="L102" t="s">
        <v>251</v>
      </c>
      <c r="N102" t="s">
        <v>419</v>
      </c>
      <c r="O102" t="s">
        <v>991</v>
      </c>
      <c r="P102">
        <v>5.1819613218572153E-5</v>
      </c>
      <c r="Q102" t="s">
        <v>251</v>
      </c>
      <c r="S102" t="s">
        <v>420</v>
      </c>
      <c r="T102" t="s">
        <v>991</v>
      </c>
      <c r="U102">
        <v>8.809665806550689E-5</v>
      </c>
      <c r="V102" t="s">
        <v>251</v>
      </c>
      <c r="X102">
        <v>1.1415525114155251E-4</v>
      </c>
      <c r="Y102">
        <v>1.5579809230208258E-4</v>
      </c>
      <c r="Z102" t="s">
        <v>991</v>
      </c>
      <c r="AA102" t="s">
        <v>25</v>
      </c>
      <c r="AC102" t="s">
        <v>22</v>
      </c>
      <c r="AD102" t="s">
        <v>991</v>
      </c>
      <c r="AE102">
        <v>9.1308067294890174E-5</v>
      </c>
      <c r="AG102" t="s">
        <v>99</v>
      </c>
      <c r="AH102" t="s">
        <v>991</v>
      </c>
      <c r="AI102">
        <v>0</v>
      </c>
    </row>
    <row r="103" spans="5:35" x14ac:dyDescent="0.45">
      <c r="E103" t="s">
        <v>480</v>
      </c>
      <c r="G103" t="s">
        <v>434</v>
      </c>
      <c r="I103" t="s">
        <v>249</v>
      </c>
      <c r="J103" t="s">
        <v>992</v>
      </c>
      <c r="K103">
        <v>0</v>
      </c>
      <c r="L103" t="s">
        <v>251</v>
      </c>
      <c r="N103" t="s">
        <v>419</v>
      </c>
      <c r="O103" t="s">
        <v>992</v>
      </c>
      <c r="P103">
        <v>5.0642549470151935E-5</v>
      </c>
      <c r="Q103" t="s">
        <v>251</v>
      </c>
      <c r="S103" t="s">
        <v>420</v>
      </c>
      <c r="T103" t="s">
        <v>992</v>
      </c>
      <c r="U103">
        <v>7.6495729645377407E-5</v>
      </c>
      <c r="V103" t="s">
        <v>251</v>
      </c>
      <c r="X103">
        <v>1.1415525114155251E-4</v>
      </c>
      <c r="Y103">
        <v>1.093901499142282E-4</v>
      </c>
      <c r="Z103" t="s">
        <v>992</v>
      </c>
      <c r="AA103" t="s">
        <v>25</v>
      </c>
      <c r="AC103" t="s">
        <v>22</v>
      </c>
      <c r="AD103" t="s">
        <v>992</v>
      </c>
      <c r="AE103">
        <v>1.0976807640008015E-4</v>
      </c>
      <c r="AG103" t="s">
        <v>99</v>
      </c>
      <c r="AH103" t="s">
        <v>992</v>
      </c>
      <c r="AI103">
        <v>0</v>
      </c>
    </row>
    <row r="104" spans="5:35" x14ac:dyDescent="0.45">
      <c r="E104" t="s">
        <v>481</v>
      </c>
      <c r="G104" t="s">
        <v>434</v>
      </c>
      <c r="I104" t="s">
        <v>249</v>
      </c>
      <c r="J104" t="s">
        <v>993</v>
      </c>
      <c r="K104">
        <v>0</v>
      </c>
      <c r="L104" t="s">
        <v>251</v>
      </c>
      <c r="N104" t="s">
        <v>419</v>
      </c>
      <c r="O104" t="s">
        <v>993</v>
      </c>
      <c r="P104">
        <v>4.7160428397304497E-5</v>
      </c>
      <c r="Q104" t="s">
        <v>251</v>
      </c>
      <c r="S104" t="s">
        <v>420</v>
      </c>
      <c r="T104" t="s">
        <v>993</v>
      </c>
      <c r="U104">
        <v>6.7236954875592907E-5</v>
      </c>
      <c r="V104" t="s">
        <v>251</v>
      </c>
      <c r="X104">
        <v>1.1415525114155251E-4</v>
      </c>
      <c r="Y104">
        <v>7.9556472664893237E-5</v>
      </c>
      <c r="Z104" t="s">
        <v>993</v>
      </c>
      <c r="AA104" t="s">
        <v>25</v>
      </c>
      <c r="AC104" t="s">
        <v>22</v>
      </c>
      <c r="AD104" t="s">
        <v>993</v>
      </c>
      <c r="AE104">
        <v>1.2841274516395385E-4</v>
      </c>
      <c r="AG104" t="s">
        <v>99</v>
      </c>
      <c r="AH104" t="s">
        <v>993</v>
      </c>
      <c r="AI104">
        <v>0</v>
      </c>
    </row>
    <row r="105" spans="5:35" x14ac:dyDescent="0.45">
      <c r="E105" t="s">
        <v>482</v>
      </c>
      <c r="G105" t="s">
        <v>434</v>
      </c>
      <c r="I105" t="s">
        <v>249</v>
      </c>
      <c r="J105" t="s">
        <v>994</v>
      </c>
      <c r="K105">
        <v>0</v>
      </c>
      <c r="L105" t="s">
        <v>251</v>
      </c>
      <c r="N105" t="s">
        <v>419</v>
      </c>
      <c r="O105" t="s">
        <v>994</v>
      </c>
      <c r="P105">
        <v>4.5693151453029491E-5</v>
      </c>
      <c r="Q105" t="s">
        <v>251</v>
      </c>
      <c r="S105" t="s">
        <v>420</v>
      </c>
      <c r="T105" t="s">
        <v>994</v>
      </c>
      <c r="U105">
        <v>6.1180206481437736E-5</v>
      </c>
      <c r="V105" t="s">
        <v>251</v>
      </c>
      <c r="X105">
        <v>1.1415525114155251E-4</v>
      </c>
      <c r="Y105">
        <v>5.6352501470966035E-5</v>
      </c>
      <c r="Z105" t="s">
        <v>994</v>
      </c>
      <c r="AA105" t="s">
        <v>25</v>
      </c>
      <c r="AC105" t="s">
        <v>22</v>
      </c>
      <c r="AD105" t="s">
        <v>994</v>
      </c>
      <c r="AE105">
        <v>1.3696665709523904E-4</v>
      </c>
      <c r="AG105" t="s">
        <v>99</v>
      </c>
      <c r="AH105" t="s">
        <v>994</v>
      </c>
      <c r="AI105">
        <v>0</v>
      </c>
    </row>
    <row r="106" spans="5:35" x14ac:dyDescent="0.45">
      <c r="E106" t="s">
        <v>483</v>
      </c>
      <c r="G106" t="s">
        <v>434</v>
      </c>
      <c r="I106" t="s">
        <v>249</v>
      </c>
      <c r="J106" t="s">
        <v>995</v>
      </c>
      <c r="K106">
        <v>0</v>
      </c>
      <c r="L106" t="s">
        <v>251</v>
      </c>
      <c r="N106" t="s">
        <v>419</v>
      </c>
      <c r="O106" t="s">
        <v>995</v>
      </c>
      <c r="P106">
        <v>4.6261046531795747E-5</v>
      </c>
      <c r="Q106" t="s">
        <v>251</v>
      </c>
      <c r="S106" t="s">
        <v>420</v>
      </c>
      <c r="T106" t="s">
        <v>995</v>
      </c>
      <c r="U106">
        <v>5.9893557737542827E-5</v>
      </c>
      <c r="V106" t="s">
        <v>251</v>
      </c>
      <c r="X106">
        <v>1.1415525114155251E-4</v>
      </c>
      <c r="Y106">
        <v>2.9833677249334962E-5</v>
      </c>
      <c r="Z106" t="s">
        <v>995</v>
      </c>
      <c r="AA106" t="s">
        <v>25</v>
      </c>
      <c r="AC106" t="s">
        <v>22</v>
      </c>
      <c r="AD106" t="s">
        <v>995</v>
      </c>
      <c r="AE106">
        <v>1.4573501250112467E-4</v>
      </c>
      <c r="AG106" t="s">
        <v>99</v>
      </c>
      <c r="AH106" t="s">
        <v>995</v>
      </c>
      <c r="AI106">
        <v>0</v>
      </c>
    </row>
    <row r="107" spans="5:35" x14ac:dyDescent="0.45">
      <c r="E107" t="s">
        <v>828</v>
      </c>
      <c r="G107" t="s">
        <v>436</v>
      </c>
      <c r="I107" t="s">
        <v>249</v>
      </c>
      <c r="J107" t="s">
        <v>996</v>
      </c>
      <c r="K107">
        <v>0</v>
      </c>
      <c r="L107" t="s">
        <v>251</v>
      </c>
      <c r="N107" t="s">
        <v>419</v>
      </c>
      <c r="O107" t="s">
        <v>996</v>
      </c>
      <c r="P107">
        <v>4.4499143765978162E-5</v>
      </c>
      <c r="Q107" t="s">
        <v>251</v>
      </c>
      <c r="S107" t="s">
        <v>420</v>
      </c>
      <c r="T107" t="s">
        <v>996</v>
      </c>
      <c r="U107">
        <v>5.9577225820407881E-5</v>
      </c>
      <c r="V107" t="s">
        <v>251</v>
      </c>
      <c r="X107">
        <v>1.1415525114155251E-4</v>
      </c>
      <c r="Y107">
        <v>2.1546544680075254E-5</v>
      </c>
      <c r="Z107" t="s">
        <v>996</v>
      </c>
      <c r="AA107" t="s">
        <v>25</v>
      </c>
      <c r="AC107" t="s">
        <v>22</v>
      </c>
      <c r="AD107" t="s">
        <v>996</v>
      </c>
      <c r="AE107">
        <v>1.4216691135430029E-4</v>
      </c>
      <c r="AG107" t="s">
        <v>99</v>
      </c>
      <c r="AH107" t="s">
        <v>996</v>
      </c>
      <c r="AI107">
        <v>0</v>
      </c>
    </row>
    <row r="108" spans="5:35" x14ac:dyDescent="0.45">
      <c r="E108" t="s">
        <v>829</v>
      </c>
      <c r="G108" t="s">
        <v>436</v>
      </c>
      <c r="I108" t="s">
        <v>249</v>
      </c>
      <c r="J108" t="s">
        <v>997</v>
      </c>
      <c r="K108">
        <v>0</v>
      </c>
      <c r="L108" t="s">
        <v>251</v>
      </c>
      <c r="N108" t="s">
        <v>419</v>
      </c>
      <c r="O108" t="s">
        <v>997</v>
      </c>
      <c r="P108">
        <v>4.4234966823909632E-5</v>
      </c>
      <c r="Q108" t="s">
        <v>251</v>
      </c>
      <c r="S108" t="s">
        <v>420</v>
      </c>
      <c r="T108" t="s">
        <v>997</v>
      </c>
      <c r="U108">
        <v>5.7133262606319879E-5</v>
      </c>
      <c r="V108" t="s">
        <v>251</v>
      </c>
      <c r="X108">
        <v>1.1415525114155251E-4</v>
      </c>
      <c r="Y108">
        <v>1.4916838624667481E-5</v>
      </c>
      <c r="Z108" t="s">
        <v>997</v>
      </c>
      <c r="AA108" t="s">
        <v>25</v>
      </c>
      <c r="AC108" t="s">
        <v>22</v>
      </c>
      <c r="AD108" t="s">
        <v>997</v>
      </c>
      <c r="AE108">
        <v>1.3834862615377537E-4</v>
      </c>
      <c r="AG108" t="s">
        <v>99</v>
      </c>
      <c r="AH108" t="s">
        <v>997</v>
      </c>
      <c r="AI108">
        <v>0</v>
      </c>
    </row>
    <row r="109" spans="5:35" x14ac:dyDescent="0.45">
      <c r="E109" t="s">
        <v>830</v>
      </c>
      <c r="G109" t="s">
        <v>436</v>
      </c>
      <c r="I109" t="s">
        <v>249</v>
      </c>
      <c r="J109" t="s">
        <v>998</v>
      </c>
      <c r="K109">
        <v>0</v>
      </c>
      <c r="L109" t="s">
        <v>251</v>
      </c>
      <c r="N109" t="s">
        <v>419</v>
      </c>
      <c r="O109" t="s">
        <v>998</v>
      </c>
      <c r="P109">
        <v>4.4101453381273371E-5</v>
      </c>
      <c r="Q109" t="s">
        <v>251</v>
      </c>
      <c r="S109" t="s">
        <v>420</v>
      </c>
      <c r="T109" t="s">
        <v>998</v>
      </c>
      <c r="U109">
        <v>5.5385318731688292E-5</v>
      </c>
      <c r="V109" t="s">
        <v>251</v>
      </c>
      <c r="X109">
        <v>1.1415525114155251E-4</v>
      </c>
      <c r="Y109">
        <v>1.6574265138519424E-5</v>
      </c>
      <c r="Z109" t="s">
        <v>998</v>
      </c>
      <c r="AA109" t="s">
        <v>25</v>
      </c>
      <c r="AC109" t="s">
        <v>22</v>
      </c>
      <c r="AD109" t="s">
        <v>998</v>
      </c>
      <c r="AE109">
        <v>1.3569190977400294E-4</v>
      </c>
      <c r="AG109" t="s">
        <v>99</v>
      </c>
      <c r="AH109" t="s">
        <v>998</v>
      </c>
      <c r="AI109">
        <v>0</v>
      </c>
    </row>
    <row r="110" spans="5:35" x14ac:dyDescent="0.45">
      <c r="E110" t="s">
        <v>831</v>
      </c>
      <c r="G110" t="s">
        <v>436</v>
      </c>
      <c r="I110" t="s">
        <v>249</v>
      </c>
      <c r="J110" t="s">
        <v>999</v>
      </c>
      <c r="K110">
        <v>0</v>
      </c>
      <c r="L110" t="s">
        <v>251</v>
      </c>
      <c r="N110" t="s">
        <v>419</v>
      </c>
      <c r="O110" t="s">
        <v>999</v>
      </c>
      <c r="P110">
        <v>4.4004452299967778E-5</v>
      </c>
      <c r="Q110" t="s">
        <v>251</v>
      </c>
      <c r="S110" t="s">
        <v>420</v>
      </c>
      <c r="T110" t="s">
        <v>999</v>
      </c>
      <c r="U110">
        <v>5.1995407682923491E-5</v>
      </c>
      <c r="V110" t="s">
        <v>251</v>
      </c>
      <c r="X110">
        <v>1.1415525114155251E-4</v>
      </c>
      <c r="Y110">
        <v>1.4585353321897093E-5</v>
      </c>
      <c r="Z110" t="s">
        <v>999</v>
      </c>
      <c r="AA110" t="s">
        <v>25</v>
      </c>
      <c r="AC110" t="s">
        <v>22</v>
      </c>
      <c r="AD110" t="s">
        <v>999</v>
      </c>
      <c r="AE110">
        <v>1.3569190977400294E-4</v>
      </c>
      <c r="AG110" t="s">
        <v>99</v>
      </c>
      <c r="AH110" t="s">
        <v>999</v>
      </c>
      <c r="AI110">
        <v>0</v>
      </c>
    </row>
    <row r="111" spans="5:35" x14ac:dyDescent="0.45">
      <c r="E111" t="s">
        <v>832</v>
      </c>
      <c r="G111" t="s">
        <v>436</v>
      </c>
      <c r="I111" t="s">
        <v>249</v>
      </c>
      <c r="J111" t="s">
        <v>1000</v>
      </c>
      <c r="K111">
        <v>0</v>
      </c>
      <c r="L111" t="s">
        <v>251</v>
      </c>
      <c r="N111" t="s">
        <v>419</v>
      </c>
      <c r="O111" t="s">
        <v>1000</v>
      </c>
      <c r="P111">
        <v>4.2487077012462368E-5</v>
      </c>
      <c r="Q111" t="s">
        <v>251</v>
      </c>
      <c r="S111" t="s">
        <v>420</v>
      </c>
      <c r="T111" t="s">
        <v>1000</v>
      </c>
      <c r="U111">
        <v>5.1299614741577302E-5</v>
      </c>
      <c r="V111" t="s">
        <v>251</v>
      </c>
      <c r="X111">
        <v>1.1415525114155251E-4</v>
      </c>
      <c r="Y111">
        <v>2.1215059377304864E-5</v>
      </c>
      <c r="Z111" t="s">
        <v>1000</v>
      </c>
      <c r="AA111" t="s">
        <v>25</v>
      </c>
      <c r="AC111" t="s">
        <v>22</v>
      </c>
      <c r="AD111" t="s">
        <v>1000</v>
      </c>
      <c r="AE111">
        <v>1.3436950834730006E-4</v>
      </c>
      <c r="AG111" t="s">
        <v>99</v>
      </c>
      <c r="AH111" t="s">
        <v>1000</v>
      </c>
      <c r="AI111">
        <v>0</v>
      </c>
    </row>
    <row r="112" spans="5:35" x14ac:dyDescent="0.45">
      <c r="E112" t="s">
        <v>833</v>
      </c>
      <c r="G112" t="s">
        <v>436</v>
      </c>
      <c r="I112" t="s">
        <v>249</v>
      </c>
      <c r="J112" t="s">
        <v>1001</v>
      </c>
      <c r="K112">
        <v>0</v>
      </c>
      <c r="L112" t="s">
        <v>251</v>
      </c>
      <c r="N112" t="s">
        <v>419</v>
      </c>
      <c r="O112" t="s">
        <v>1001</v>
      </c>
      <c r="P112">
        <v>4.0711811748859439E-5</v>
      </c>
      <c r="Q112" t="s">
        <v>251</v>
      </c>
      <c r="S112" t="s">
        <v>420</v>
      </c>
      <c r="T112" t="s">
        <v>1001</v>
      </c>
      <c r="U112">
        <v>5.0782609338270538E-5</v>
      </c>
      <c r="V112" t="s">
        <v>251</v>
      </c>
      <c r="X112">
        <v>1.1415525114155251E-4</v>
      </c>
      <c r="Y112">
        <v>5.7678442682047593E-5</v>
      </c>
      <c r="Z112" t="s">
        <v>1001</v>
      </c>
      <c r="AA112" t="s">
        <v>25</v>
      </c>
      <c r="AC112" t="s">
        <v>22</v>
      </c>
      <c r="AD112" t="s">
        <v>1001</v>
      </c>
      <c r="AE112">
        <v>1.3436950834730006E-4</v>
      </c>
      <c r="AG112" t="s">
        <v>99</v>
      </c>
      <c r="AH112" t="s">
        <v>1001</v>
      </c>
      <c r="AI112">
        <v>0</v>
      </c>
    </row>
    <row r="113" spans="5:35" x14ac:dyDescent="0.45">
      <c r="E113" t="s">
        <v>834</v>
      </c>
      <c r="G113" t="s">
        <v>436</v>
      </c>
      <c r="I113" t="s">
        <v>249</v>
      </c>
      <c r="J113" t="s">
        <v>1002</v>
      </c>
      <c r="K113">
        <v>0</v>
      </c>
      <c r="L113" t="s">
        <v>251</v>
      </c>
      <c r="N113" t="s">
        <v>419</v>
      </c>
      <c r="O113" t="s">
        <v>1002</v>
      </c>
      <c r="P113">
        <v>3.8615827402659132E-5</v>
      </c>
      <c r="Q113" t="s">
        <v>251</v>
      </c>
      <c r="S113" t="s">
        <v>420</v>
      </c>
      <c r="T113" t="s">
        <v>1002</v>
      </c>
      <c r="U113">
        <v>5.3202695258249142E-5</v>
      </c>
      <c r="V113" t="s">
        <v>251</v>
      </c>
      <c r="X113">
        <v>1.1415525114155251E-4</v>
      </c>
      <c r="Y113">
        <v>1.6905750441289813E-4</v>
      </c>
      <c r="Z113" t="s">
        <v>1002</v>
      </c>
      <c r="AA113" t="s">
        <v>25</v>
      </c>
      <c r="AC113" t="s">
        <v>22</v>
      </c>
      <c r="AD113" t="s">
        <v>1002</v>
      </c>
      <c r="AE113">
        <v>1.3591231001178677E-4</v>
      </c>
      <c r="AG113" t="s">
        <v>99</v>
      </c>
      <c r="AH113" t="s">
        <v>1002</v>
      </c>
      <c r="AI113">
        <v>0</v>
      </c>
    </row>
    <row r="114" spans="5:35" x14ac:dyDescent="0.45">
      <c r="E114" t="s">
        <v>835</v>
      </c>
      <c r="G114" t="s">
        <v>436</v>
      </c>
      <c r="I114" t="s">
        <v>249</v>
      </c>
      <c r="J114" t="s">
        <v>1003</v>
      </c>
      <c r="K114">
        <v>1.1674552845265375E-6</v>
      </c>
      <c r="L114" t="s">
        <v>251</v>
      </c>
      <c r="N114" t="s">
        <v>419</v>
      </c>
      <c r="O114" t="s">
        <v>1003</v>
      </c>
      <c r="P114">
        <v>4.1845524210227469E-5</v>
      </c>
      <c r="Q114" t="s">
        <v>251</v>
      </c>
      <c r="S114" t="s">
        <v>420</v>
      </c>
      <c r="T114" t="s">
        <v>1003</v>
      </c>
      <c r="U114">
        <v>5.6800220836299827E-5</v>
      </c>
      <c r="V114" t="s">
        <v>251</v>
      </c>
      <c r="X114">
        <v>1.1415525114155251E-4</v>
      </c>
      <c r="Y114">
        <v>1.9060404909297337E-4</v>
      </c>
      <c r="Z114" t="s">
        <v>1003</v>
      </c>
      <c r="AA114" t="s">
        <v>25</v>
      </c>
      <c r="AC114" t="s">
        <v>22</v>
      </c>
      <c r="AD114" t="s">
        <v>1003</v>
      </c>
      <c r="AE114">
        <v>1.4780200932574584E-4</v>
      </c>
      <c r="AG114" t="s">
        <v>99</v>
      </c>
      <c r="AH114" t="s">
        <v>1003</v>
      </c>
      <c r="AI114">
        <v>0</v>
      </c>
    </row>
    <row r="115" spans="5:35" x14ac:dyDescent="0.45">
      <c r="E115" t="s">
        <v>836</v>
      </c>
      <c r="G115" t="s">
        <v>436</v>
      </c>
      <c r="I115" t="s">
        <v>249</v>
      </c>
      <c r="J115" t="s">
        <v>1004</v>
      </c>
      <c r="K115">
        <v>3.4350279544761811E-5</v>
      </c>
      <c r="L115" t="s">
        <v>251</v>
      </c>
      <c r="N115" t="s">
        <v>419</v>
      </c>
      <c r="O115" t="s">
        <v>1004</v>
      </c>
      <c r="P115">
        <v>3.9344890510767599E-5</v>
      </c>
      <c r="Q115" t="s">
        <v>251</v>
      </c>
      <c r="S115" t="s">
        <v>420</v>
      </c>
      <c r="T115" t="s">
        <v>1004</v>
      </c>
      <c r="U115">
        <v>6.7774610768942358E-5</v>
      </c>
      <c r="V115" t="s">
        <v>251</v>
      </c>
      <c r="X115">
        <v>1.1415525114155251E-4</v>
      </c>
      <c r="Y115">
        <v>1.4585353321897094E-4</v>
      </c>
      <c r="Z115" t="s">
        <v>1004</v>
      </c>
      <c r="AA115" t="s">
        <v>25</v>
      </c>
      <c r="AC115" t="s">
        <v>22</v>
      </c>
      <c r="AD115" t="s">
        <v>1004</v>
      </c>
      <c r="AE115">
        <v>1.5061955831146859E-4</v>
      </c>
      <c r="AG115" t="s">
        <v>99</v>
      </c>
      <c r="AH115" t="s">
        <v>1004</v>
      </c>
      <c r="AI115">
        <v>0</v>
      </c>
    </row>
    <row r="116" spans="5:35" x14ac:dyDescent="0.45">
      <c r="E116" t="s">
        <v>837</v>
      </c>
      <c r="G116" t="s">
        <v>436</v>
      </c>
      <c r="I116" t="s">
        <v>249</v>
      </c>
      <c r="J116" t="s">
        <v>1005</v>
      </c>
      <c r="K116">
        <v>5.4465530851961328E-5</v>
      </c>
      <c r="L116" t="s">
        <v>251</v>
      </c>
      <c r="N116" t="s">
        <v>419</v>
      </c>
      <c r="O116" t="s">
        <v>1005</v>
      </c>
      <c r="P116">
        <v>2.9652874354868337E-5</v>
      </c>
      <c r="Q116" t="s">
        <v>251</v>
      </c>
      <c r="S116" t="s">
        <v>420</v>
      </c>
      <c r="T116" t="s">
        <v>1005</v>
      </c>
      <c r="U116">
        <v>7.1337021978762545E-5</v>
      </c>
      <c r="V116" t="s">
        <v>251</v>
      </c>
      <c r="X116">
        <v>1.1415525114155251E-4</v>
      </c>
      <c r="Y116">
        <v>1.4452759200788939E-4</v>
      </c>
      <c r="Z116" t="s">
        <v>1005</v>
      </c>
      <c r="AA116" t="s">
        <v>25</v>
      </c>
      <c r="AC116" t="s">
        <v>22</v>
      </c>
      <c r="AD116" t="s">
        <v>1005</v>
      </c>
      <c r="AE116">
        <v>1.5763662534145048E-4</v>
      </c>
      <c r="AG116" t="s">
        <v>99</v>
      </c>
      <c r="AH116" t="s">
        <v>1005</v>
      </c>
      <c r="AI116">
        <v>0</v>
      </c>
    </row>
    <row r="117" spans="5:35" x14ac:dyDescent="0.45">
      <c r="E117" t="s">
        <v>838</v>
      </c>
      <c r="G117" t="s">
        <v>436</v>
      </c>
      <c r="I117" t="s">
        <v>249</v>
      </c>
      <c r="J117" t="s">
        <v>1006</v>
      </c>
      <c r="K117">
        <v>7.1974736236062322E-5</v>
      </c>
      <c r="L117" t="s">
        <v>251</v>
      </c>
      <c r="N117" t="s">
        <v>419</v>
      </c>
      <c r="O117" t="s">
        <v>1006</v>
      </c>
      <c r="P117">
        <v>2.5341769434099131E-5</v>
      </c>
      <c r="Q117" t="s">
        <v>251</v>
      </c>
      <c r="S117" t="s">
        <v>420</v>
      </c>
      <c r="T117" t="s">
        <v>1006</v>
      </c>
      <c r="U117">
        <v>6.6732109978240244E-5</v>
      </c>
      <c r="V117" t="s">
        <v>251</v>
      </c>
      <c r="X117">
        <v>1.1415525114155251E-4</v>
      </c>
      <c r="Y117">
        <v>1.408812536774151E-4</v>
      </c>
      <c r="Z117" t="s">
        <v>1006</v>
      </c>
      <c r="AA117" t="s">
        <v>25</v>
      </c>
      <c r="AC117" t="s">
        <v>22</v>
      </c>
      <c r="AD117" t="s">
        <v>1006</v>
      </c>
      <c r="AE117">
        <v>1.607460557231572E-4</v>
      </c>
      <c r="AG117" t="s">
        <v>99</v>
      </c>
      <c r="AH117" t="s">
        <v>1006</v>
      </c>
      <c r="AI117">
        <v>0</v>
      </c>
    </row>
    <row r="118" spans="5:35" x14ac:dyDescent="0.45">
      <c r="E118" t="s">
        <v>839</v>
      </c>
      <c r="G118" t="s">
        <v>436</v>
      </c>
      <c r="I118" t="s">
        <v>249</v>
      </c>
      <c r="J118" t="s">
        <v>1007</v>
      </c>
      <c r="K118">
        <v>9.5278243135412836E-5</v>
      </c>
      <c r="L118" t="s">
        <v>251</v>
      </c>
      <c r="N118" t="s">
        <v>419</v>
      </c>
      <c r="O118" t="s">
        <v>1007</v>
      </c>
      <c r="P118">
        <v>3.0796740204960403E-5</v>
      </c>
      <c r="Q118" t="s">
        <v>251</v>
      </c>
      <c r="S118" t="s">
        <v>420</v>
      </c>
      <c r="T118" t="s">
        <v>1007</v>
      </c>
      <c r="U118">
        <v>5.919997086820766E-5</v>
      </c>
      <c r="V118" t="s">
        <v>251</v>
      </c>
      <c r="X118">
        <v>1.1415525114155251E-4</v>
      </c>
      <c r="Y118">
        <v>1.4054976837464471E-4</v>
      </c>
      <c r="Z118" t="s">
        <v>1007</v>
      </c>
      <c r="AA118" t="s">
        <v>25</v>
      </c>
      <c r="AC118" t="s">
        <v>22</v>
      </c>
      <c r="AD118" t="s">
        <v>1007</v>
      </c>
      <c r="AE118">
        <v>1.5717795457633282E-4</v>
      </c>
      <c r="AG118" t="s">
        <v>99</v>
      </c>
      <c r="AH118" t="s">
        <v>1007</v>
      </c>
      <c r="AI118">
        <v>0</v>
      </c>
    </row>
    <row r="119" spans="5:35" x14ac:dyDescent="0.45">
      <c r="E119" t="s">
        <v>840</v>
      </c>
      <c r="G119" t="s">
        <v>436</v>
      </c>
      <c r="I119" t="s">
        <v>249</v>
      </c>
      <c r="J119" t="s">
        <v>1008</v>
      </c>
      <c r="K119">
        <v>1.176239729482E-4</v>
      </c>
      <c r="L119" t="s">
        <v>251</v>
      </c>
      <c r="N119" t="s">
        <v>419</v>
      </c>
      <c r="O119" t="s">
        <v>1008</v>
      </c>
      <c r="P119">
        <v>2.866131419145021E-5</v>
      </c>
      <c r="Q119" t="s">
        <v>251</v>
      </c>
      <c r="S119" t="s">
        <v>420</v>
      </c>
      <c r="T119" t="s">
        <v>1008</v>
      </c>
      <c r="U119">
        <v>5.0872603940587072E-5</v>
      </c>
      <c r="V119" t="s">
        <v>251</v>
      </c>
      <c r="X119">
        <v>1.1415525114155251E-4</v>
      </c>
      <c r="Y119">
        <v>1.4253868019126702E-4</v>
      </c>
      <c r="Z119" t="s">
        <v>1008</v>
      </c>
      <c r="AA119" t="s">
        <v>25</v>
      </c>
      <c r="AC119" t="s">
        <v>22</v>
      </c>
      <c r="AD119" t="s">
        <v>1008</v>
      </c>
      <c r="AE119">
        <v>1.4293533380495195E-4</v>
      </c>
      <c r="AG119" t="s">
        <v>99</v>
      </c>
      <c r="AH119" t="s">
        <v>1008</v>
      </c>
      <c r="AI119">
        <v>0</v>
      </c>
    </row>
    <row r="120" spans="5:35" x14ac:dyDescent="0.45">
      <c r="E120" t="s">
        <v>841</v>
      </c>
      <c r="G120" t="s">
        <v>436</v>
      </c>
      <c r="I120" t="s">
        <v>249</v>
      </c>
      <c r="J120" t="s">
        <v>1009</v>
      </c>
      <c r="K120">
        <v>1.0776810514560001E-4</v>
      </c>
      <c r="L120" t="s">
        <v>251</v>
      </c>
      <c r="N120" t="s">
        <v>419</v>
      </c>
      <c r="O120" t="s">
        <v>1009</v>
      </c>
      <c r="P120">
        <v>2.584334668492916E-5</v>
      </c>
      <c r="Q120" t="s">
        <v>251</v>
      </c>
      <c r="S120" t="s">
        <v>420</v>
      </c>
      <c r="T120" t="s">
        <v>1009</v>
      </c>
      <c r="U120">
        <v>4.4728438378380447E-5</v>
      </c>
      <c r="V120" t="s">
        <v>251</v>
      </c>
      <c r="X120">
        <v>1.1415525114155251E-4</v>
      </c>
      <c r="Y120">
        <v>1.4883690094390442E-4</v>
      </c>
      <c r="Z120" t="s">
        <v>1009</v>
      </c>
      <c r="AA120" t="s">
        <v>25</v>
      </c>
      <c r="AC120" t="s">
        <v>22</v>
      </c>
      <c r="AD120" t="s">
        <v>1009</v>
      </c>
      <c r="AE120">
        <v>1.2474337904301258E-4</v>
      </c>
      <c r="AG120" t="s">
        <v>99</v>
      </c>
      <c r="AH120" t="s">
        <v>1009</v>
      </c>
      <c r="AI120">
        <v>0</v>
      </c>
    </row>
    <row r="121" spans="5:35" x14ac:dyDescent="0.45">
      <c r="E121" t="s">
        <v>842</v>
      </c>
      <c r="G121" t="s">
        <v>436</v>
      </c>
      <c r="I121" t="s">
        <v>249</v>
      </c>
      <c r="J121" t="s">
        <v>1010</v>
      </c>
      <c r="K121">
        <v>1.006089100692E-4</v>
      </c>
      <c r="L121" t="s">
        <v>251</v>
      </c>
      <c r="N121" t="s">
        <v>419</v>
      </c>
      <c r="O121" t="s">
        <v>1010</v>
      </c>
      <c r="P121">
        <v>2.3832261545094293E-5</v>
      </c>
      <c r="Q121" t="s">
        <v>251</v>
      </c>
      <c r="S121" t="s">
        <v>420</v>
      </c>
      <c r="T121" t="s">
        <v>1010</v>
      </c>
      <c r="U121">
        <v>4.5620382344985283E-5</v>
      </c>
      <c r="V121" t="s">
        <v>251</v>
      </c>
      <c r="X121">
        <v>1.1415525114155251E-4</v>
      </c>
      <c r="Y121">
        <v>1.5049432745775637E-4</v>
      </c>
      <c r="Z121" t="s">
        <v>1010</v>
      </c>
      <c r="AA121" t="s">
        <v>25</v>
      </c>
      <c r="AC121" t="s">
        <v>22</v>
      </c>
      <c r="AD121" t="s">
        <v>1010</v>
      </c>
      <c r="AE121">
        <v>1.1412247028710623E-4</v>
      </c>
      <c r="AG121" t="s">
        <v>99</v>
      </c>
      <c r="AH121" t="s">
        <v>1010</v>
      </c>
      <c r="AI121">
        <v>0</v>
      </c>
    </row>
    <row r="122" spans="5:35" x14ac:dyDescent="0.45">
      <c r="E122" t="s">
        <v>843</v>
      </c>
      <c r="G122" t="s">
        <v>436</v>
      </c>
      <c r="I122" t="s">
        <v>249</v>
      </c>
      <c r="J122" t="s">
        <v>1011</v>
      </c>
      <c r="K122">
        <v>9.3775725353677339E-5</v>
      </c>
      <c r="L122" t="s">
        <v>251</v>
      </c>
      <c r="N122" t="s">
        <v>419</v>
      </c>
      <c r="O122" t="s">
        <v>1011</v>
      </c>
      <c r="P122">
        <v>2.4164572293492236E-5</v>
      </c>
      <c r="Q122" t="s">
        <v>251</v>
      </c>
      <c r="S122" t="s">
        <v>420</v>
      </c>
      <c r="T122" t="s">
        <v>1011</v>
      </c>
      <c r="U122">
        <v>5.2139079556697794E-5</v>
      </c>
      <c r="V122" t="s">
        <v>251</v>
      </c>
      <c r="X122">
        <v>1.1415525114155251E-4</v>
      </c>
      <c r="Y122">
        <v>1.7237235744060203E-4</v>
      </c>
      <c r="Z122" t="s">
        <v>1011</v>
      </c>
      <c r="AA122" t="s">
        <v>25</v>
      </c>
      <c r="AC122" t="s">
        <v>22</v>
      </c>
      <c r="AD122" t="s">
        <v>1011</v>
      </c>
      <c r="AE122">
        <v>9.3440588514528126E-5</v>
      </c>
      <c r="AG122" t="s">
        <v>99</v>
      </c>
      <c r="AH122" t="s">
        <v>1011</v>
      </c>
      <c r="AI122">
        <v>0</v>
      </c>
    </row>
    <row r="123" spans="5:35" x14ac:dyDescent="0.45">
      <c r="E123" t="s">
        <v>844</v>
      </c>
      <c r="G123" t="s">
        <v>436</v>
      </c>
      <c r="I123" t="s">
        <v>249</v>
      </c>
      <c r="J123" t="s">
        <v>1012</v>
      </c>
      <c r="K123">
        <v>8.6068357588442543E-5</v>
      </c>
      <c r="L123" t="s">
        <v>251</v>
      </c>
      <c r="N123" t="s">
        <v>419</v>
      </c>
      <c r="O123" t="s">
        <v>1012</v>
      </c>
      <c r="P123">
        <v>2.4995836368786968E-5</v>
      </c>
      <c r="Q123" t="s">
        <v>251</v>
      </c>
      <c r="S123" t="s">
        <v>420</v>
      </c>
      <c r="T123" t="s">
        <v>1012</v>
      </c>
      <c r="U123">
        <v>6.032169745863095E-5</v>
      </c>
      <c r="V123" t="s">
        <v>251</v>
      </c>
      <c r="X123">
        <v>1.1415525114155251E-4</v>
      </c>
      <c r="Y123">
        <v>2.2209515285616027E-4</v>
      </c>
      <c r="Z123" t="s">
        <v>1012</v>
      </c>
      <c r="AA123" t="s">
        <v>25</v>
      </c>
      <c r="AC123" t="s">
        <v>22</v>
      </c>
      <c r="AD123" t="s">
        <v>1012</v>
      </c>
      <c r="AE123">
        <v>8.9622303314003203E-5</v>
      </c>
      <c r="AG123" t="s">
        <v>99</v>
      </c>
      <c r="AH123" t="s">
        <v>1012</v>
      </c>
      <c r="AI123">
        <v>0</v>
      </c>
    </row>
    <row r="124" spans="5:35" x14ac:dyDescent="0.45">
      <c r="E124" t="s">
        <v>845</v>
      </c>
      <c r="G124" t="s">
        <v>436</v>
      </c>
      <c r="I124" t="s">
        <v>249</v>
      </c>
      <c r="J124" t="s">
        <v>1013</v>
      </c>
      <c r="K124">
        <v>6.09903040000963E-5</v>
      </c>
      <c r="L124" t="s">
        <v>251</v>
      </c>
      <c r="N124" t="s">
        <v>419</v>
      </c>
      <c r="O124" t="s">
        <v>1013</v>
      </c>
      <c r="P124">
        <v>2.5601439498923502E-5</v>
      </c>
      <c r="Q124" t="s">
        <v>251</v>
      </c>
      <c r="S124" t="s">
        <v>420</v>
      </c>
      <c r="T124" t="s">
        <v>1013</v>
      </c>
      <c r="U124">
        <v>6.7594174428298266E-5</v>
      </c>
      <c r="V124" t="s">
        <v>251</v>
      </c>
      <c r="X124">
        <v>1.1415525114155251E-4</v>
      </c>
      <c r="Y124">
        <v>2.2209515285616027E-4</v>
      </c>
      <c r="Z124" t="s">
        <v>1013</v>
      </c>
      <c r="AA124" t="s">
        <v>25</v>
      </c>
      <c r="AC124" t="s">
        <v>22</v>
      </c>
      <c r="AD124" t="s">
        <v>1013</v>
      </c>
      <c r="AE124">
        <v>8.5631271981161219E-5</v>
      </c>
      <c r="AG124" t="s">
        <v>99</v>
      </c>
      <c r="AH124" t="s">
        <v>1013</v>
      </c>
      <c r="AI124">
        <v>0</v>
      </c>
    </row>
    <row r="125" spans="5:35" x14ac:dyDescent="0.45">
      <c r="E125" t="s">
        <v>846</v>
      </c>
      <c r="G125" t="s">
        <v>436</v>
      </c>
      <c r="I125" t="s">
        <v>249</v>
      </c>
      <c r="J125" t="s">
        <v>1014</v>
      </c>
      <c r="K125">
        <v>3.2322467964585049E-6</v>
      </c>
      <c r="L125" t="s">
        <v>251</v>
      </c>
      <c r="N125" t="s">
        <v>419</v>
      </c>
      <c r="O125" t="s">
        <v>1014</v>
      </c>
      <c r="P125">
        <v>2.8693943736878041E-5</v>
      </c>
      <c r="Q125" t="s">
        <v>251</v>
      </c>
      <c r="S125" t="s">
        <v>420</v>
      </c>
      <c r="T125" t="s">
        <v>1014</v>
      </c>
      <c r="U125">
        <v>6.9745630753263737E-5</v>
      </c>
      <c r="V125" t="s">
        <v>251</v>
      </c>
      <c r="X125">
        <v>1.1415525114155251E-4</v>
      </c>
      <c r="Y125">
        <v>1.7237235744060203E-4</v>
      </c>
      <c r="Z125" t="s">
        <v>1014</v>
      </c>
      <c r="AA125" t="s">
        <v>25</v>
      </c>
      <c r="AC125" t="s">
        <v>22</v>
      </c>
      <c r="AD125" t="s">
        <v>1014</v>
      </c>
      <c r="AE125">
        <v>8.6846451670563853E-5</v>
      </c>
      <c r="AG125" t="s">
        <v>99</v>
      </c>
      <c r="AH125" t="s">
        <v>1014</v>
      </c>
      <c r="AI125">
        <v>0</v>
      </c>
    </row>
    <row r="126" spans="5:35" x14ac:dyDescent="0.45">
      <c r="E126" t="s">
        <v>847</v>
      </c>
      <c r="G126" t="s">
        <v>436</v>
      </c>
      <c r="I126" t="s">
        <v>249</v>
      </c>
      <c r="J126" t="s">
        <v>1015</v>
      </c>
      <c r="K126">
        <v>0</v>
      </c>
      <c r="L126" t="s">
        <v>251</v>
      </c>
      <c r="N126" t="s">
        <v>419</v>
      </c>
      <c r="O126" t="s">
        <v>1015</v>
      </c>
      <c r="P126">
        <v>3.597427121552569E-5</v>
      </c>
      <c r="Q126" t="s">
        <v>251</v>
      </c>
      <c r="S126" t="s">
        <v>420</v>
      </c>
      <c r="T126" t="s">
        <v>1015</v>
      </c>
      <c r="U126">
        <v>6.429807690388643E-5</v>
      </c>
      <c r="V126" t="s">
        <v>251</v>
      </c>
      <c r="X126">
        <v>1.1415525114155251E-4</v>
      </c>
      <c r="Y126">
        <v>1.5579809230208258E-4</v>
      </c>
      <c r="Z126" t="s">
        <v>1015</v>
      </c>
      <c r="AA126" t="s">
        <v>25</v>
      </c>
      <c r="AC126" t="s">
        <v>22</v>
      </c>
      <c r="AD126" t="s">
        <v>1015</v>
      </c>
      <c r="AE126">
        <v>9.1629732506790873E-5</v>
      </c>
      <c r="AG126" t="s">
        <v>99</v>
      </c>
      <c r="AH126" t="s">
        <v>1015</v>
      </c>
      <c r="AI126">
        <v>0</v>
      </c>
    </row>
    <row r="127" spans="5:35" x14ac:dyDescent="0.45">
      <c r="E127" t="s">
        <v>848</v>
      </c>
      <c r="G127" t="s">
        <v>436</v>
      </c>
      <c r="I127" t="s">
        <v>249</v>
      </c>
      <c r="J127" t="s">
        <v>1016</v>
      </c>
      <c r="K127">
        <v>0</v>
      </c>
      <c r="L127" t="s">
        <v>251</v>
      </c>
      <c r="N127" t="s">
        <v>419</v>
      </c>
      <c r="O127" t="s">
        <v>1016</v>
      </c>
      <c r="P127">
        <v>4.3827917386146018E-5</v>
      </c>
      <c r="Q127" t="s">
        <v>251</v>
      </c>
      <c r="S127" t="s">
        <v>420</v>
      </c>
      <c r="T127" t="s">
        <v>1016</v>
      </c>
      <c r="U127">
        <v>6.0080371498222193E-5</v>
      </c>
      <c r="V127" t="s">
        <v>251</v>
      </c>
      <c r="X127">
        <v>1.1415525114155251E-4</v>
      </c>
      <c r="Y127">
        <v>1.093901499142282E-4</v>
      </c>
      <c r="Z127" t="s">
        <v>1016</v>
      </c>
      <c r="AA127" t="s">
        <v>25</v>
      </c>
      <c r="AC127" t="s">
        <v>22</v>
      </c>
      <c r="AD127" t="s">
        <v>1016</v>
      </c>
      <c r="AE127">
        <v>1.0976807640008015E-4</v>
      </c>
      <c r="AG127" t="s">
        <v>99</v>
      </c>
      <c r="AH127" t="s">
        <v>1016</v>
      </c>
      <c r="AI127">
        <v>0</v>
      </c>
    </row>
    <row r="128" spans="5:35" x14ac:dyDescent="0.45">
      <c r="E128" t="s">
        <v>849</v>
      </c>
      <c r="G128" t="s">
        <v>436</v>
      </c>
      <c r="I128" t="s">
        <v>249</v>
      </c>
      <c r="J128" t="s">
        <v>1017</v>
      </c>
      <c r="K128">
        <v>0</v>
      </c>
      <c r="L128" t="s">
        <v>251</v>
      </c>
      <c r="N128" t="s">
        <v>419</v>
      </c>
      <c r="O128" t="s">
        <v>1017</v>
      </c>
      <c r="P128">
        <v>4.7520183322475729E-5</v>
      </c>
      <c r="Q128" t="s">
        <v>251</v>
      </c>
      <c r="S128" t="s">
        <v>420</v>
      </c>
      <c r="T128" t="s">
        <v>1017</v>
      </c>
      <c r="U128">
        <v>5.0372139819090582E-5</v>
      </c>
      <c r="V128" t="s">
        <v>251</v>
      </c>
      <c r="X128">
        <v>1.1415525114155251E-4</v>
      </c>
      <c r="Y128">
        <v>7.9556472664893237E-5</v>
      </c>
      <c r="Z128" t="s">
        <v>1017</v>
      </c>
      <c r="AA128" t="s">
        <v>25</v>
      </c>
      <c r="AC128" t="s">
        <v>22</v>
      </c>
      <c r="AD128" t="s">
        <v>1017</v>
      </c>
      <c r="AE128">
        <v>1.2981854127522356E-4</v>
      </c>
      <c r="AG128" t="s">
        <v>99</v>
      </c>
      <c r="AH128" t="s">
        <v>1017</v>
      </c>
      <c r="AI128">
        <v>0</v>
      </c>
    </row>
    <row r="129" spans="5:35" x14ac:dyDescent="0.45">
      <c r="E129" t="s">
        <v>850</v>
      </c>
      <c r="G129" t="s">
        <v>436</v>
      </c>
      <c r="I129" t="s">
        <v>249</v>
      </c>
      <c r="J129" t="s">
        <v>1018</v>
      </c>
      <c r="K129">
        <v>0</v>
      </c>
      <c r="L129" t="s">
        <v>251</v>
      </c>
      <c r="N129" t="s">
        <v>419</v>
      </c>
      <c r="O129" t="s">
        <v>1018</v>
      </c>
      <c r="P129">
        <v>4.4157841581766655E-5</v>
      </c>
      <c r="Q129" t="s">
        <v>251</v>
      </c>
      <c r="S129" t="s">
        <v>420</v>
      </c>
      <c r="T129" t="s">
        <v>1018</v>
      </c>
      <c r="U129">
        <v>4.7558686780736096E-5</v>
      </c>
      <c r="V129" t="s">
        <v>251</v>
      </c>
      <c r="X129">
        <v>1.1415525114155251E-4</v>
      </c>
      <c r="Y129">
        <v>5.6352501470966035E-5</v>
      </c>
      <c r="Z129" t="s">
        <v>1018</v>
      </c>
      <c r="AA129" t="s">
        <v>25</v>
      </c>
      <c r="AC129" t="s">
        <v>22</v>
      </c>
      <c r="AD129" t="s">
        <v>1018</v>
      </c>
      <c r="AE129">
        <v>1.3696665709523904E-4</v>
      </c>
      <c r="AG129" t="s">
        <v>99</v>
      </c>
      <c r="AH129" t="s">
        <v>1018</v>
      </c>
      <c r="AI129">
        <v>0</v>
      </c>
    </row>
    <row r="130" spans="5:35" x14ac:dyDescent="0.45">
      <c r="E130" t="s">
        <v>851</v>
      </c>
      <c r="G130" t="s">
        <v>436</v>
      </c>
      <c r="I130" t="s">
        <v>249</v>
      </c>
      <c r="J130" t="s">
        <v>1019</v>
      </c>
      <c r="K130">
        <v>0</v>
      </c>
      <c r="L130" t="s">
        <v>251</v>
      </c>
      <c r="N130" t="s">
        <v>419</v>
      </c>
      <c r="O130" t="s">
        <v>1019</v>
      </c>
      <c r="P130">
        <v>4.29419329566179E-5</v>
      </c>
      <c r="Q130" t="s">
        <v>251</v>
      </c>
      <c r="S130" t="s">
        <v>420</v>
      </c>
      <c r="T130" t="s">
        <v>1019</v>
      </c>
      <c r="U130">
        <v>4.8612016254802383E-5</v>
      </c>
      <c r="V130" t="s">
        <v>251</v>
      </c>
      <c r="X130">
        <v>1.1415525114155251E-4</v>
      </c>
      <c r="Y130">
        <v>2.9833677249334962E-5</v>
      </c>
      <c r="Z130" t="s">
        <v>1019</v>
      </c>
      <c r="AA130" t="s">
        <v>25</v>
      </c>
      <c r="AC130" t="s">
        <v>22</v>
      </c>
      <c r="AD130" t="s">
        <v>1019</v>
      </c>
      <c r="AE130">
        <v>1.4573501250112467E-4</v>
      </c>
      <c r="AG130" t="s">
        <v>99</v>
      </c>
      <c r="AH130" t="s">
        <v>1019</v>
      </c>
      <c r="AI130">
        <v>0</v>
      </c>
    </row>
    <row r="131" spans="5:35" x14ac:dyDescent="0.45">
      <c r="E131" t="s">
        <v>852</v>
      </c>
      <c r="G131" t="s">
        <v>438</v>
      </c>
      <c r="I131" t="s">
        <v>249</v>
      </c>
      <c r="J131" t="s">
        <v>1020</v>
      </c>
      <c r="K131">
        <v>0</v>
      </c>
      <c r="L131" t="s">
        <v>251</v>
      </c>
      <c r="N131" t="s">
        <v>419</v>
      </c>
      <c r="O131" t="s">
        <v>1020</v>
      </c>
      <c r="P131">
        <v>7.2973699732356863E-5</v>
      </c>
      <c r="Q131" t="s">
        <v>251</v>
      </c>
      <c r="S131" t="s">
        <v>420</v>
      </c>
      <c r="T131" t="s">
        <v>1020</v>
      </c>
      <c r="U131">
        <v>3.8970374488624574E-5</v>
      </c>
      <c r="V131" t="s">
        <v>251</v>
      </c>
      <c r="X131">
        <v>1.1415525114155251E-4</v>
      </c>
      <c r="Y131">
        <v>2.1546544680075254E-5</v>
      </c>
      <c r="Z131" t="s">
        <v>1020</v>
      </c>
      <c r="AA131" t="s">
        <v>25</v>
      </c>
      <c r="AC131" t="s">
        <v>22</v>
      </c>
      <c r="AD131" t="s">
        <v>1020</v>
      </c>
      <c r="AE131">
        <v>1.4677148929502693E-4</v>
      </c>
      <c r="AG131" t="s">
        <v>99</v>
      </c>
      <c r="AH131" t="s">
        <v>1020</v>
      </c>
      <c r="AI131">
        <v>0</v>
      </c>
    </row>
    <row r="132" spans="5:35" x14ac:dyDescent="0.45">
      <c r="E132" t="s">
        <v>853</v>
      </c>
      <c r="G132" t="s">
        <v>438</v>
      </c>
      <c r="I132" t="s">
        <v>249</v>
      </c>
      <c r="J132" t="s">
        <v>1021</v>
      </c>
      <c r="K132">
        <v>0</v>
      </c>
      <c r="L132" t="s">
        <v>251</v>
      </c>
      <c r="N132" t="s">
        <v>419</v>
      </c>
      <c r="O132" t="s">
        <v>1021</v>
      </c>
      <c r="P132">
        <v>6.883737176469217E-5</v>
      </c>
      <c r="Q132" t="s">
        <v>251</v>
      </c>
      <c r="S132" t="s">
        <v>420</v>
      </c>
      <c r="T132" t="s">
        <v>1021</v>
      </c>
      <c r="U132">
        <v>3.6793584770758812E-5</v>
      </c>
      <c r="V132" t="s">
        <v>251</v>
      </c>
      <c r="X132">
        <v>1.1415525114155251E-4</v>
      </c>
      <c r="Y132">
        <v>1.4916838624667481E-5</v>
      </c>
      <c r="Z132" t="s">
        <v>1021</v>
      </c>
      <c r="AA132" t="s">
        <v>25</v>
      </c>
      <c r="AC132" t="s">
        <v>22</v>
      </c>
      <c r="AD132" t="s">
        <v>1021</v>
      </c>
      <c r="AE132">
        <v>1.3903961068304353E-4</v>
      </c>
      <c r="AG132" t="s">
        <v>99</v>
      </c>
      <c r="AH132" t="s">
        <v>1021</v>
      </c>
      <c r="AI132">
        <v>0</v>
      </c>
    </row>
    <row r="133" spans="5:35" x14ac:dyDescent="0.45">
      <c r="E133" t="s">
        <v>854</v>
      </c>
      <c r="G133" t="s">
        <v>438</v>
      </c>
      <c r="I133" t="s">
        <v>249</v>
      </c>
      <c r="J133" t="s">
        <v>1022</v>
      </c>
      <c r="K133">
        <v>0</v>
      </c>
      <c r="L133" t="s">
        <v>251</v>
      </c>
      <c r="N133" t="s">
        <v>419</v>
      </c>
      <c r="O133" t="s">
        <v>1022</v>
      </c>
      <c r="P133">
        <v>6.7775409987295396E-5</v>
      </c>
      <c r="Q133" t="s">
        <v>251</v>
      </c>
      <c r="S133" t="s">
        <v>420</v>
      </c>
      <c r="T133" t="s">
        <v>1022</v>
      </c>
      <c r="U133">
        <v>3.6668995115145148E-5</v>
      </c>
      <c r="V133" t="s">
        <v>251</v>
      </c>
      <c r="X133">
        <v>1.1415525114155251E-4</v>
      </c>
      <c r="Y133">
        <v>1.6574265138519424E-5</v>
      </c>
      <c r="Z133" t="s">
        <v>1022</v>
      </c>
      <c r="AA133" t="s">
        <v>25</v>
      </c>
      <c r="AC133" t="s">
        <v>22</v>
      </c>
      <c r="AD133" t="s">
        <v>1022</v>
      </c>
      <c r="AE133">
        <v>1.4000460631874561E-4</v>
      </c>
      <c r="AG133" t="s">
        <v>99</v>
      </c>
      <c r="AH133" t="s">
        <v>1022</v>
      </c>
      <c r="AI133">
        <v>0</v>
      </c>
    </row>
    <row r="134" spans="5:35" x14ac:dyDescent="0.45">
      <c r="E134" t="s">
        <v>855</v>
      </c>
      <c r="G134" t="s">
        <v>438</v>
      </c>
      <c r="I134" t="s">
        <v>249</v>
      </c>
      <c r="J134" t="s">
        <v>1023</v>
      </c>
      <c r="K134">
        <v>0</v>
      </c>
      <c r="L134" t="s">
        <v>251</v>
      </c>
      <c r="N134" t="s">
        <v>419</v>
      </c>
      <c r="O134" t="s">
        <v>1023</v>
      </c>
      <c r="P134">
        <v>6.3925502095942184E-5</v>
      </c>
      <c r="Q134" t="s">
        <v>251</v>
      </c>
      <c r="S134" t="s">
        <v>420</v>
      </c>
      <c r="T134" t="s">
        <v>1023</v>
      </c>
      <c r="U134">
        <v>3.6937923755471966E-5</v>
      </c>
      <c r="V134" t="s">
        <v>251</v>
      </c>
      <c r="X134">
        <v>1.1415525114155251E-4</v>
      </c>
      <c r="Y134">
        <v>1.4585353321897093E-5</v>
      </c>
      <c r="Z134" t="s">
        <v>1023</v>
      </c>
      <c r="AA134" t="s">
        <v>25</v>
      </c>
      <c r="AC134" t="s">
        <v>22</v>
      </c>
      <c r="AD134" t="s">
        <v>1023</v>
      </c>
      <c r="AE134">
        <v>1.3911109184124368E-4</v>
      </c>
      <c r="AG134" t="s">
        <v>99</v>
      </c>
      <c r="AH134" t="s">
        <v>1023</v>
      </c>
      <c r="AI134">
        <v>0</v>
      </c>
    </row>
    <row r="135" spans="5:35" x14ac:dyDescent="0.45">
      <c r="E135" t="s">
        <v>856</v>
      </c>
      <c r="G135" t="s">
        <v>438</v>
      </c>
      <c r="I135" t="s">
        <v>249</v>
      </c>
      <c r="J135" t="s">
        <v>1024</v>
      </c>
      <c r="K135">
        <v>0</v>
      </c>
      <c r="L135" t="s">
        <v>251</v>
      </c>
      <c r="N135" t="s">
        <v>419</v>
      </c>
      <c r="O135" t="s">
        <v>1024</v>
      </c>
      <c r="P135">
        <v>6.7481980844843022E-5</v>
      </c>
      <c r="Q135" t="s">
        <v>251</v>
      </c>
      <c r="S135" t="s">
        <v>420</v>
      </c>
      <c r="T135" t="s">
        <v>1024</v>
      </c>
      <c r="U135">
        <v>3.6439771753160701E-5</v>
      </c>
      <c r="V135" t="s">
        <v>251</v>
      </c>
      <c r="X135">
        <v>1.1415525114155251E-4</v>
      </c>
      <c r="Y135">
        <v>2.1215059377304864E-5</v>
      </c>
      <c r="Z135" t="s">
        <v>1024</v>
      </c>
      <c r="AA135" t="s">
        <v>25</v>
      </c>
      <c r="AC135" t="s">
        <v>22</v>
      </c>
      <c r="AD135" t="s">
        <v>1024</v>
      </c>
      <c r="AE135">
        <v>1.3550725011531921E-4</v>
      </c>
      <c r="AG135" t="s">
        <v>99</v>
      </c>
      <c r="AH135" t="s">
        <v>1024</v>
      </c>
      <c r="AI135">
        <v>0</v>
      </c>
    </row>
    <row r="136" spans="5:35" x14ac:dyDescent="0.45">
      <c r="E136" t="s">
        <v>857</v>
      </c>
      <c r="G136" t="s">
        <v>438</v>
      </c>
      <c r="I136" t="s">
        <v>249</v>
      </c>
      <c r="J136" t="s">
        <v>1025</v>
      </c>
      <c r="K136">
        <v>0</v>
      </c>
      <c r="L136" t="s">
        <v>251</v>
      </c>
      <c r="N136" t="s">
        <v>419</v>
      </c>
      <c r="O136" t="s">
        <v>1025</v>
      </c>
      <c r="P136">
        <v>6.8214760042182492E-5</v>
      </c>
      <c r="Q136" t="s">
        <v>251</v>
      </c>
      <c r="S136" t="s">
        <v>420</v>
      </c>
      <c r="T136" t="s">
        <v>1025</v>
      </c>
      <c r="U136">
        <v>3.8139184452725441E-5</v>
      </c>
      <c r="V136" t="s">
        <v>251</v>
      </c>
      <c r="X136">
        <v>1.1415525114155251E-4</v>
      </c>
      <c r="Y136">
        <v>5.7678442682047593E-5</v>
      </c>
      <c r="Z136" t="s">
        <v>1025</v>
      </c>
      <c r="AA136" t="s">
        <v>25</v>
      </c>
      <c r="AC136" t="s">
        <v>22</v>
      </c>
      <c r="AD136" t="s">
        <v>1025</v>
      </c>
      <c r="AE136">
        <v>1.3436950834730006E-4</v>
      </c>
      <c r="AG136" t="s">
        <v>99</v>
      </c>
      <c r="AH136" t="s">
        <v>1025</v>
      </c>
      <c r="AI136">
        <v>0</v>
      </c>
    </row>
    <row r="137" spans="5:35" x14ac:dyDescent="0.45">
      <c r="E137" t="s">
        <v>858</v>
      </c>
      <c r="G137" t="s">
        <v>438</v>
      </c>
      <c r="I137" t="s">
        <v>249</v>
      </c>
      <c r="J137" t="s">
        <v>1026</v>
      </c>
      <c r="K137">
        <v>0</v>
      </c>
      <c r="L137" t="s">
        <v>251</v>
      </c>
      <c r="N137" t="s">
        <v>419</v>
      </c>
      <c r="O137" t="s">
        <v>1026</v>
      </c>
      <c r="P137">
        <v>6.1413311171511535E-5</v>
      </c>
      <c r="Q137" t="s">
        <v>251</v>
      </c>
      <c r="S137" t="s">
        <v>420</v>
      </c>
      <c r="T137" t="s">
        <v>1026</v>
      </c>
      <c r="U137">
        <v>4.419053891106071E-5</v>
      </c>
      <c r="V137" t="s">
        <v>251</v>
      </c>
      <c r="X137">
        <v>1.1415525114155251E-4</v>
      </c>
      <c r="Y137">
        <v>1.6905750441289813E-4</v>
      </c>
      <c r="Z137" t="s">
        <v>1026</v>
      </c>
      <c r="AA137" t="s">
        <v>25</v>
      </c>
      <c r="AC137" t="s">
        <v>22</v>
      </c>
      <c r="AD137" t="s">
        <v>1026</v>
      </c>
      <c r="AE137">
        <v>1.3591231001178677E-4</v>
      </c>
      <c r="AG137" t="s">
        <v>99</v>
      </c>
      <c r="AH137" t="s">
        <v>1026</v>
      </c>
      <c r="AI137">
        <v>0</v>
      </c>
    </row>
    <row r="138" spans="5:35" x14ac:dyDescent="0.45">
      <c r="E138" t="s">
        <v>859</v>
      </c>
      <c r="G138" t="s">
        <v>438</v>
      </c>
      <c r="I138" t="s">
        <v>249</v>
      </c>
      <c r="J138" t="s">
        <v>1027</v>
      </c>
      <c r="K138">
        <v>2.2376940184213463E-6</v>
      </c>
      <c r="L138" t="s">
        <v>251</v>
      </c>
      <c r="N138" t="s">
        <v>419</v>
      </c>
      <c r="O138" t="s">
        <v>1027</v>
      </c>
      <c r="P138">
        <v>5.7096233341967625E-5</v>
      </c>
      <c r="Q138" t="s">
        <v>251</v>
      </c>
      <c r="S138" t="s">
        <v>420</v>
      </c>
      <c r="T138" t="s">
        <v>1027</v>
      </c>
      <c r="U138">
        <v>5.9886036052209953E-5</v>
      </c>
      <c r="V138" t="s">
        <v>251</v>
      </c>
      <c r="X138">
        <v>1.1415525114155251E-4</v>
      </c>
      <c r="Y138">
        <v>1.9060404909297337E-4</v>
      </c>
      <c r="Z138" t="s">
        <v>1027</v>
      </c>
      <c r="AA138" t="s">
        <v>25</v>
      </c>
      <c r="AC138" t="s">
        <v>22</v>
      </c>
      <c r="AD138" t="s">
        <v>1027</v>
      </c>
      <c r="AE138">
        <v>1.4711102479647768E-4</v>
      </c>
      <c r="AG138" t="s">
        <v>99</v>
      </c>
      <c r="AH138" t="s">
        <v>1027</v>
      </c>
      <c r="AI138">
        <v>0</v>
      </c>
    </row>
    <row r="139" spans="5:35" x14ac:dyDescent="0.45">
      <c r="E139" t="s">
        <v>860</v>
      </c>
      <c r="G139" t="s">
        <v>438</v>
      </c>
      <c r="I139" t="s">
        <v>249</v>
      </c>
      <c r="J139" t="s">
        <v>1028</v>
      </c>
      <c r="K139">
        <v>5.2957596607750109E-5</v>
      </c>
      <c r="L139" t="s">
        <v>251</v>
      </c>
      <c r="N139" t="s">
        <v>419</v>
      </c>
      <c r="O139" t="s">
        <v>1028</v>
      </c>
      <c r="P139">
        <v>5.9866010489506527E-5</v>
      </c>
      <c r="Q139" t="s">
        <v>251</v>
      </c>
      <c r="S139" t="s">
        <v>420</v>
      </c>
      <c r="T139" t="s">
        <v>1028</v>
      </c>
      <c r="U139">
        <v>6.7831780756368935E-5</v>
      </c>
      <c r="V139" t="s">
        <v>251</v>
      </c>
      <c r="X139">
        <v>1.1415525114155251E-4</v>
      </c>
      <c r="Y139">
        <v>1.4585353321897094E-4</v>
      </c>
      <c r="Z139" t="s">
        <v>1028</v>
      </c>
      <c r="AA139" t="s">
        <v>25</v>
      </c>
      <c r="AC139" t="s">
        <v>22</v>
      </c>
      <c r="AD139" t="s">
        <v>1028</v>
      </c>
      <c r="AE139">
        <v>1.4953542741209962E-4</v>
      </c>
      <c r="AG139" t="s">
        <v>99</v>
      </c>
      <c r="AH139" t="s">
        <v>1028</v>
      </c>
      <c r="AI139">
        <v>0</v>
      </c>
    </row>
    <row r="140" spans="5:35" x14ac:dyDescent="0.45">
      <c r="E140" t="s">
        <v>861</v>
      </c>
      <c r="G140" t="s">
        <v>438</v>
      </c>
      <c r="I140" t="s">
        <v>249</v>
      </c>
      <c r="J140" t="s">
        <v>1029</v>
      </c>
      <c r="K140">
        <v>6.7294795175802384E-5</v>
      </c>
      <c r="L140" t="s">
        <v>251</v>
      </c>
      <c r="N140" t="s">
        <v>419</v>
      </c>
      <c r="O140" t="s">
        <v>1029</v>
      </c>
      <c r="P140">
        <v>5.0760434280603593E-5</v>
      </c>
      <c r="Q140" t="s">
        <v>251</v>
      </c>
      <c r="S140" t="s">
        <v>420</v>
      </c>
      <c r="T140" t="s">
        <v>1029</v>
      </c>
      <c r="U140">
        <v>6.9204176668041304E-5</v>
      </c>
      <c r="V140" t="s">
        <v>251</v>
      </c>
      <c r="X140">
        <v>1.1415525114155251E-4</v>
      </c>
      <c r="Y140">
        <v>1.4452759200788939E-4</v>
      </c>
      <c r="Z140" t="s">
        <v>1029</v>
      </c>
      <c r="AA140" t="s">
        <v>25</v>
      </c>
      <c r="AC140" t="s">
        <v>22</v>
      </c>
      <c r="AD140" t="s">
        <v>1029</v>
      </c>
      <c r="AE140">
        <v>1.5155477013125394E-4</v>
      </c>
      <c r="AG140" t="s">
        <v>99</v>
      </c>
      <c r="AH140" t="s">
        <v>1029</v>
      </c>
      <c r="AI140">
        <v>0</v>
      </c>
    </row>
    <row r="141" spans="5:35" x14ac:dyDescent="0.45">
      <c r="E141" t="s">
        <v>862</v>
      </c>
      <c r="G141" t="s">
        <v>438</v>
      </c>
      <c r="I141" t="s">
        <v>249</v>
      </c>
      <c r="J141" t="s">
        <v>1030</v>
      </c>
      <c r="K141">
        <v>7.9426807070358754E-5</v>
      </c>
      <c r="L141" t="s">
        <v>251</v>
      </c>
      <c r="N141" t="s">
        <v>419</v>
      </c>
      <c r="O141" t="s">
        <v>1030</v>
      </c>
      <c r="P141">
        <v>4.3643839762781532E-5</v>
      </c>
      <c r="Q141" t="s">
        <v>251</v>
      </c>
      <c r="S141" t="s">
        <v>420</v>
      </c>
      <c r="T141" t="s">
        <v>1030</v>
      </c>
      <c r="U141">
        <v>6.8843825535950029E-5</v>
      </c>
      <c r="V141" t="s">
        <v>251</v>
      </c>
      <c r="X141">
        <v>1.1415525114155251E-4</v>
      </c>
      <c r="Y141">
        <v>1.408812536774151E-4</v>
      </c>
      <c r="Z141" t="s">
        <v>1030</v>
      </c>
      <c r="AA141" t="s">
        <v>25</v>
      </c>
      <c r="AC141" t="s">
        <v>22</v>
      </c>
      <c r="AD141" t="s">
        <v>1030</v>
      </c>
      <c r="AE141">
        <v>1.5910198908455363E-4</v>
      </c>
      <c r="AG141" t="s">
        <v>99</v>
      </c>
      <c r="AH141" t="s">
        <v>1030</v>
      </c>
      <c r="AI141">
        <v>0</v>
      </c>
    </row>
    <row r="142" spans="5:35" x14ac:dyDescent="0.45">
      <c r="E142" t="s">
        <v>863</v>
      </c>
      <c r="G142" t="s">
        <v>438</v>
      </c>
      <c r="I142" t="s">
        <v>249</v>
      </c>
      <c r="J142" t="s">
        <v>1031</v>
      </c>
      <c r="K142">
        <v>9.5399329445278755E-5</v>
      </c>
      <c r="L142" t="s">
        <v>251</v>
      </c>
      <c r="N142" t="s">
        <v>419</v>
      </c>
      <c r="O142" t="s">
        <v>1031</v>
      </c>
      <c r="P142">
        <v>3.6979236713451777E-5</v>
      </c>
      <c r="Q142" t="s">
        <v>251</v>
      </c>
      <c r="S142" t="s">
        <v>420</v>
      </c>
      <c r="T142" t="s">
        <v>1031</v>
      </c>
      <c r="U142">
        <v>6.8043990300268532E-5</v>
      </c>
      <c r="V142" t="s">
        <v>251</v>
      </c>
      <c r="X142">
        <v>1.1415525114155251E-4</v>
      </c>
      <c r="Y142">
        <v>1.4054976837464471E-4</v>
      </c>
      <c r="Z142" t="s">
        <v>1031</v>
      </c>
      <c r="AA142" t="s">
        <v>25</v>
      </c>
      <c r="AC142" t="s">
        <v>22</v>
      </c>
      <c r="AD142" t="s">
        <v>1031</v>
      </c>
      <c r="AE142">
        <v>1.5422935680057642E-4</v>
      </c>
      <c r="AG142" t="s">
        <v>99</v>
      </c>
      <c r="AH142" t="s">
        <v>1031</v>
      </c>
      <c r="AI142">
        <v>0</v>
      </c>
    </row>
    <row r="143" spans="5:35" x14ac:dyDescent="0.45">
      <c r="E143" t="s">
        <v>864</v>
      </c>
      <c r="G143" t="s">
        <v>438</v>
      </c>
      <c r="I143" t="s">
        <v>249</v>
      </c>
      <c r="J143" t="s">
        <v>1032</v>
      </c>
      <c r="K143">
        <v>1.1216830636730001E-4</v>
      </c>
      <c r="L143" t="s">
        <v>251</v>
      </c>
      <c r="N143" t="s">
        <v>419</v>
      </c>
      <c r="O143" t="s">
        <v>1032</v>
      </c>
      <c r="P143">
        <v>3.1842974756684173E-5</v>
      </c>
      <c r="Q143" t="s">
        <v>251</v>
      </c>
      <c r="S143" t="s">
        <v>420</v>
      </c>
      <c r="T143" t="s">
        <v>1032</v>
      </c>
      <c r="U143">
        <v>6.338165040866804E-5</v>
      </c>
      <c r="V143" t="s">
        <v>251</v>
      </c>
      <c r="X143">
        <v>1.1415525114155251E-4</v>
      </c>
      <c r="Y143">
        <v>1.4253868019126702E-4</v>
      </c>
      <c r="Z143" t="s">
        <v>1032</v>
      </c>
      <c r="AA143" t="s">
        <v>25</v>
      </c>
      <c r="AC143" t="s">
        <v>22</v>
      </c>
      <c r="AD143" t="s">
        <v>1032</v>
      </c>
      <c r="AE143">
        <v>1.3928383797356071E-4</v>
      </c>
      <c r="AG143" t="s">
        <v>99</v>
      </c>
      <c r="AH143" t="s">
        <v>1032</v>
      </c>
      <c r="AI143">
        <v>0</v>
      </c>
    </row>
    <row r="144" spans="5:35" x14ac:dyDescent="0.45">
      <c r="E144" t="s">
        <v>865</v>
      </c>
      <c r="G144" t="s">
        <v>438</v>
      </c>
      <c r="I144" t="s">
        <v>249</v>
      </c>
      <c r="J144" t="s">
        <v>1033</v>
      </c>
      <c r="K144">
        <v>1.0351355807949999E-4</v>
      </c>
      <c r="L144" t="s">
        <v>251</v>
      </c>
      <c r="N144" t="s">
        <v>419</v>
      </c>
      <c r="O144" t="s">
        <v>1033</v>
      </c>
      <c r="P144">
        <v>2.6184559545582505E-5</v>
      </c>
      <c r="Q144" t="s">
        <v>251</v>
      </c>
      <c r="S144" t="s">
        <v>420</v>
      </c>
      <c r="T144" t="s">
        <v>1033</v>
      </c>
      <c r="U144">
        <v>5.770684587107647E-5</v>
      </c>
      <c r="V144" t="s">
        <v>251</v>
      </c>
      <c r="X144">
        <v>1.1415525114155251E-4</v>
      </c>
      <c r="Y144">
        <v>1.4883690094390442E-4</v>
      </c>
      <c r="Z144" t="s">
        <v>1033</v>
      </c>
      <c r="AA144" t="s">
        <v>25</v>
      </c>
      <c r="AC144" t="s">
        <v>22</v>
      </c>
      <c r="AD144" t="s">
        <v>1033</v>
      </c>
      <c r="AE144">
        <v>1.2283125806115844E-4</v>
      </c>
      <c r="AG144" t="s">
        <v>99</v>
      </c>
      <c r="AH144" t="s">
        <v>1033</v>
      </c>
      <c r="AI144">
        <v>0</v>
      </c>
    </row>
    <row r="145" spans="5:35" x14ac:dyDescent="0.45">
      <c r="E145" t="s">
        <v>866</v>
      </c>
      <c r="G145" t="s">
        <v>438</v>
      </c>
      <c r="I145" t="s">
        <v>249</v>
      </c>
      <c r="J145" t="s">
        <v>1034</v>
      </c>
      <c r="K145">
        <v>8.6392292498530871E-5</v>
      </c>
      <c r="L145" t="s">
        <v>251</v>
      </c>
      <c r="N145" t="s">
        <v>419</v>
      </c>
      <c r="O145" t="s">
        <v>1034</v>
      </c>
      <c r="P145">
        <v>2.3880309378920752E-5</v>
      </c>
      <c r="Q145" t="s">
        <v>251</v>
      </c>
      <c r="S145" t="s">
        <v>420</v>
      </c>
      <c r="T145" t="s">
        <v>1034</v>
      </c>
      <c r="U145">
        <v>5.0288246465792637E-5</v>
      </c>
      <c r="V145" t="s">
        <v>251</v>
      </c>
      <c r="X145">
        <v>1.1415525114155251E-4</v>
      </c>
      <c r="Y145">
        <v>1.5049432745775637E-4</v>
      </c>
      <c r="Z145" t="s">
        <v>1034</v>
      </c>
      <c r="AA145" t="s">
        <v>25</v>
      </c>
      <c r="AC145" t="s">
        <v>22</v>
      </c>
      <c r="AD145" t="s">
        <v>1034</v>
      </c>
      <c r="AE145">
        <v>1.1295494470317039E-4</v>
      </c>
      <c r="AG145" t="s">
        <v>99</v>
      </c>
      <c r="AH145" t="s">
        <v>1034</v>
      </c>
      <c r="AI145">
        <v>0</v>
      </c>
    </row>
    <row r="146" spans="5:35" x14ac:dyDescent="0.45">
      <c r="E146" t="s">
        <v>867</v>
      </c>
      <c r="G146" t="s">
        <v>438</v>
      </c>
      <c r="I146" t="s">
        <v>249</v>
      </c>
      <c r="J146" t="s">
        <v>1035</v>
      </c>
      <c r="K146">
        <v>7.5979244501276009E-5</v>
      </c>
      <c r="L146" t="s">
        <v>251</v>
      </c>
      <c r="N146" t="s">
        <v>419</v>
      </c>
      <c r="O146" t="s">
        <v>1035</v>
      </c>
      <c r="P146">
        <v>2.3752855161685543E-5</v>
      </c>
      <c r="Q146" t="s">
        <v>251</v>
      </c>
      <c r="S146" t="s">
        <v>420</v>
      </c>
      <c r="T146" t="s">
        <v>1035</v>
      </c>
      <c r="U146">
        <v>4.7420062005439659E-5</v>
      </c>
      <c r="V146" t="s">
        <v>251</v>
      </c>
      <c r="X146">
        <v>1.1415525114155251E-4</v>
      </c>
      <c r="Y146">
        <v>1.7237235744060203E-4</v>
      </c>
      <c r="Z146" t="s">
        <v>1035</v>
      </c>
      <c r="AA146" t="s">
        <v>25</v>
      </c>
      <c r="AC146" t="s">
        <v>22</v>
      </c>
      <c r="AD146" t="s">
        <v>1035</v>
      </c>
      <c r="AE146">
        <v>9.1278283478973438E-5</v>
      </c>
      <c r="AG146" t="s">
        <v>99</v>
      </c>
      <c r="AH146" t="s">
        <v>1035</v>
      </c>
      <c r="AI146">
        <v>0</v>
      </c>
    </row>
    <row r="147" spans="5:35" x14ac:dyDescent="0.45">
      <c r="E147" t="s">
        <v>868</v>
      </c>
      <c r="G147" t="s">
        <v>438</v>
      </c>
      <c r="I147" t="s">
        <v>249</v>
      </c>
      <c r="J147" t="s">
        <v>1036</v>
      </c>
      <c r="K147">
        <v>5.1895532962596335E-5</v>
      </c>
      <c r="L147" t="s">
        <v>251</v>
      </c>
      <c r="N147" t="s">
        <v>419</v>
      </c>
      <c r="O147" t="s">
        <v>1036</v>
      </c>
      <c r="P147">
        <v>2.6232335266658249E-5</v>
      </c>
      <c r="Q147" t="s">
        <v>251</v>
      </c>
      <c r="S147" t="s">
        <v>420</v>
      </c>
      <c r="T147" t="s">
        <v>1036</v>
      </c>
      <c r="U147">
        <v>4.9107457438109353E-5</v>
      </c>
      <c r="V147" t="s">
        <v>251</v>
      </c>
      <c r="X147">
        <v>1.1415525114155251E-4</v>
      </c>
      <c r="Y147">
        <v>2.2209515285616027E-4</v>
      </c>
      <c r="Z147" t="s">
        <v>1036</v>
      </c>
      <c r="AA147" t="s">
        <v>25</v>
      </c>
      <c r="AC147" t="s">
        <v>22</v>
      </c>
      <c r="AD147" t="s">
        <v>1036</v>
      </c>
      <c r="AE147">
        <v>8.8162896334083372E-5</v>
      </c>
      <c r="AG147" t="s">
        <v>99</v>
      </c>
      <c r="AH147" t="s">
        <v>1036</v>
      </c>
      <c r="AI147">
        <v>0</v>
      </c>
    </row>
    <row r="148" spans="5:35" x14ac:dyDescent="0.45">
      <c r="E148" t="s">
        <v>869</v>
      </c>
      <c r="G148" t="s">
        <v>438</v>
      </c>
      <c r="I148" t="s">
        <v>249</v>
      </c>
      <c r="J148" t="s">
        <v>1037</v>
      </c>
      <c r="K148">
        <v>2.5421013305160534E-5</v>
      </c>
      <c r="L148" t="s">
        <v>251</v>
      </c>
      <c r="N148" t="s">
        <v>419</v>
      </c>
      <c r="O148" t="s">
        <v>1037</v>
      </c>
      <c r="P148">
        <v>3.2338884070188822E-5</v>
      </c>
      <c r="Q148" t="s">
        <v>251</v>
      </c>
      <c r="S148" t="s">
        <v>420</v>
      </c>
      <c r="T148" t="s">
        <v>1037</v>
      </c>
      <c r="U148">
        <v>5.6139944159992667E-5</v>
      </c>
      <c r="V148" t="s">
        <v>251</v>
      </c>
      <c r="X148">
        <v>1.1415525114155251E-4</v>
      </c>
      <c r="Y148">
        <v>2.2209515285616027E-4</v>
      </c>
      <c r="Z148" t="s">
        <v>1037</v>
      </c>
      <c r="AA148" t="s">
        <v>25</v>
      </c>
      <c r="AC148" t="s">
        <v>22</v>
      </c>
      <c r="AD148" t="s">
        <v>1037</v>
      </c>
      <c r="AE148">
        <v>8.4159951474874697E-5</v>
      </c>
      <c r="AG148" t="s">
        <v>99</v>
      </c>
      <c r="AH148" t="s">
        <v>1037</v>
      </c>
      <c r="AI148">
        <v>0</v>
      </c>
    </row>
    <row r="149" spans="5:35" x14ac:dyDescent="0.45">
      <c r="E149" t="s">
        <v>870</v>
      </c>
      <c r="G149" t="s">
        <v>438</v>
      </c>
      <c r="I149" t="s">
        <v>249</v>
      </c>
      <c r="J149" t="s">
        <v>1038</v>
      </c>
      <c r="K149">
        <v>8.2856735838806223E-8</v>
      </c>
      <c r="L149" t="s">
        <v>251</v>
      </c>
      <c r="N149" t="s">
        <v>419</v>
      </c>
      <c r="O149" t="s">
        <v>1038</v>
      </c>
      <c r="P149">
        <v>3.9504391147228681E-5</v>
      </c>
      <c r="Q149" t="s">
        <v>251</v>
      </c>
      <c r="S149" t="s">
        <v>420</v>
      </c>
      <c r="T149" t="s">
        <v>1038</v>
      </c>
      <c r="U149">
        <v>6.5145323550747149E-5</v>
      </c>
      <c r="V149" t="s">
        <v>251</v>
      </c>
      <c r="X149">
        <v>1.1415525114155251E-4</v>
      </c>
      <c r="Y149">
        <v>1.7237235744060203E-4</v>
      </c>
      <c r="Z149" t="s">
        <v>1038</v>
      </c>
      <c r="AA149" t="s">
        <v>25</v>
      </c>
      <c r="AC149" t="s">
        <v>22</v>
      </c>
      <c r="AD149" t="s">
        <v>1038</v>
      </c>
      <c r="AE149">
        <v>8.5369174401093992E-5</v>
      </c>
      <c r="AG149" t="s">
        <v>99</v>
      </c>
      <c r="AH149" t="s">
        <v>1038</v>
      </c>
      <c r="AI149">
        <v>0</v>
      </c>
    </row>
    <row r="150" spans="5:35" x14ac:dyDescent="0.45">
      <c r="E150" t="s">
        <v>871</v>
      </c>
      <c r="G150" t="s">
        <v>438</v>
      </c>
      <c r="I150" t="s">
        <v>249</v>
      </c>
      <c r="J150" t="s">
        <v>1039</v>
      </c>
      <c r="K150">
        <v>0</v>
      </c>
      <c r="L150" t="s">
        <v>251</v>
      </c>
      <c r="N150" t="s">
        <v>419</v>
      </c>
      <c r="O150" t="s">
        <v>1039</v>
      </c>
      <c r="P150">
        <v>4.5432406240170072E-5</v>
      </c>
      <c r="Q150" t="s">
        <v>251</v>
      </c>
      <c r="S150" t="s">
        <v>420</v>
      </c>
      <c r="T150" t="s">
        <v>1039</v>
      </c>
      <c r="U150">
        <v>7.1621115679729004E-5</v>
      </c>
      <c r="V150" t="s">
        <v>251</v>
      </c>
      <c r="X150">
        <v>1.1415525114155251E-4</v>
      </c>
      <c r="Y150">
        <v>1.5579809230208258E-4</v>
      </c>
      <c r="Z150" t="s">
        <v>1039</v>
      </c>
      <c r="AA150" t="s">
        <v>25</v>
      </c>
      <c r="AC150" t="s">
        <v>22</v>
      </c>
      <c r="AD150" t="s">
        <v>1039</v>
      </c>
      <c r="AE150">
        <v>8.9378076023486006E-5</v>
      </c>
      <c r="AG150" t="s">
        <v>99</v>
      </c>
      <c r="AH150" t="s">
        <v>1039</v>
      </c>
      <c r="AI150">
        <v>0</v>
      </c>
    </row>
    <row r="151" spans="5:35" x14ac:dyDescent="0.45">
      <c r="E151" t="s">
        <v>872</v>
      </c>
      <c r="G151" t="s">
        <v>438</v>
      </c>
      <c r="I151" t="s">
        <v>249</v>
      </c>
      <c r="J151" t="s">
        <v>1040</v>
      </c>
      <c r="K151">
        <v>0</v>
      </c>
      <c r="L151" t="s">
        <v>251</v>
      </c>
      <c r="N151" t="s">
        <v>419</v>
      </c>
      <c r="O151" t="s">
        <v>1040</v>
      </c>
      <c r="P151">
        <v>4.7555580915096098E-5</v>
      </c>
      <c r="Q151" t="s">
        <v>251</v>
      </c>
      <c r="S151" t="s">
        <v>420</v>
      </c>
      <c r="T151" t="s">
        <v>1040</v>
      </c>
      <c r="U151">
        <v>7.1979919212038148E-5</v>
      </c>
      <c r="V151" t="s">
        <v>251</v>
      </c>
      <c r="X151">
        <v>1.1415525114155251E-4</v>
      </c>
      <c r="Y151">
        <v>1.093901499142282E-4</v>
      </c>
      <c r="Z151" t="s">
        <v>1040</v>
      </c>
      <c r="AA151" t="s">
        <v>25</v>
      </c>
      <c r="AC151" t="s">
        <v>22</v>
      </c>
      <c r="AD151" t="s">
        <v>1040</v>
      </c>
      <c r="AE151">
        <v>1.0783808512867598E-4</v>
      </c>
      <c r="AG151" t="s">
        <v>99</v>
      </c>
      <c r="AH151" t="s">
        <v>1040</v>
      </c>
      <c r="AI151">
        <v>0</v>
      </c>
    </row>
    <row r="152" spans="5:35" x14ac:dyDescent="0.45">
      <c r="E152" t="s">
        <v>873</v>
      </c>
      <c r="G152" t="s">
        <v>438</v>
      </c>
      <c r="I152" t="s">
        <v>249</v>
      </c>
      <c r="J152" t="s">
        <v>1041</v>
      </c>
      <c r="K152">
        <v>0</v>
      </c>
      <c r="L152" t="s">
        <v>251</v>
      </c>
      <c r="N152" t="s">
        <v>419</v>
      </c>
      <c r="O152" t="s">
        <v>1041</v>
      </c>
      <c r="P152">
        <v>4.9437690242407299E-5</v>
      </c>
      <c r="Q152" t="s">
        <v>251</v>
      </c>
      <c r="S152" t="s">
        <v>420</v>
      </c>
      <c r="T152" t="s">
        <v>1041</v>
      </c>
      <c r="U152">
        <v>7.1644095904857603E-5</v>
      </c>
      <c r="V152" t="s">
        <v>251</v>
      </c>
      <c r="X152">
        <v>1.1415525114155251E-4</v>
      </c>
      <c r="Y152">
        <v>7.9556472664893237E-5</v>
      </c>
      <c r="Z152" t="s">
        <v>1041</v>
      </c>
      <c r="AA152" t="s">
        <v>25</v>
      </c>
      <c r="AC152" t="s">
        <v>22</v>
      </c>
      <c r="AD152" t="s">
        <v>1041</v>
      </c>
      <c r="AE152">
        <v>1.2625044012839917E-4</v>
      </c>
      <c r="AG152" t="s">
        <v>99</v>
      </c>
      <c r="AH152" t="s">
        <v>1041</v>
      </c>
      <c r="AI152">
        <v>0</v>
      </c>
    </row>
    <row r="153" spans="5:35" x14ac:dyDescent="0.45">
      <c r="E153" t="s">
        <v>874</v>
      </c>
      <c r="G153" t="s">
        <v>438</v>
      </c>
      <c r="I153" t="s">
        <v>249</v>
      </c>
      <c r="J153" t="s">
        <v>1042</v>
      </c>
      <c r="K153">
        <v>0</v>
      </c>
      <c r="L153" t="s">
        <v>251</v>
      </c>
      <c r="N153" t="s">
        <v>419</v>
      </c>
      <c r="O153" t="s">
        <v>1042</v>
      </c>
      <c r="P153">
        <v>4.8899936422588323E-5</v>
      </c>
      <c r="Q153" t="s">
        <v>251</v>
      </c>
      <c r="S153" t="s">
        <v>420</v>
      </c>
      <c r="T153" t="s">
        <v>1042</v>
      </c>
      <c r="U153">
        <v>7.694564301510884E-5</v>
      </c>
      <c r="V153" t="s">
        <v>251</v>
      </c>
      <c r="X153">
        <v>1.1415525114155251E-4</v>
      </c>
      <c r="Y153">
        <v>5.6352501470966035E-5</v>
      </c>
      <c r="Z153" t="s">
        <v>1042</v>
      </c>
      <c r="AA153" t="s">
        <v>25</v>
      </c>
      <c r="AC153" t="s">
        <v>22</v>
      </c>
      <c r="AD153" t="s">
        <v>1042</v>
      </c>
      <c r="AE153">
        <v>1.3696665709523904E-4</v>
      </c>
      <c r="AG153" t="s">
        <v>99</v>
      </c>
      <c r="AH153" t="s">
        <v>1042</v>
      </c>
      <c r="AI153">
        <v>0</v>
      </c>
    </row>
    <row r="154" spans="5:35" x14ac:dyDescent="0.45">
      <c r="E154" t="s">
        <v>875</v>
      </c>
      <c r="G154" t="s">
        <v>438</v>
      </c>
      <c r="I154" t="s">
        <v>249</v>
      </c>
      <c r="J154" t="s">
        <v>1043</v>
      </c>
      <c r="K154">
        <v>0</v>
      </c>
      <c r="L154" t="s">
        <v>251</v>
      </c>
      <c r="N154" t="s">
        <v>419</v>
      </c>
      <c r="O154" t="s">
        <v>1043</v>
      </c>
      <c r="P154">
        <v>4.812529291456436E-5</v>
      </c>
      <c r="Q154" t="s">
        <v>251</v>
      </c>
      <c r="S154" t="s">
        <v>420</v>
      </c>
      <c r="T154" t="s">
        <v>1043</v>
      </c>
      <c r="U154">
        <v>7.9181033753468051E-5</v>
      </c>
      <c r="V154" t="s">
        <v>251</v>
      </c>
      <c r="X154">
        <v>1.1415525114155251E-4</v>
      </c>
      <c r="Y154">
        <v>2.9833677249334962E-5</v>
      </c>
      <c r="Z154" t="s">
        <v>1043</v>
      </c>
      <c r="AA154" t="s">
        <v>25</v>
      </c>
      <c r="AC154" t="s">
        <v>22</v>
      </c>
      <c r="AD154" t="s">
        <v>1043</v>
      </c>
      <c r="AE154">
        <v>1.4573501250112467E-4</v>
      </c>
      <c r="AG154" t="s">
        <v>99</v>
      </c>
      <c r="AH154" t="s">
        <v>1043</v>
      </c>
      <c r="AI154">
        <v>0</v>
      </c>
    </row>
    <row r="155" spans="5:35" x14ac:dyDescent="0.45">
      <c r="E155" t="s">
        <v>484</v>
      </c>
      <c r="G155" t="s">
        <v>440</v>
      </c>
      <c r="I155" t="s">
        <v>249</v>
      </c>
      <c r="J155" t="s">
        <v>1044</v>
      </c>
      <c r="K155">
        <v>0</v>
      </c>
      <c r="L155" t="s">
        <v>251</v>
      </c>
      <c r="N155" t="s">
        <v>419</v>
      </c>
      <c r="O155" t="s">
        <v>1044</v>
      </c>
      <c r="P155">
        <v>8.3739189678454806E-5</v>
      </c>
      <c r="Q155" t="s">
        <v>251</v>
      </c>
      <c r="S155" t="s">
        <v>420</v>
      </c>
      <c r="T155" t="s">
        <v>1044</v>
      </c>
      <c r="U155">
        <v>1.328668543769E-4</v>
      </c>
      <c r="V155" t="s">
        <v>251</v>
      </c>
      <c r="X155">
        <v>1.1415525114155251E-4</v>
      </c>
      <c r="Y155">
        <v>2.1546544680075254E-5</v>
      </c>
      <c r="Z155" t="s">
        <v>1044</v>
      </c>
      <c r="AA155" t="s">
        <v>25</v>
      </c>
      <c r="AC155" t="s">
        <v>22</v>
      </c>
      <c r="AD155" t="s">
        <v>1044</v>
      </c>
      <c r="AE155">
        <v>1.4410285938888781E-4</v>
      </c>
      <c r="AG155" t="s">
        <v>99</v>
      </c>
      <c r="AH155" t="s">
        <v>1044</v>
      </c>
      <c r="AI155">
        <v>0</v>
      </c>
    </row>
    <row r="156" spans="5:35" x14ac:dyDescent="0.45">
      <c r="E156" t="s">
        <v>485</v>
      </c>
      <c r="G156" t="s">
        <v>440</v>
      </c>
      <c r="I156" t="s">
        <v>249</v>
      </c>
      <c r="J156" t="s">
        <v>1045</v>
      </c>
      <c r="K156">
        <v>0</v>
      </c>
      <c r="L156" t="s">
        <v>251</v>
      </c>
      <c r="N156" t="s">
        <v>419</v>
      </c>
      <c r="O156" t="s">
        <v>1045</v>
      </c>
      <c r="P156">
        <v>7.6016763919878918E-5</v>
      </c>
      <c r="Q156" t="s">
        <v>251</v>
      </c>
      <c r="S156" t="s">
        <v>420</v>
      </c>
      <c r="T156" t="s">
        <v>1045</v>
      </c>
      <c r="U156">
        <v>1.3334865479109999E-4</v>
      </c>
      <c r="V156" t="s">
        <v>251</v>
      </c>
      <c r="X156">
        <v>1.1415525114155251E-4</v>
      </c>
      <c r="Y156">
        <v>1.4916838624667481E-5</v>
      </c>
      <c r="Z156" t="s">
        <v>1045</v>
      </c>
      <c r="AA156" t="s">
        <v>25</v>
      </c>
      <c r="AC156" t="s">
        <v>22</v>
      </c>
      <c r="AD156" t="s">
        <v>1045</v>
      </c>
      <c r="AE156">
        <v>1.3685347859475547E-4</v>
      </c>
      <c r="AG156" t="s">
        <v>99</v>
      </c>
      <c r="AH156" t="s">
        <v>1045</v>
      </c>
      <c r="AI156">
        <v>0</v>
      </c>
    </row>
    <row r="157" spans="5:35" x14ac:dyDescent="0.45">
      <c r="E157" t="s">
        <v>486</v>
      </c>
      <c r="G157" t="s">
        <v>440</v>
      </c>
      <c r="I157" t="s">
        <v>249</v>
      </c>
      <c r="J157" t="s">
        <v>1046</v>
      </c>
      <c r="K157">
        <v>0</v>
      </c>
      <c r="L157" t="s">
        <v>251</v>
      </c>
      <c r="N157" t="s">
        <v>419</v>
      </c>
      <c r="O157" t="s">
        <v>1046</v>
      </c>
      <c r="P157">
        <v>6.5021150300324568E-5</v>
      </c>
      <c r="Q157" t="s">
        <v>251</v>
      </c>
      <c r="S157" t="s">
        <v>420</v>
      </c>
      <c r="T157" t="s">
        <v>1046</v>
      </c>
      <c r="U157">
        <v>1.329086713116E-4</v>
      </c>
      <c r="V157" t="s">
        <v>251</v>
      </c>
      <c r="X157">
        <v>1.1415525114155251E-4</v>
      </c>
      <c r="Y157">
        <v>1.6574265138519424E-5</v>
      </c>
      <c r="Z157" t="s">
        <v>1046</v>
      </c>
      <c r="AA157" t="s">
        <v>25</v>
      </c>
      <c r="AC157" t="s">
        <v>22</v>
      </c>
      <c r="AD157" t="s">
        <v>1046</v>
      </c>
      <c r="AE157">
        <v>1.3455416800598383E-4</v>
      </c>
      <c r="AG157" t="s">
        <v>99</v>
      </c>
      <c r="AH157" t="s">
        <v>1046</v>
      </c>
      <c r="AI157">
        <v>0</v>
      </c>
    </row>
    <row r="158" spans="5:35" x14ac:dyDescent="0.45">
      <c r="E158" t="s">
        <v>487</v>
      </c>
      <c r="G158" t="s">
        <v>440</v>
      </c>
      <c r="I158" t="s">
        <v>249</v>
      </c>
      <c r="J158" t="s">
        <v>1047</v>
      </c>
      <c r="K158">
        <v>0</v>
      </c>
      <c r="L158" t="s">
        <v>251</v>
      </c>
      <c r="N158" t="s">
        <v>419</v>
      </c>
      <c r="O158" t="s">
        <v>1047</v>
      </c>
      <c r="P158">
        <v>6.0523558355295122E-5</v>
      </c>
      <c r="Q158" t="s">
        <v>251</v>
      </c>
      <c r="S158" t="s">
        <v>420</v>
      </c>
      <c r="T158" t="s">
        <v>1047</v>
      </c>
      <c r="U158">
        <v>1.3005659459599999E-4</v>
      </c>
      <c r="V158" t="s">
        <v>251</v>
      </c>
      <c r="X158">
        <v>1.1415525114155251E-4</v>
      </c>
      <c r="Y158">
        <v>1.4585353321897093E-5</v>
      </c>
      <c r="Z158" t="s">
        <v>1047</v>
      </c>
      <c r="AA158" t="s">
        <v>25</v>
      </c>
      <c r="AC158" t="s">
        <v>22</v>
      </c>
      <c r="AD158" t="s">
        <v>1047</v>
      </c>
      <c r="AE158">
        <v>1.3455416800598383E-4</v>
      </c>
      <c r="AG158" t="s">
        <v>99</v>
      </c>
      <c r="AH158" t="s">
        <v>1047</v>
      </c>
      <c r="AI158">
        <v>0</v>
      </c>
    </row>
    <row r="159" spans="5:35" x14ac:dyDescent="0.45">
      <c r="E159" t="s">
        <v>488</v>
      </c>
      <c r="G159" t="s">
        <v>440</v>
      </c>
      <c r="I159" t="s">
        <v>249</v>
      </c>
      <c r="J159" t="s">
        <v>1048</v>
      </c>
      <c r="K159">
        <v>0</v>
      </c>
      <c r="L159" t="s">
        <v>251</v>
      </c>
      <c r="N159" t="s">
        <v>419</v>
      </c>
      <c r="O159" t="s">
        <v>1048</v>
      </c>
      <c r="P159">
        <v>5.875369568237601E-5</v>
      </c>
      <c r="Q159" t="s">
        <v>251</v>
      </c>
      <c r="S159" t="s">
        <v>420</v>
      </c>
      <c r="T159" t="s">
        <v>1048</v>
      </c>
      <c r="U159">
        <v>1.243665584161E-4</v>
      </c>
      <c r="V159" t="s">
        <v>251</v>
      </c>
      <c r="X159">
        <v>1.1415525114155251E-4</v>
      </c>
      <c r="Y159">
        <v>2.1215059377304864E-5</v>
      </c>
      <c r="Z159" t="s">
        <v>1048</v>
      </c>
      <c r="AA159" t="s">
        <v>25</v>
      </c>
      <c r="AC159" t="s">
        <v>22</v>
      </c>
      <c r="AD159" t="s">
        <v>1048</v>
      </c>
      <c r="AE159">
        <v>1.3363682647574851E-4</v>
      </c>
      <c r="AG159" t="s">
        <v>99</v>
      </c>
      <c r="AH159" t="s">
        <v>1048</v>
      </c>
      <c r="AI159">
        <v>0</v>
      </c>
    </row>
    <row r="160" spans="5:35" x14ac:dyDescent="0.45">
      <c r="E160" t="s">
        <v>489</v>
      </c>
      <c r="G160" t="s">
        <v>440</v>
      </c>
      <c r="I160" t="s">
        <v>249</v>
      </c>
      <c r="J160" t="s">
        <v>1049</v>
      </c>
      <c r="K160">
        <v>0</v>
      </c>
      <c r="L160" t="s">
        <v>251</v>
      </c>
      <c r="N160" t="s">
        <v>419</v>
      </c>
      <c r="O160" t="s">
        <v>1049</v>
      </c>
      <c r="P160">
        <v>6.1409602075456569E-5</v>
      </c>
      <c r="Q160" t="s">
        <v>251</v>
      </c>
      <c r="S160" t="s">
        <v>420</v>
      </c>
      <c r="T160" t="s">
        <v>1049</v>
      </c>
      <c r="U160">
        <v>1.2062876748149999E-4</v>
      </c>
      <c r="V160" t="s">
        <v>251</v>
      </c>
      <c r="X160">
        <v>1.1415525114155251E-4</v>
      </c>
      <c r="Y160">
        <v>5.7678442682047593E-5</v>
      </c>
      <c r="Z160" t="s">
        <v>1049</v>
      </c>
      <c r="AA160" t="s">
        <v>25</v>
      </c>
      <c r="AC160" t="s">
        <v>22</v>
      </c>
      <c r="AD160" t="s">
        <v>1049</v>
      </c>
      <c r="AE160">
        <v>1.3363682647574851E-4</v>
      </c>
      <c r="AG160" t="s">
        <v>99</v>
      </c>
      <c r="AH160" t="s">
        <v>1049</v>
      </c>
      <c r="AI160">
        <v>0</v>
      </c>
    </row>
    <row r="161" spans="5:35" x14ac:dyDescent="0.45">
      <c r="E161" t="s">
        <v>490</v>
      </c>
      <c r="G161" t="s">
        <v>440</v>
      </c>
      <c r="I161" t="s">
        <v>249</v>
      </c>
      <c r="J161" t="s">
        <v>1050</v>
      </c>
      <c r="K161">
        <v>0</v>
      </c>
      <c r="L161" t="s">
        <v>251</v>
      </c>
      <c r="N161" t="s">
        <v>419</v>
      </c>
      <c r="O161" t="s">
        <v>1050</v>
      </c>
      <c r="P161">
        <v>4.9929423609489733E-5</v>
      </c>
      <c r="Q161" t="s">
        <v>251</v>
      </c>
      <c r="S161" t="s">
        <v>420</v>
      </c>
      <c r="T161" t="s">
        <v>1050</v>
      </c>
      <c r="U161">
        <v>1.191407940291E-4</v>
      </c>
      <c r="V161" t="s">
        <v>251</v>
      </c>
      <c r="X161">
        <v>1.1415525114155251E-4</v>
      </c>
      <c r="Y161">
        <v>1.6905750441289813E-4</v>
      </c>
      <c r="Z161" t="s">
        <v>1050</v>
      </c>
      <c r="AA161" t="s">
        <v>25</v>
      </c>
      <c r="AC161" t="s">
        <v>22</v>
      </c>
      <c r="AD161" t="s">
        <v>1050</v>
      </c>
      <c r="AE161">
        <v>1.3518558490341852E-4</v>
      </c>
      <c r="AG161" t="s">
        <v>99</v>
      </c>
      <c r="AH161" t="s">
        <v>1050</v>
      </c>
      <c r="AI161">
        <v>0</v>
      </c>
    </row>
    <row r="162" spans="5:35" x14ac:dyDescent="0.45">
      <c r="E162" t="s">
        <v>491</v>
      </c>
      <c r="G162" t="s">
        <v>440</v>
      </c>
      <c r="I162" t="s">
        <v>249</v>
      </c>
      <c r="J162" t="s">
        <v>1051</v>
      </c>
      <c r="K162">
        <v>2.0258527715656385E-5</v>
      </c>
      <c r="L162" t="s">
        <v>251</v>
      </c>
      <c r="N162" t="s">
        <v>419</v>
      </c>
      <c r="O162" t="s">
        <v>1051</v>
      </c>
      <c r="P162">
        <v>3.4322400285957308E-5</v>
      </c>
      <c r="Q162" t="s">
        <v>251</v>
      </c>
      <c r="S162" t="s">
        <v>420</v>
      </c>
      <c r="T162" t="s">
        <v>1051</v>
      </c>
      <c r="U162">
        <v>1.129329243716E-4</v>
      </c>
      <c r="V162" t="s">
        <v>251</v>
      </c>
      <c r="X162">
        <v>1.1415525114155251E-4</v>
      </c>
      <c r="Y162">
        <v>1.9060404909297337E-4</v>
      </c>
      <c r="Z162" t="s">
        <v>1051</v>
      </c>
      <c r="AA162" t="s">
        <v>25</v>
      </c>
      <c r="AC162" t="s">
        <v>22</v>
      </c>
      <c r="AD162" t="s">
        <v>1051</v>
      </c>
      <c r="AE162">
        <v>1.471110247964777E-4</v>
      </c>
      <c r="AG162" t="s">
        <v>99</v>
      </c>
      <c r="AH162" t="s">
        <v>1051</v>
      </c>
      <c r="AI162">
        <v>0</v>
      </c>
    </row>
    <row r="163" spans="5:35" x14ac:dyDescent="0.45">
      <c r="E163" t="s">
        <v>492</v>
      </c>
      <c r="G163" t="s">
        <v>440</v>
      </c>
      <c r="I163" t="s">
        <v>249</v>
      </c>
      <c r="J163" t="s">
        <v>1052</v>
      </c>
      <c r="K163">
        <v>8.3769397955620961E-5</v>
      </c>
      <c r="L163" t="s">
        <v>251</v>
      </c>
      <c r="N163" t="s">
        <v>419</v>
      </c>
      <c r="O163" t="s">
        <v>1052</v>
      </c>
      <c r="P163">
        <v>2.865237725503887E-5</v>
      </c>
      <c r="Q163" t="s">
        <v>251</v>
      </c>
      <c r="S163" t="s">
        <v>420</v>
      </c>
      <c r="T163" t="s">
        <v>1052</v>
      </c>
      <c r="U163">
        <v>1.1224552391319999E-4</v>
      </c>
      <c r="V163" t="s">
        <v>251</v>
      </c>
      <c r="X163">
        <v>1.1415525114155251E-4</v>
      </c>
      <c r="Y163">
        <v>1.4585353321897094E-4</v>
      </c>
      <c r="Z163" t="s">
        <v>1052</v>
      </c>
      <c r="AA163" t="s">
        <v>25</v>
      </c>
      <c r="AC163" t="s">
        <v>22</v>
      </c>
      <c r="AD163" t="s">
        <v>1052</v>
      </c>
      <c r="AE163">
        <v>1.4953542741209962E-4</v>
      </c>
      <c r="AG163" t="s">
        <v>99</v>
      </c>
      <c r="AH163" t="s">
        <v>1052</v>
      </c>
      <c r="AI163">
        <v>0</v>
      </c>
    </row>
    <row r="164" spans="5:35" x14ac:dyDescent="0.45">
      <c r="E164" t="s">
        <v>493</v>
      </c>
      <c r="G164" t="s">
        <v>440</v>
      </c>
      <c r="I164" t="s">
        <v>249</v>
      </c>
      <c r="J164" t="s">
        <v>1053</v>
      </c>
      <c r="K164">
        <v>1.063198388663E-4</v>
      </c>
      <c r="L164" t="s">
        <v>251</v>
      </c>
      <c r="N164" t="s">
        <v>419</v>
      </c>
      <c r="O164" t="s">
        <v>1053</v>
      </c>
      <c r="P164">
        <v>2.316503633239101E-5</v>
      </c>
      <c r="Q164" t="s">
        <v>251</v>
      </c>
      <c r="S164" t="s">
        <v>420</v>
      </c>
      <c r="T164" t="s">
        <v>1053</v>
      </c>
      <c r="U164">
        <v>1.163935543691E-4</v>
      </c>
      <c r="V164" t="s">
        <v>251</v>
      </c>
      <c r="X164">
        <v>1.1415525114155251E-4</v>
      </c>
      <c r="Y164">
        <v>1.4452759200788939E-4</v>
      </c>
      <c r="Z164" t="s">
        <v>1053</v>
      </c>
      <c r="AA164" t="s">
        <v>25</v>
      </c>
      <c r="AC164" t="s">
        <v>22</v>
      </c>
      <c r="AD164" t="s">
        <v>1053</v>
      </c>
      <c r="AE164">
        <v>1.5047063923188494E-4</v>
      </c>
      <c r="AG164" t="s">
        <v>99</v>
      </c>
      <c r="AH164" t="s">
        <v>1053</v>
      </c>
      <c r="AI164">
        <v>0</v>
      </c>
    </row>
    <row r="165" spans="5:35" x14ac:dyDescent="0.45">
      <c r="E165" t="s">
        <v>494</v>
      </c>
      <c r="G165" t="s">
        <v>440</v>
      </c>
      <c r="I165" t="s">
        <v>249</v>
      </c>
      <c r="J165" t="s">
        <v>1054</v>
      </c>
      <c r="K165">
        <v>1.239481585784E-4</v>
      </c>
      <c r="L165" t="s">
        <v>251</v>
      </c>
      <c r="N165" t="s">
        <v>419</v>
      </c>
      <c r="O165" t="s">
        <v>1054</v>
      </c>
      <c r="P165">
        <v>1.8638963886346797E-5</v>
      </c>
      <c r="Q165" t="s">
        <v>251</v>
      </c>
      <c r="S165" t="s">
        <v>420</v>
      </c>
      <c r="T165" t="s">
        <v>1054</v>
      </c>
      <c r="U165">
        <v>1.2081631664209999E-4</v>
      </c>
      <c r="V165" t="s">
        <v>251</v>
      </c>
      <c r="X165">
        <v>1.1415525114155251E-4</v>
      </c>
      <c r="Y165">
        <v>1.408812536774151E-4</v>
      </c>
      <c r="Z165" t="s">
        <v>1054</v>
      </c>
      <c r="AA165" t="s">
        <v>25</v>
      </c>
      <c r="AC165" t="s">
        <v>22</v>
      </c>
      <c r="AD165" t="s">
        <v>1054</v>
      </c>
      <c r="AE165">
        <v>1.5656440796844815E-4</v>
      </c>
      <c r="AG165" t="s">
        <v>99</v>
      </c>
      <c r="AH165" t="s">
        <v>1054</v>
      </c>
      <c r="AI165">
        <v>0</v>
      </c>
    </row>
    <row r="166" spans="5:35" x14ac:dyDescent="0.45">
      <c r="E166" t="s">
        <v>495</v>
      </c>
      <c r="G166" t="s">
        <v>440</v>
      </c>
      <c r="I166" t="s">
        <v>249</v>
      </c>
      <c r="J166" t="s">
        <v>1055</v>
      </c>
      <c r="K166">
        <v>1.4685413788340001E-4</v>
      </c>
      <c r="L166" t="s">
        <v>251</v>
      </c>
      <c r="N166" t="s">
        <v>419</v>
      </c>
      <c r="O166" t="s">
        <v>1055</v>
      </c>
      <c r="P166">
        <v>1.8621138341542449E-5</v>
      </c>
      <c r="Q166" t="s">
        <v>251</v>
      </c>
      <c r="S166" t="s">
        <v>420</v>
      </c>
      <c r="T166" t="s">
        <v>1055</v>
      </c>
      <c r="U166">
        <v>1.2727621682159999E-4</v>
      </c>
      <c r="V166" t="s">
        <v>251</v>
      </c>
      <c r="X166">
        <v>1.1415525114155251E-4</v>
      </c>
      <c r="Y166">
        <v>1.4054976837464471E-4</v>
      </c>
      <c r="Z166" t="s">
        <v>1055</v>
      </c>
      <c r="AA166" t="s">
        <v>25</v>
      </c>
      <c r="AC166" t="s">
        <v>22</v>
      </c>
      <c r="AD166" t="s">
        <v>1055</v>
      </c>
      <c r="AE166">
        <v>1.5099483439201942E-4</v>
      </c>
      <c r="AG166" t="s">
        <v>99</v>
      </c>
      <c r="AH166" t="s">
        <v>1055</v>
      </c>
      <c r="AI166">
        <v>0</v>
      </c>
    </row>
    <row r="167" spans="5:35" x14ac:dyDescent="0.45">
      <c r="E167" t="s">
        <v>496</v>
      </c>
      <c r="G167" t="s">
        <v>440</v>
      </c>
      <c r="I167" t="s">
        <v>249</v>
      </c>
      <c r="J167" t="s">
        <v>1056</v>
      </c>
      <c r="K167">
        <v>1.8592033876399999E-4</v>
      </c>
      <c r="L167" t="s">
        <v>251</v>
      </c>
      <c r="N167" t="s">
        <v>419</v>
      </c>
      <c r="O167" t="s">
        <v>1056</v>
      </c>
      <c r="P167">
        <v>1.7401663412560423E-5</v>
      </c>
      <c r="Q167" t="s">
        <v>251</v>
      </c>
      <c r="S167" t="s">
        <v>420</v>
      </c>
      <c r="T167" t="s">
        <v>1056</v>
      </c>
      <c r="U167">
        <v>1.2827560162219999E-4</v>
      </c>
      <c r="V167" t="s">
        <v>251</v>
      </c>
      <c r="X167">
        <v>1.1415525114155251E-4</v>
      </c>
      <c r="Y167">
        <v>1.4253868019126702E-4</v>
      </c>
      <c r="Z167" t="s">
        <v>1056</v>
      </c>
      <c r="AA167" t="s">
        <v>25</v>
      </c>
      <c r="AC167" t="s">
        <v>22</v>
      </c>
      <c r="AD167" t="s">
        <v>1056</v>
      </c>
      <c r="AE167">
        <v>1.3788995538865771E-4</v>
      </c>
      <c r="AG167" t="s">
        <v>99</v>
      </c>
      <c r="AH167" t="s">
        <v>1056</v>
      </c>
      <c r="AI167">
        <v>0</v>
      </c>
    </row>
    <row r="168" spans="5:35" x14ac:dyDescent="0.45">
      <c r="E168" t="s">
        <v>497</v>
      </c>
      <c r="G168" t="s">
        <v>440</v>
      </c>
      <c r="I168" t="s">
        <v>249</v>
      </c>
      <c r="J168" t="s">
        <v>1057</v>
      </c>
      <c r="K168">
        <v>1.7827755036300001E-4</v>
      </c>
      <c r="L168" t="s">
        <v>251</v>
      </c>
      <c r="N168" t="s">
        <v>419</v>
      </c>
      <c r="O168" t="s">
        <v>1057</v>
      </c>
      <c r="P168">
        <v>1.7061234733236864E-5</v>
      </c>
      <c r="Q168" t="s">
        <v>251</v>
      </c>
      <c r="S168" t="s">
        <v>420</v>
      </c>
      <c r="T168" t="s">
        <v>1057</v>
      </c>
      <c r="U168">
        <v>1.2702886887550001E-4</v>
      </c>
      <c r="V168" t="s">
        <v>251</v>
      </c>
      <c r="X168">
        <v>1.1415525114155251E-4</v>
      </c>
      <c r="Y168">
        <v>1.4883690094390442E-4</v>
      </c>
      <c r="Z168" t="s">
        <v>1057</v>
      </c>
      <c r="AA168" t="s">
        <v>25</v>
      </c>
      <c r="AC168" t="s">
        <v>22</v>
      </c>
      <c r="AD168" t="s">
        <v>1057</v>
      </c>
      <c r="AE168">
        <v>1.2184839213590631E-4</v>
      </c>
      <c r="AG168" t="s">
        <v>99</v>
      </c>
      <c r="AH168" t="s">
        <v>1057</v>
      </c>
      <c r="AI168">
        <v>0</v>
      </c>
    </row>
    <row r="169" spans="5:35" x14ac:dyDescent="0.45">
      <c r="E169" t="s">
        <v>498</v>
      </c>
      <c r="G169" t="s">
        <v>440</v>
      </c>
      <c r="I169" t="s">
        <v>249</v>
      </c>
      <c r="J169" t="s">
        <v>1058</v>
      </c>
      <c r="K169">
        <v>1.569608626681E-4</v>
      </c>
      <c r="L169" t="s">
        <v>251</v>
      </c>
      <c r="N169" t="s">
        <v>419</v>
      </c>
      <c r="O169" t="s">
        <v>1058</v>
      </c>
      <c r="P169">
        <v>1.558809941223981E-5</v>
      </c>
      <c r="Q169" t="s">
        <v>251</v>
      </c>
      <c r="S169" t="s">
        <v>420</v>
      </c>
      <c r="T169" t="s">
        <v>1058</v>
      </c>
      <c r="U169">
        <v>1.308586966076E-4</v>
      </c>
      <c r="V169" t="s">
        <v>251</v>
      </c>
      <c r="X169">
        <v>1.1415525114155251E-4</v>
      </c>
      <c r="Y169">
        <v>1.5049432745775637E-4</v>
      </c>
      <c r="Z169" t="s">
        <v>1058</v>
      </c>
      <c r="AA169" t="s">
        <v>25</v>
      </c>
      <c r="AC169" t="s">
        <v>22</v>
      </c>
      <c r="AD169" t="s">
        <v>1058</v>
      </c>
      <c r="AE169">
        <v>1.1131087806456683E-4</v>
      </c>
      <c r="AG169" t="s">
        <v>99</v>
      </c>
      <c r="AH169" t="s">
        <v>1058</v>
      </c>
      <c r="AI169">
        <v>0</v>
      </c>
    </row>
    <row r="170" spans="5:35" x14ac:dyDescent="0.45">
      <c r="E170" t="s">
        <v>499</v>
      </c>
      <c r="G170" t="s">
        <v>440</v>
      </c>
      <c r="I170" t="s">
        <v>249</v>
      </c>
      <c r="J170" t="s">
        <v>1059</v>
      </c>
      <c r="K170">
        <v>1.475586141245E-4</v>
      </c>
      <c r="L170" t="s">
        <v>251</v>
      </c>
      <c r="N170" t="s">
        <v>419</v>
      </c>
      <c r="O170" t="s">
        <v>1059</v>
      </c>
      <c r="P170">
        <v>1.6817611051906158E-5</v>
      </c>
      <c r="Q170" t="s">
        <v>251</v>
      </c>
      <c r="S170" t="s">
        <v>420</v>
      </c>
      <c r="T170" t="s">
        <v>1059</v>
      </c>
      <c r="U170">
        <v>1.3208056716140001E-4</v>
      </c>
      <c r="V170" t="s">
        <v>251</v>
      </c>
      <c r="X170">
        <v>1.1415525114155251E-4</v>
      </c>
      <c r="Y170">
        <v>1.7237235744060203E-4</v>
      </c>
      <c r="Z170" t="s">
        <v>1059</v>
      </c>
      <c r="AA170" t="s">
        <v>25</v>
      </c>
      <c r="AC170" t="s">
        <v>22</v>
      </c>
      <c r="AD170" t="s">
        <v>1059</v>
      </c>
      <c r="AE170">
        <v>9.1004272372539519E-5</v>
      </c>
      <c r="AG170" t="s">
        <v>99</v>
      </c>
      <c r="AH170" t="s">
        <v>1059</v>
      </c>
      <c r="AI170">
        <v>0</v>
      </c>
    </row>
    <row r="171" spans="5:35" x14ac:dyDescent="0.45">
      <c r="E171" t="s">
        <v>500</v>
      </c>
      <c r="G171" t="s">
        <v>440</v>
      </c>
      <c r="I171" t="s">
        <v>249</v>
      </c>
      <c r="J171" t="s">
        <v>1060</v>
      </c>
      <c r="K171">
        <v>1.2083521290970001E-4</v>
      </c>
      <c r="L171" t="s">
        <v>251</v>
      </c>
      <c r="N171" t="s">
        <v>419</v>
      </c>
      <c r="O171" t="s">
        <v>1060</v>
      </c>
      <c r="P171">
        <v>2.3260276056376791E-5</v>
      </c>
      <c r="Q171" t="s">
        <v>251</v>
      </c>
      <c r="S171" t="s">
        <v>420</v>
      </c>
      <c r="T171" t="s">
        <v>1060</v>
      </c>
      <c r="U171">
        <v>1.312704369418E-4</v>
      </c>
      <c r="V171" t="s">
        <v>251</v>
      </c>
      <c r="X171">
        <v>1.1415525114155251E-4</v>
      </c>
      <c r="Y171">
        <v>2.2209515285616027E-4</v>
      </c>
      <c r="Z171" t="s">
        <v>1060</v>
      </c>
      <c r="AA171" t="s">
        <v>25</v>
      </c>
      <c r="AC171" t="s">
        <v>22</v>
      </c>
      <c r="AD171" t="s">
        <v>1060</v>
      </c>
      <c r="AE171">
        <v>8.6977500460597474E-5</v>
      </c>
      <c r="AG171" t="s">
        <v>99</v>
      </c>
      <c r="AH171" t="s">
        <v>1060</v>
      </c>
      <c r="AI171">
        <v>0</v>
      </c>
    </row>
    <row r="172" spans="5:35" x14ac:dyDescent="0.45">
      <c r="E172" t="s">
        <v>501</v>
      </c>
      <c r="G172" t="s">
        <v>440</v>
      </c>
      <c r="I172" t="s">
        <v>249</v>
      </c>
      <c r="J172" t="s">
        <v>1061</v>
      </c>
      <c r="K172">
        <v>8.8511115215341818E-5</v>
      </c>
      <c r="L172" t="s">
        <v>251</v>
      </c>
      <c r="N172" t="s">
        <v>419</v>
      </c>
      <c r="O172" t="s">
        <v>1061</v>
      </c>
      <c r="P172">
        <v>2.8039063459807827E-5</v>
      </c>
      <c r="Q172" t="s">
        <v>251</v>
      </c>
      <c r="S172" t="s">
        <v>420</v>
      </c>
      <c r="T172" t="s">
        <v>1061</v>
      </c>
      <c r="U172">
        <v>1.3180692190290001E-4</v>
      </c>
      <c r="V172" t="s">
        <v>251</v>
      </c>
      <c r="X172">
        <v>1.1415525114155251E-4</v>
      </c>
      <c r="Y172">
        <v>2.2209515285616027E-4</v>
      </c>
      <c r="Z172" t="s">
        <v>1061</v>
      </c>
      <c r="AA172" t="s">
        <v>25</v>
      </c>
      <c r="AC172" t="s">
        <v>22</v>
      </c>
      <c r="AD172" t="s">
        <v>1061</v>
      </c>
      <c r="AE172">
        <v>8.2545668652187875E-5</v>
      </c>
      <c r="AG172" t="s">
        <v>99</v>
      </c>
      <c r="AH172" t="s">
        <v>1061</v>
      </c>
      <c r="AI172">
        <v>0</v>
      </c>
    </row>
    <row r="173" spans="5:35" x14ac:dyDescent="0.45">
      <c r="E173" t="s">
        <v>502</v>
      </c>
      <c r="G173" t="s">
        <v>440</v>
      </c>
      <c r="I173" t="s">
        <v>249</v>
      </c>
      <c r="J173" t="s">
        <v>1062</v>
      </c>
      <c r="K173">
        <v>1.3462704139552823E-5</v>
      </c>
      <c r="L173" t="s">
        <v>251</v>
      </c>
      <c r="N173" t="s">
        <v>419</v>
      </c>
      <c r="O173" t="s">
        <v>1062</v>
      </c>
      <c r="P173">
        <v>3.28179370112963E-5</v>
      </c>
      <c r="Q173" t="s">
        <v>251</v>
      </c>
      <c r="S173" t="s">
        <v>420</v>
      </c>
      <c r="T173" t="s">
        <v>1062</v>
      </c>
      <c r="U173">
        <v>1.3650929392709999E-4</v>
      </c>
      <c r="V173" t="s">
        <v>251</v>
      </c>
      <c r="X173">
        <v>1.1415525114155251E-4</v>
      </c>
      <c r="Y173">
        <v>1.7237235744060203E-4</v>
      </c>
      <c r="Z173" t="s">
        <v>1062</v>
      </c>
      <c r="AA173" t="s">
        <v>25</v>
      </c>
      <c r="AC173" t="s">
        <v>22</v>
      </c>
      <c r="AD173" t="s">
        <v>1062</v>
      </c>
      <c r="AE173">
        <v>8.3760848341590509E-5</v>
      </c>
      <c r="AG173" t="s">
        <v>99</v>
      </c>
      <c r="AH173" t="s">
        <v>1062</v>
      </c>
      <c r="AI173">
        <v>0</v>
      </c>
    </row>
    <row r="174" spans="5:35" x14ac:dyDescent="0.45">
      <c r="E174" t="s">
        <v>503</v>
      </c>
      <c r="G174" t="s">
        <v>440</v>
      </c>
      <c r="I174" t="s">
        <v>249</v>
      </c>
      <c r="J174" t="s">
        <v>1063</v>
      </c>
      <c r="K174">
        <v>0</v>
      </c>
      <c r="L174" t="s">
        <v>251</v>
      </c>
      <c r="N174" t="s">
        <v>419</v>
      </c>
      <c r="O174" t="s">
        <v>1063</v>
      </c>
      <c r="P174">
        <v>4.0407627871866323E-5</v>
      </c>
      <c r="Q174" t="s">
        <v>251</v>
      </c>
      <c r="S174" t="s">
        <v>420</v>
      </c>
      <c r="T174" t="s">
        <v>1063</v>
      </c>
      <c r="U174">
        <v>1.2275238908560001E-4</v>
      </c>
      <c r="V174" t="s">
        <v>251</v>
      </c>
      <c r="X174">
        <v>1.1415525114155251E-4</v>
      </c>
      <c r="Y174">
        <v>1.5579809230208258E-4</v>
      </c>
      <c r="Z174" t="s">
        <v>1063</v>
      </c>
      <c r="AA174" t="s">
        <v>25</v>
      </c>
      <c r="AC174" t="s">
        <v>22</v>
      </c>
      <c r="AD174" t="s">
        <v>1063</v>
      </c>
      <c r="AE174">
        <v>8.7346819777964939E-5</v>
      </c>
      <c r="AG174" t="s">
        <v>99</v>
      </c>
      <c r="AH174" t="s">
        <v>1063</v>
      </c>
      <c r="AI174">
        <v>0</v>
      </c>
    </row>
    <row r="175" spans="5:35" x14ac:dyDescent="0.45">
      <c r="E175" t="s">
        <v>504</v>
      </c>
      <c r="G175" t="s">
        <v>440</v>
      </c>
      <c r="I175" t="s">
        <v>249</v>
      </c>
      <c r="J175" t="s">
        <v>1064</v>
      </c>
      <c r="K175">
        <v>0</v>
      </c>
      <c r="L175" t="s">
        <v>251</v>
      </c>
      <c r="N175" t="s">
        <v>419</v>
      </c>
      <c r="O175" t="s">
        <v>1064</v>
      </c>
      <c r="P175">
        <v>4.6243725635627727E-5</v>
      </c>
      <c r="Q175" t="s">
        <v>251</v>
      </c>
      <c r="S175" t="s">
        <v>420</v>
      </c>
      <c r="T175" t="s">
        <v>1064</v>
      </c>
      <c r="U175">
        <v>1.125942480226E-4</v>
      </c>
      <c r="V175" t="s">
        <v>251</v>
      </c>
      <c r="X175">
        <v>1.1415525114155251E-4</v>
      </c>
      <c r="Y175">
        <v>1.093901499142282E-4</v>
      </c>
      <c r="Z175" t="s">
        <v>1064</v>
      </c>
      <c r="AA175" t="s">
        <v>25</v>
      </c>
      <c r="AC175" t="s">
        <v>22</v>
      </c>
      <c r="AD175" t="s">
        <v>1064</v>
      </c>
      <c r="AE175">
        <v>1.0344795066254981E-4</v>
      </c>
      <c r="AG175" t="s">
        <v>99</v>
      </c>
      <c r="AH175" t="s">
        <v>1064</v>
      </c>
      <c r="AI175">
        <v>0</v>
      </c>
    </row>
    <row r="176" spans="5:35" x14ac:dyDescent="0.45">
      <c r="E176" t="s">
        <v>505</v>
      </c>
      <c r="G176" t="s">
        <v>440</v>
      </c>
      <c r="I176" t="s">
        <v>249</v>
      </c>
      <c r="J176" t="s">
        <v>1065</v>
      </c>
      <c r="K176">
        <v>0</v>
      </c>
      <c r="L176" t="s">
        <v>251</v>
      </c>
      <c r="N176" t="s">
        <v>419</v>
      </c>
      <c r="O176" t="s">
        <v>1065</v>
      </c>
      <c r="P176">
        <v>4.9460460367951277E-5</v>
      </c>
      <c r="Q176" t="s">
        <v>251</v>
      </c>
      <c r="S176" t="s">
        <v>420</v>
      </c>
      <c r="T176" t="s">
        <v>1065</v>
      </c>
      <c r="U176">
        <v>1.225556975459E-4</v>
      </c>
      <c r="V176" t="s">
        <v>251</v>
      </c>
      <c r="X176">
        <v>1.1415525114155251E-4</v>
      </c>
      <c r="Y176">
        <v>7.9556472664893237E-5</v>
      </c>
      <c r="Z176" t="s">
        <v>1065</v>
      </c>
      <c r="AA176" t="s">
        <v>25</v>
      </c>
      <c r="AC176" t="s">
        <v>22</v>
      </c>
      <c r="AD176" t="s">
        <v>1065</v>
      </c>
      <c r="AE176">
        <v>1.2215218705825698E-4</v>
      </c>
      <c r="AG176" t="s">
        <v>99</v>
      </c>
      <c r="AH176" t="s">
        <v>1065</v>
      </c>
      <c r="AI176">
        <v>0</v>
      </c>
    </row>
    <row r="177" spans="5:35" x14ac:dyDescent="0.45">
      <c r="E177" t="s">
        <v>506</v>
      </c>
      <c r="G177" t="s">
        <v>440</v>
      </c>
      <c r="I177" t="s">
        <v>249</v>
      </c>
      <c r="J177" t="s">
        <v>1066</v>
      </c>
      <c r="K177">
        <v>0</v>
      </c>
      <c r="L177" t="s">
        <v>251</v>
      </c>
      <c r="N177" t="s">
        <v>419</v>
      </c>
      <c r="O177" t="s">
        <v>1066</v>
      </c>
      <c r="P177">
        <v>5.1938713869573829E-5</v>
      </c>
      <c r="Q177" t="s">
        <v>251</v>
      </c>
      <c r="S177" t="s">
        <v>420</v>
      </c>
      <c r="T177" t="s">
        <v>1066</v>
      </c>
      <c r="U177">
        <v>1.2468527025460001E-4</v>
      </c>
      <c r="V177" t="s">
        <v>251</v>
      </c>
      <c r="X177">
        <v>1.1415525114155251E-4</v>
      </c>
      <c r="Y177">
        <v>5.6352501470966035E-5</v>
      </c>
      <c r="Z177" t="s">
        <v>1066</v>
      </c>
      <c r="AA177" t="s">
        <v>25</v>
      </c>
      <c r="AC177" t="s">
        <v>22</v>
      </c>
      <c r="AD177" t="s">
        <v>1066</v>
      </c>
      <c r="AE177">
        <v>1.3588848295905339E-4</v>
      </c>
      <c r="AG177" t="s">
        <v>99</v>
      </c>
      <c r="AH177" t="s">
        <v>1066</v>
      </c>
      <c r="AI177">
        <v>0</v>
      </c>
    </row>
    <row r="178" spans="5:35" x14ac:dyDescent="0.45">
      <c r="E178" t="s">
        <v>507</v>
      </c>
      <c r="G178" t="s">
        <v>440</v>
      </c>
      <c r="I178" t="s">
        <v>249</v>
      </c>
      <c r="J178" t="s">
        <v>1067</v>
      </c>
      <c r="K178">
        <v>0</v>
      </c>
      <c r="L178" t="s">
        <v>251</v>
      </c>
      <c r="N178" t="s">
        <v>419</v>
      </c>
      <c r="O178" t="s">
        <v>1067</v>
      </c>
      <c r="P178">
        <v>5.2201188009002901E-5</v>
      </c>
      <c r="Q178" t="s">
        <v>251</v>
      </c>
      <c r="S178" t="s">
        <v>420</v>
      </c>
      <c r="T178" t="s">
        <v>1067</v>
      </c>
      <c r="U178">
        <v>1.211814839095E-4</v>
      </c>
      <c r="V178" t="s">
        <v>251</v>
      </c>
      <c r="X178">
        <v>1.1415525114155251E-4</v>
      </c>
      <c r="Y178">
        <v>2.9833677249334962E-5</v>
      </c>
      <c r="Z178" t="s">
        <v>1067</v>
      </c>
      <c r="AA178" t="s">
        <v>25</v>
      </c>
      <c r="AC178" t="s">
        <v>22</v>
      </c>
      <c r="AD178" t="s">
        <v>1067</v>
      </c>
      <c r="AE178">
        <v>1.4391819973020407E-4</v>
      </c>
      <c r="AG178" t="s">
        <v>99</v>
      </c>
      <c r="AH178" t="s">
        <v>1067</v>
      </c>
      <c r="AI178">
        <v>0</v>
      </c>
    </row>
    <row r="179" spans="5:35" x14ac:dyDescent="0.45">
      <c r="E179" t="s">
        <v>876</v>
      </c>
      <c r="G179" t="s">
        <v>442</v>
      </c>
      <c r="I179" t="s">
        <v>249</v>
      </c>
      <c r="J179" t="s">
        <v>323</v>
      </c>
      <c r="K179">
        <v>0</v>
      </c>
      <c r="L179" t="s">
        <v>251</v>
      </c>
      <c r="N179" t="s">
        <v>419</v>
      </c>
      <c r="O179" t="s">
        <v>323</v>
      </c>
      <c r="P179">
        <v>2.4141775459495713E-2</v>
      </c>
      <c r="Q179" t="s">
        <v>251</v>
      </c>
      <c r="S179" t="s">
        <v>420</v>
      </c>
      <c r="T179" t="s">
        <v>323</v>
      </c>
      <c r="U179">
        <v>2.2693313561102026E-2</v>
      </c>
      <c r="V179" t="s">
        <v>251</v>
      </c>
      <c r="X179">
        <v>2.1232876712328767E-2</v>
      </c>
      <c r="Y179">
        <v>4.5420116185598634E-3</v>
      </c>
      <c r="Z179" t="s">
        <v>323</v>
      </c>
      <c r="AA179" t="s">
        <v>25</v>
      </c>
      <c r="AC179" t="s">
        <v>22</v>
      </c>
      <c r="AD179" t="s">
        <v>323</v>
      </c>
      <c r="AE179">
        <v>2.3979920575086799E-2</v>
      </c>
      <c r="AG179" t="s">
        <v>99</v>
      </c>
      <c r="AH179" t="s">
        <v>323</v>
      </c>
      <c r="AI179">
        <v>0.1032275574828907</v>
      </c>
    </row>
    <row r="180" spans="5:35" x14ac:dyDescent="0.45">
      <c r="E180" t="s">
        <v>877</v>
      </c>
      <c r="G180" t="s">
        <v>442</v>
      </c>
      <c r="I180" t="s">
        <v>249</v>
      </c>
      <c r="J180" t="s">
        <v>324</v>
      </c>
      <c r="K180">
        <v>0</v>
      </c>
      <c r="L180" t="s">
        <v>251</v>
      </c>
      <c r="N180" t="s">
        <v>419</v>
      </c>
      <c r="O180" t="s">
        <v>324</v>
      </c>
      <c r="P180">
        <v>3.8362604124315223E-3</v>
      </c>
      <c r="Q180" t="s">
        <v>251</v>
      </c>
      <c r="S180" t="s">
        <v>420</v>
      </c>
      <c r="T180" t="s">
        <v>324</v>
      </c>
      <c r="U180">
        <v>3.686837046252508E-3</v>
      </c>
      <c r="V180" t="s">
        <v>251</v>
      </c>
      <c r="X180">
        <v>3.5388127853881279E-3</v>
      </c>
      <c r="Y180">
        <v>5.240782636799844E-3</v>
      </c>
      <c r="Z180" t="s">
        <v>324</v>
      </c>
      <c r="AA180" t="s">
        <v>25</v>
      </c>
      <c r="AC180" t="s">
        <v>22</v>
      </c>
      <c r="AD180" t="s">
        <v>324</v>
      </c>
      <c r="AE180">
        <v>3.986693721138578E-3</v>
      </c>
      <c r="AG180" t="s">
        <v>99</v>
      </c>
      <c r="AH180" t="s">
        <v>324</v>
      </c>
      <c r="AI180">
        <v>5.6498111575230325E-2</v>
      </c>
    </row>
    <row r="181" spans="5:35" x14ac:dyDescent="0.45">
      <c r="E181" t="s">
        <v>878</v>
      </c>
      <c r="G181" t="s">
        <v>442</v>
      </c>
      <c r="I181" t="s">
        <v>249</v>
      </c>
      <c r="J181" t="s">
        <v>325</v>
      </c>
      <c r="K181">
        <v>7.8052309015312832E-4</v>
      </c>
      <c r="L181" t="s">
        <v>251</v>
      </c>
      <c r="N181" t="s">
        <v>419</v>
      </c>
      <c r="O181" t="s">
        <v>325</v>
      </c>
      <c r="P181">
        <v>3.7884128657880421E-3</v>
      </c>
      <c r="Q181" t="s">
        <v>251</v>
      </c>
      <c r="S181" t="s">
        <v>420</v>
      </c>
      <c r="T181" t="s">
        <v>325</v>
      </c>
      <c r="U181">
        <v>3.5999580091018047E-3</v>
      </c>
      <c r="V181" t="s">
        <v>251</v>
      </c>
      <c r="X181">
        <v>3.5388127853881279E-3</v>
      </c>
      <c r="Y181">
        <v>5.9087255218821738E-3</v>
      </c>
      <c r="Z181" t="s">
        <v>325</v>
      </c>
      <c r="AA181" t="s">
        <v>25</v>
      </c>
      <c r="AC181" t="s">
        <v>22</v>
      </c>
      <c r="AD181" t="s">
        <v>325</v>
      </c>
      <c r="AE181">
        <v>4.2316119961850413E-3</v>
      </c>
      <c r="AG181" t="s">
        <v>99</v>
      </c>
      <c r="AH181" t="s">
        <v>325</v>
      </c>
      <c r="AI181">
        <v>9.3579735387869789E-2</v>
      </c>
    </row>
    <row r="182" spans="5:35" x14ac:dyDescent="0.45">
      <c r="E182" t="s">
        <v>879</v>
      </c>
      <c r="G182" t="s">
        <v>442</v>
      </c>
      <c r="I182" t="s">
        <v>249</v>
      </c>
      <c r="J182" t="s">
        <v>326</v>
      </c>
      <c r="K182">
        <v>3.598844042367861E-2</v>
      </c>
      <c r="L182" t="s">
        <v>251</v>
      </c>
      <c r="N182" t="s">
        <v>419</v>
      </c>
      <c r="O182" t="s">
        <v>326</v>
      </c>
      <c r="P182">
        <v>1.7718370554977197E-2</v>
      </c>
      <c r="Q182" t="s">
        <v>251</v>
      </c>
      <c r="S182" t="s">
        <v>420</v>
      </c>
      <c r="T182" t="s">
        <v>326</v>
      </c>
      <c r="U182">
        <v>2.1919812724936486E-2</v>
      </c>
      <c r="V182" t="s">
        <v>251</v>
      </c>
      <c r="X182">
        <v>2.1232876712328767E-2</v>
      </c>
      <c r="Y182">
        <v>2.6758819580836844E-2</v>
      </c>
      <c r="Z182" t="s">
        <v>326</v>
      </c>
      <c r="AA182" t="s">
        <v>25</v>
      </c>
      <c r="AC182" t="s">
        <v>22</v>
      </c>
      <c r="AD182" t="s">
        <v>326</v>
      </c>
      <c r="AE182">
        <v>2.52893600851027E-2</v>
      </c>
      <c r="AG182" t="s">
        <v>99</v>
      </c>
      <c r="AH182" t="s">
        <v>326</v>
      </c>
      <c r="AI182">
        <v>0.13028808653136692</v>
      </c>
    </row>
    <row r="183" spans="5:35" x14ac:dyDescent="0.45">
      <c r="E183" t="s">
        <v>880</v>
      </c>
      <c r="G183" t="s">
        <v>442</v>
      </c>
      <c r="I183" t="s">
        <v>249</v>
      </c>
      <c r="J183" t="s">
        <v>327</v>
      </c>
      <c r="K183">
        <v>1.6768638501399199E-2</v>
      </c>
      <c r="L183" t="s">
        <v>251</v>
      </c>
      <c r="N183" t="s">
        <v>419</v>
      </c>
      <c r="O183" t="s">
        <v>327</v>
      </c>
      <c r="P183">
        <v>8.0509621699873263E-3</v>
      </c>
      <c r="Q183" t="s">
        <v>251</v>
      </c>
      <c r="S183" t="s">
        <v>420</v>
      </c>
      <c r="T183" t="s">
        <v>327</v>
      </c>
      <c r="U183">
        <v>1.0995196107660529E-2</v>
      </c>
      <c r="V183" t="s">
        <v>251</v>
      </c>
      <c r="X183">
        <v>1.0616438356164383E-2</v>
      </c>
      <c r="Y183">
        <v>1.6893816970390073E-2</v>
      </c>
      <c r="Z183" t="s">
        <v>327</v>
      </c>
      <c r="AA183" t="s">
        <v>25</v>
      </c>
      <c r="AC183" t="s">
        <v>22</v>
      </c>
      <c r="AD183" t="s">
        <v>327</v>
      </c>
      <c r="AE183">
        <v>8.9752722242677878E-3</v>
      </c>
      <c r="AG183" t="s">
        <v>99</v>
      </c>
      <c r="AH183" t="s">
        <v>327</v>
      </c>
      <c r="AI183">
        <v>0.11180787818753379</v>
      </c>
    </row>
    <row r="184" spans="5:35" x14ac:dyDescent="0.45">
      <c r="E184" t="s">
        <v>881</v>
      </c>
      <c r="G184" t="s">
        <v>442</v>
      </c>
      <c r="I184" t="s">
        <v>249</v>
      </c>
      <c r="J184" t="s">
        <v>328</v>
      </c>
      <c r="K184">
        <v>3.9152964462415398E-3</v>
      </c>
      <c r="L184" t="s">
        <v>251</v>
      </c>
      <c r="N184" t="s">
        <v>419</v>
      </c>
      <c r="O184" t="s">
        <v>328</v>
      </c>
      <c r="P184">
        <v>2.6456635384339232E-3</v>
      </c>
      <c r="Q184" t="s">
        <v>251</v>
      </c>
      <c r="S184" t="s">
        <v>420</v>
      </c>
      <c r="T184" t="s">
        <v>328</v>
      </c>
      <c r="U184">
        <v>3.6218907938387621E-3</v>
      </c>
      <c r="V184" t="s">
        <v>251</v>
      </c>
      <c r="X184">
        <v>3.5388127853881279E-3</v>
      </c>
      <c r="Y184">
        <v>6.8849497385409693E-3</v>
      </c>
      <c r="Z184" t="s">
        <v>328</v>
      </c>
      <c r="AA184" t="s">
        <v>25</v>
      </c>
      <c r="AC184" t="s">
        <v>22</v>
      </c>
      <c r="AD184" t="s">
        <v>328</v>
      </c>
      <c r="AE184">
        <v>2.5747442735004709E-3</v>
      </c>
      <c r="AG184" t="s">
        <v>99</v>
      </c>
      <c r="AH184" t="s">
        <v>328</v>
      </c>
      <c r="AI184">
        <v>2.9026495980946754E-2</v>
      </c>
    </row>
    <row r="185" spans="5:35" x14ac:dyDescent="0.45">
      <c r="E185" t="s">
        <v>882</v>
      </c>
      <c r="G185" t="s">
        <v>442</v>
      </c>
      <c r="I185" t="s">
        <v>249</v>
      </c>
      <c r="J185" t="s">
        <v>329</v>
      </c>
      <c r="K185">
        <v>9.7688216512112434E-4</v>
      </c>
      <c r="L185" t="s">
        <v>251</v>
      </c>
      <c r="N185" t="s">
        <v>419</v>
      </c>
      <c r="O185" t="s">
        <v>329</v>
      </c>
      <c r="P185">
        <v>2.930497437883046E-3</v>
      </c>
      <c r="Q185" t="s">
        <v>251</v>
      </c>
      <c r="S185" t="s">
        <v>420</v>
      </c>
      <c r="T185" t="s">
        <v>329</v>
      </c>
      <c r="U185">
        <v>3.5799806164893669E-3</v>
      </c>
      <c r="V185" t="s">
        <v>251</v>
      </c>
      <c r="X185">
        <v>3.5388127853881279E-3</v>
      </c>
      <c r="Y185">
        <v>5.3435430806586613E-3</v>
      </c>
      <c r="Z185" t="s">
        <v>329</v>
      </c>
      <c r="AA185" t="s">
        <v>25</v>
      </c>
      <c r="AC185" t="s">
        <v>22</v>
      </c>
      <c r="AD185" t="s">
        <v>329</v>
      </c>
      <c r="AE185">
        <v>2.6002451766883763E-3</v>
      </c>
      <c r="AG185" t="s">
        <v>99</v>
      </c>
      <c r="AH185" t="s">
        <v>329</v>
      </c>
      <c r="AI185">
        <v>3.6642143420682283E-2</v>
      </c>
    </row>
    <row r="186" spans="5:35" x14ac:dyDescent="0.45">
      <c r="E186" t="s">
        <v>883</v>
      </c>
      <c r="G186" t="s">
        <v>442</v>
      </c>
      <c r="I186" t="s">
        <v>249</v>
      </c>
      <c r="J186" t="s">
        <v>330</v>
      </c>
      <c r="K186">
        <v>0</v>
      </c>
      <c r="L186" t="s">
        <v>251</v>
      </c>
      <c r="N186" t="s">
        <v>419</v>
      </c>
      <c r="O186" t="s">
        <v>330</v>
      </c>
      <c r="P186">
        <v>1.9050993178450711E-2</v>
      </c>
      <c r="Q186" t="s">
        <v>251</v>
      </c>
      <c r="S186" t="s">
        <v>420</v>
      </c>
      <c r="T186" t="s">
        <v>330</v>
      </c>
      <c r="U186">
        <v>1.8281068833678568E-2</v>
      </c>
      <c r="V186" t="s">
        <v>251</v>
      </c>
      <c r="X186">
        <v>1.7694063926940638E-2</v>
      </c>
      <c r="Y186">
        <v>1.3358857701646654E-2</v>
      </c>
      <c r="Z186" t="s">
        <v>330</v>
      </c>
      <c r="AA186" t="s">
        <v>25</v>
      </c>
      <c r="AC186" t="s">
        <v>22</v>
      </c>
      <c r="AD186" t="s">
        <v>330</v>
      </c>
      <c r="AE186">
        <v>1.7683837421870352E-2</v>
      </c>
      <c r="AG186" t="s">
        <v>99</v>
      </c>
      <c r="AH186" t="s">
        <v>330</v>
      </c>
      <c r="AI186">
        <v>0.20480196779357418</v>
      </c>
    </row>
    <row r="187" spans="5:35" x14ac:dyDescent="0.45">
      <c r="E187" t="s">
        <v>884</v>
      </c>
      <c r="G187" t="s">
        <v>442</v>
      </c>
      <c r="I187" t="s">
        <v>249</v>
      </c>
      <c r="J187" t="s">
        <v>331</v>
      </c>
      <c r="K187">
        <v>0</v>
      </c>
      <c r="L187" t="s">
        <v>251</v>
      </c>
      <c r="N187" t="s">
        <v>419</v>
      </c>
      <c r="O187" t="s">
        <v>331</v>
      </c>
      <c r="P187">
        <v>2.1218132351869128E-2</v>
      </c>
      <c r="Q187" t="s">
        <v>251</v>
      </c>
      <c r="S187" t="s">
        <v>420</v>
      </c>
      <c r="T187" t="s">
        <v>331</v>
      </c>
      <c r="U187">
        <v>2.5463633841938355E-2</v>
      </c>
      <c r="V187" t="s">
        <v>251</v>
      </c>
      <c r="X187">
        <v>1.9863013698630139E-2</v>
      </c>
      <c r="Y187">
        <v>4.2489786109108389E-3</v>
      </c>
      <c r="Z187" t="s">
        <v>331</v>
      </c>
      <c r="AA187" t="s">
        <v>25</v>
      </c>
      <c r="AC187" t="s">
        <v>22</v>
      </c>
      <c r="AD187" t="s">
        <v>331</v>
      </c>
      <c r="AE187">
        <v>2.1799885624904217E-2</v>
      </c>
      <c r="AG187" t="s">
        <v>99</v>
      </c>
      <c r="AH187" t="s">
        <v>331</v>
      </c>
      <c r="AI187">
        <v>8.9926768908874299E-2</v>
      </c>
    </row>
    <row r="188" spans="5:35" x14ac:dyDescent="0.45">
      <c r="E188" t="s">
        <v>885</v>
      </c>
      <c r="G188" t="s">
        <v>442</v>
      </c>
      <c r="I188" t="s">
        <v>249</v>
      </c>
      <c r="J188" t="s">
        <v>332</v>
      </c>
      <c r="K188">
        <v>0</v>
      </c>
      <c r="L188" t="s">
        <v>251</v>
      </c>
      <c r="N188" t="s">
        <v>419</v>
      </c>
      <c r="O188" t="s">
        <v>332</v>
      </c>
      <c r="P188">
        <v>3.3426736819524203E-3</v>
      </c>
      <c r="Q188" t="s">
        <v>251</v>
      </c>
      <c r="S188" t="s">
        <v>420</v>
      </c>
      <c r="T188" t="s">
        <v>332</v>
      </c>
      <c r="U188">
        <v>4.2261991022303387E-3</v>
      </c>
      <c r="V188" t="s">
        <v>251</v>
      </c>
      <c r="X188">
        <v>3.3105022831050228E-3</v>
      </c>
      <c r="Y188">
        <v>4.9026676279740472E-3</v>
      </c>
      <c r="Z188" t="s">
        <v>332</v>
      </c>
      <c r="AA188" t="s">
        <v>25</v>
      </c>
      <c r="AC188" t="s">
        <v>22</v>
      </c>
      <c r="AD188" t="s">
        <v>332</v>
      </c>
      <c r="AE188">
        <v>3.6514228308947424E-3</v>
      </c>
      <c r="AG188" t="s">
        <v>99</v>
      </c>
      <c r="AH188" t="s">
        <v>332</v>
      </c>
      <c r="AI188">
        <v>6.4223097446322042E-2</v>
      </c>
    </row>
    <row r="189" spans="5:35" x14ac:dyDescent="0.45">
      <c r="E189" t="s">
        <v>886</v>
      </c>
      <c r="G189" t="s">
        <v>442</v>
      </c>
      <c r="I189" t="s">
        <v>249</v>
      </c>
      <c r="J189" t="s">
        <v>333</v>
      </c>
      <c r="K189">
        <v>2.38845638247113E-3</v>
      </c>
      <c r="L189" t="s">
        <v>251</v>
      </c>
      <c r="N189" t="s">
        <v>419</v>
      </c>
      <c r="O189" t="s">
        <v>333</v>
      </c>
      <c r="P189">
        <v>3.2475314153006425E-3</v>
      </c>
      <c r="Q189" t="s">
        <v>251</v>
      </c>
      <c r="S189" t="s">
        <v>420</v>
      </c>
      <c r="T189" t="s">
        <v>333</v>
      </c>
      <c r="U189">
        <v>4.2517549781202384E-3</v>
      </c>
      <c r="V189" t="s">
        <v>251</v>
      </c>
      <c r="X189">
        <v>3.3105022831050228E-3</v>
      </c>
      <c r="Y189">
        <v>5.5275174236962274E-3</v>
      </c>
      <c r="Z189" t="s">
        <v>333</v>
      </c>
      <c r="AA189" t="s">
        <v>25</v>
      </c>
      <c r="AC189" t="s">
        <v>22</v>
      </c>
      <c r="AD189" t="s">
        <v>333</v>
      </c>
      <c r="AE189">
        <v>3.7965831929097061E-3</v>
      </c>
      <c r="AG189" t="s">
        <v>99</v>
      </c>
      <c r="AH189" t="s">
        <v>333</v>
      </c>
      <c r="AI189">
        <v>8.7138430027576153E-2</v>
      </c>
    </row>
    <row r="190" spans="5:35" x14ac:dyDescent="0.45">
      <c r="E190" t="s">
        <v>887</v>
      </c>
      <c r="G190" t="s">
        <v>442</v>
      </c>
      <c r="I190" t="s">
        <v>249</v>
      </c>
      <c r="J190" t="s">
        <v>334</v>
      </c>
      <c r="K190">
        <v>4.1770049225546099E-2</v>
      </c>
      <c r="L190" t="s">
        <v>251</v>
      </c>
      <c r="N190" t="s">
        <v>419</v>
      </c>
      <c r="O190" t="s">
        <v>334</v>
      </c>
      <c r="P190">
        <v>1.5614570536540527E-2</v>
      </c>
      <c r="Q190" t="s">
        <v>251</v>
      </c>
      <c r="S190" t="s">
        <v>420</v>
      </c>
      <c r="T190" t="s">
        <v>334</v>
      </c>
      <c r="U190">
        <v>2.6530770060227114E-2</v>
      </c>
      <c r="V190" t="s">
        <v>251</v>
      </c>
      <c r="X190">
        <v>1.9863013698630139E-2</v>
      </c>
      <c r="Y190">
        <v>2.5032444124008655E-2</v>
      </c>
      <c r="Z190" t="s">
        <v>334</v>
      </c>
      <c r="AA190" t="s">
        <v>25</v>
      </c>
      <c r="AC190" t="s">
        <v>22</v>
      </c>
      <c r="AD190" t="s">
        <v>334</v>
      </c>
      <c r="AE190">
        <v>2.2983452772092829E-2</v>
      </c>
      <c r="AG190" t="s">
        <v>99</v>
      </c>
      <c r="AH190" t="s">
        <v>334</v>
      </c>
      <c r="AI190">
        <v>0.16499798804277122</v>
      </c>
    </row>
    <row r="191" spans="5:35" x14ac:dyDescent="0.45">
      <c r="E191" t="s">
        <v>888</v>
      </c>
      <c r="G191" t="s">
        <v>442</v>
      </c>
      <c r="I191" t="s">
        <v>249</v>
      </c>
      <c r="J191" t="s">
        <v>335</v>
      </c>
      <c r="K191">
        <v>1.9619498451487201E-2</v>
      </c>
      <c r="L191" t="s">
        <v>251</v>
      </c>
      <c r="N191" t="s">
        <v>419</v>
      </c>
      <c r="O191" t="s">
        <v>335</v>
      </c>
      <c r="P191">
        <v>8.0230056013030661E-3</v>
      </c>
      <c r="Q191" t="s">
        <v>251</v>
      </c>
      <c r="S191" t="s">
        <v>420</v>
      </c>
      <c r="T191" t="s">
        <v>335</v>
      </c>
      <c r="U191">
        <v>1.3524985189566891E-2</v>
      </c>
      <c r="V191" t="s">
        <v>251</v>
      </c>
      <c r="X191">
        <v>9.9315068493150693E-3</v>
      </c>
      <c r="Y191">
        <v>1.5803893294881032E-2</v>
      </c>
      <c r="Z191" t="s">
        <v>335</v>
      </c>
      <c r="AA191" t="s">
        <v>25</v>
      </c>
      <c r="AC191" t="s">
        <v>22</v>
      </c>
      <c r="AD191" t="s">
        <v>335</v>
      </c>
      <c r="AE191">
        <v>8.2066816905498607E-3</v>
      </c>
      <c r="AG191" t="s">
        <v>99</v>
      </c>
      <c r="AH191" t="s">
        <v>335</v>
      </c>
      <c r="AI191">
        <v>0.11144134410780682</v>
      </c>
    </row>
    <row r="192" spans="5:35" x14ac:dyDescent="0.45">
      <c r="E192" t="s">
        <v>889</v>
      </c>
      <c r="G192" t="s">
        <v>442</v>
      </c>
      <c r="I192" t="s">
        <v>249</v>
      </c>
      <c r="J192" t="s">
        <v>336</v>
      </c>
      <c r="K192">
        <v>4.8724992337081004E-3</v>
      </c>
      <c r="L192" t="s">
        <v>251</v>
      </c>
      <c r="N192" t="s">
        <v>419</v>
      </c>
      <c r="O192" t="s">
        <v>336</v>
      </c>
      <c r="P192">
        <v>2.6119788831453546E-3</v>
      </c>
      <c r="Q192" t="s">
        <v>251</v>
      </c>
      <c r="S192" t="s">
        <v>420</v>
      </c>
      <c r="T192" t="s">
        <v>336</v>
      </c>
      <c r="U192">
        <v>4.4950752015001996E-3</v>
      </c>
      <c r="V192" t="s">
        <v>251</v>
      </c>
      <c r="X192">
        <v>3.3105022831050228E-3</v>
      </c>
      <c r="Y192">
        <v>6.4407594328286487E-3</v>
      </c>
      <c r="Z192" t="s">
        <v>336</v>
      </c>
      <c r="AA192" t="s">
        <v>25</v>
      </c>
      <c r="AC192" t="s">
        <v>22</v>
      </c>
      <c r="AD192" t="s">
        <v>336</v>
      </c>
      <c r="AE192">
        <v>2.3522051265014621E-3</v>
      </c>
      <c r="AG192" t="s">
        <v>99</v>
      </c>
      <c r="AH192" t="s">
        <v>336</v>
      </c>
      <c r="AI192">
        <v>4.4817592613911161E-2</v>
      </c>
    </row>
    <row r="193" spans="5:35" x14ac:dyDescent="0.45">
      <c r="E193" t="s">
        <v>890</v>
      </c>
      <c r="G193" t="s">
        <v>442</v>
      </c>
      <c r="I193" t="s">
        <v>249</v>
      </c>
      <c r="J193" t="s">
        <v>337</v>
      </c>
      <c r="K193">
        <v>2.0678987299445205E-3</v>
      </c>
      <c r="L193" t="s">
        <v>251</v>
      </c>
      <c r="N193" t="s">
        <v>419</v>
      </c>
      <c r="O193" t="s">
        <v>337</v>
      </c>
      <c r="P193">
        <v>2.8115152602920671E-3</v>
      </c>
      <c r="Q193" t="s">
        <v>251</v>
      </c>
      <c r="S193" t="s">
        <v>420</v>
      </c>
      <c r="T193" t="s">
        <v>337</v>
      </c>
      <c r="U193">
        <v>4.4753840044996661E-3</v>
      </c>
      <c r="V193" t="s">
        <v>251</v>
      </c>
      <c r="X193">
        <v>3.3105022831050228E-3</v>
      </c>
      <c r="Y193">
        <v>4.9987983657774574E-3</v>
      </c>
      <c r="Z193" t="s">
        <v>337</v>
      </c>
      <c r="AA193" t="s">
        <v>25</v>
      </c>
      <c r="AC193" t="s">
        <v>22</v>
      </c>
      <c r="AD193" t="s">
        <v>337</v>
      </c>
      <c r="AE193">
        <v>2.3746799939922273E-3</v>
      </c>
      <c r="AG193" t="s">
        <v>99</v>
      </c>
      <c r="AH193" t="s">
        <v>337</v>
      </c>
      <c r="AI193">
        <v>4.6605057098816349E-2</v>
      </c>
    </row>
    <row r="194" spans="5:35" x14ac:dyDescent="0.45">
      <c r="E194" t="s">
        <v>891</v>
      </c>
      <c r="G194" t="s">
        <v>442</v>
      </c>
      <c r="I194" t="s">
        <v>249</v>
      </c>
      <c r="J194" t="s">
        <v>338</v>
      </c>
      <c r="K194">
        <v>0</v>
      </c>
      <c r="L194" t="s">
        <v>251</v>
      </c>
      <c r="N194" t="s">
        <v>419</v>
      </c>
      <c r="O194" t="s">
        <v>338</v>
      </c>
      <c r="P194">
        <v>1.7394301652844186E-2</v>
      </c>
      <c r="Q194" t="s">
        <v>251</v>
      </c>
      <c r="S194" t="s">
        <v>420</v>
      </c>
      <c r="T194" t="s">
        <v>338</v>
      </c>
      <c r="U194">
        <v>2.2430324119351034E-2</v>
      </c>
      <c r="V194" t="s">
        <v>251</v>
      </c>
      <c r="X194">
        <v>1.6552511415525113E-2</v>
      </c>
      <c r="Y194">
        <v>1.2496995914443643E-2</v>
      </c>
      <c r="Z194" t="s">
        <v>338</v>
      </c>
      <c r="AA194" t="s">
        <v>25</v>
      </c>
      <c r="AC194" t="s">
        <v>22</v>
      </c>
      <c r="AD194" t="s">
        <v>338</v>
      </c>
      <c r="AE194">
        <v>1.5869708994983557E-2</v>
      </c>
      <c r="AG194" t="s">
        <v>99</v>
      </c>
      <c r="AH194" t="s">
        <v>338</v>
      </c>
      <c r="AI194">
        <v>0.21170178304582832</v>
      </c>
    </row>
    <row r="195" spans="5:35" x14ac:dyDescent="0.45">
      <c r="E195" t="s">
        <v>892</v>
      </c>
      <c r="G195" t="s">
        <v>442</v>
      </c>
      <c r="I195" t="s">
        <v>249</v>
      </c>
      <c r="J195" t="s">
        <v>1068</v>
      </c>
      <c r="K195">
        <v>0</v>
      </c>
      <c r="L195" t="s">
        <v>251</v>
      </c>
      <c r="N195" t="s">
        <v>419</v>
      </c>
      <c r="O195" t="s">
        <v>1068</v>
      </c>
      <c r="P195">
        <v>4.7358518100031508E-5</v>
      </c>
      <c r="Q195" t="s">
        <v>251</v>
      </c>
      <c r="S195" t="s">
        <v>420</v>
      </c>
      <c r="T195" t="s">
        <v>1068</v>
      </c>
      <c r="U195">
        <v>1.556456101484E-4</v>
      </c>
      <c r="V195" t="s">
        <v>251</v>
      </c>
      <c r="X195">
        <v>1.1415525114155251E-4</v>
      </c>
      <c r="Y195">
        <v>2.1546544680075254E-5</v>
      </c>
      <c r="Z195" t="s">
        <v>1068</v>
      </c>
      <c r="AA195" t="s">
        <v>25</v>
      </c>
      <c r="AC195" t="s">
        <v>22</v>
      </c>
      <c r="AD195" t="s">
        <v>1068</v>
      </c>
      <c r="AE195">
        <v>1.3785444228242788E-4</v>
      </c>
      <c r="AG195" t="s">
        <v>99</v>
      </c>
      <c r="AH195" t="s">
        <v>1068</v>
      </c>
      <c r="AI195">
        <v>0</v>
      </c>
    </row>
    <row r="196" spans="5:35" x14ac:dyDescent="0.45">
      <c r="E196" t="s">
        <v>893</v>
      </c>
      <c r="G196" t="s">
        <v>442</v>
      </c>
      <c r="I196" t="s">
        <v>249</v>
      </c>
      <c r="J196" t="s">
        <v>1069</v>
      </c>
      <c r="K196">
        <v>0</v>
      </c>
      <c r="L196" t="s">
        <v>251</v>
      </c>
      <c r="N196" t="s">
        <v>419</v>
      </c>
      <c r="O196" t="s">
        <v>1069</v>
      </c>
      <c r="P196">
        <v>3.8911199312651934E-5</v>
      </c>
      <c r="Q196" t="s">
        <v>251</v>
      </c>
      <c r="S196" t="s">
        <v>420</v>
      </c>
      <c r="T196" t="s">
        <v>1069</v>
      </c>
      <c r="U196">
        <v>1.4557006995559999E-4</v>
      </c>
      <c r="V196" t="s">
        <v>251</v>
      </c>
      <c r="X196">
        <v>1.1415525114155251E-4</v>
      </c>
      <c r="Y196">
        <v>1.4916838624667481E-5</v>
      </c>
      <c r="Z196" t="s">
        <v>1069</v>
      </c>
      <c r="AA196" t="s">
        <v>25</v>
      </c>
      <c r="AC196" t="s">
        <v>22</v>
      </c>
      <c r="AD196" t="s">
        <v>1069</v>
      </c>
      <c r="AE196">
        <v>1.3414933558238652E-4</v>
      </c>
      <c r="AG196" t="s">
        <v>99</v>
      </c>
      <c r="AH196" t="s">
        <v>1069</v>
      </c>
      <c r="AI196">
        <v>0</v>
      </c>
    </row>
    <row r="197" spans="5:35" x14ac:dyDescent="0.45">
      <c r="E197" t="s">
        <v>894</v>
      </c>
      <c r="G197" t="s">
        <v>442</v>
      </c>
      <c r="I197" t="s">
        <v>249</v>
      </c>
      <c r="J197" t="s">
        <v>1070</v>
      </c>
      <c r="K197">
        <v>0</v>
      </c>
      <c r="L197" t="s">
        <v>251</v>
      </c>
      <c r="N197" t="s">
        <v>419</v>
      </c>
      <c r="O197" t="s">
        <v>1070</v>
      </c>
      <c r="P197">
        <v>3.1113088628843317E-5</v>
      </c>
      <c r="Q197" t="s">
        <v>251</v>
      </c>
      <c r="S197" t="s">
        <v>420</v>
      </c>
      <c r="T197" t="s">
        <v>1070</v>
      </c>
      <c r="U197">
        <v>1.3659688702900001E-4</v>
      </c>
      <c r="V197" t="s">
        <v>251</v>
      </c>
      <c r="X197">
        <v>1.1415525114155251E-4</v>
      </c>
      <c r="Y197">
        <v>1.6574265138519424E-5</v>
      </c>
      <c r="Z197" t="s">
        <v>1070</v>
      </c>
      <c r="AA197" t="s">
        <v>25</v>
      </c>
      <c r="AC197" t="s">
        <v>22</v>
      </c>
      <c r="AD197" t="s">
        <v>1070</v>
      </c>
      <c r="AE197">
        <v>1.3398254621325282E-4</v>
      </c>
      <c r="AG197" t="s">
        <v>99</v>
      </c>
      <c r="AH197" t="s">
        <v>1070</v>
      </c>
      <c r="AI197">
        <v>0</v>
      </c>
    </row>
    <row r="198" spans="5:35" x14ac:dyDescent="0.45">
      <c r="E198" t="s">
        <v>895</v>
      </c>
      <c r="G198" t="s">
        <v>442</v>
      </c>
      <c r="I198" t="s">
        <v>249</v>
      </c>
      <c r="J198" t="s">
        <v>1071</v>
      </c>
      <c r="K198">
        <v>0</v>
      </c>
      <c r="L198" t="s">
        <v>251</v>
      </c>
      <c r="N198" t="s">
        <v>419</v>
      </c>
      <c r="O198" t="s">
        <v>1071</v>
      </c>
      <c r="P198">
        <v>2.7314590395369058E-5</v>
      </c>
      <c r="Q198" t="s">
        <v>251</v>
      </c>
      <c r="S198" t="s">
        <v>420</v>
      </c>
      <c r="T198" t="s">
        <v>1071</v>
      </c>
      <c r="U198">
        <v>1.259734168262E-4</v>
      </c>
      <c r="V198" t="s">
        <v>251</v>
      </c>
      <c r="X198">
        <v>1.1415525114155251E-4</v>
      </c>
      <c r="Y198">
        <v>1.4585353321897093E-5</v>
      </c>
      <c r="Z198" t="s">
        <v>1071</v>
      </c>
      <c r="AA198" t="s">
        <v>25</v>
      </c>
      <c r="AC198" t="s">
        <v>22</v>
      </c>
      <c r="AD198" t="s">
        <v>1071</v>
      </c>
      <c r="AE198">
        <v>1.3375618921228566E-4</v>
      </c>
      <c r="AG198" t="s">
        <v>99</v>
      </c>
      <c r="AH198" t="s">
        <v>1071</v>
      </c>
      <c r="AI198">
        <v>0</v>
      </c>
    </row>
    <row r="199" spans="5:35" x14ac:dyDescent="0.45">
      <c r="E199" t="s">
        <v>896</v>
      </c>
      <c r="G199" t="s">
        <v>442</v>
      </c>
      <c r="I199" t="s">
        <v>249</v>
      </c>
      <c r="J199" t="s">
        <v>1072</v>
      </c>
      <c r="K199">
        <v>0</v>
      </c>
      <c r="L199" t="s">
        <v>251</v>
      </c>
      <c r="N199" t="s">
        <v>419</v>
      </c>
      <c r="O199" t="s">
        <v>1072</v>
      </c>
      <c r="P199">
        <v>2.4745102478786451E-5</v>
      </c>
      <c r="Q199" t="s">
        <v>251</v>
      </c>
      <c r="S199" t="s">
        <v>420</v>
      </c>
      <c r="T199" t="s">
        <v>1072</v>
      </c>
      <c r="U199">
        <v>1.153670805586E-4</v>
      </c>
      <c r="V199" t="s">
        <v>251</v>
      </c>
      <c r="X199">
        <v>1.1415525114155251E-4</v>
      </c>
      <c r="Y199">
        <v>2.1215059377304864E-5</v>
      </c>
      <c r="Z199" t="s">
        <v>1072</v>
      </c>
      <c r="AA199" t="s">
        <v>25</v>
      </c>
      <c r="AC199" t="s">
        <v>22</v>
      </c>
      <c r="AD199" t="s">
        <v>1072</v>
      </c>
      <c r="AE199">
        <v>1.3356557279041857E-4</v>
      </c>
      <c r="AG199" t="s">
        <v>99</v>
      </c>
      <c r="AH199" t="s">
        <v>1072</v>
      </c>
      <c r="AI199">
        <v>0</v>
      </c>
    </row>
    <row r="200" spans="5:35" x14ac:dyDescent="0.45">
      <c r="E200" t="s">
        <v>897</v>
      </c>
      <c r="G200" t="s">
        <v>442</v>
      </c>
      <c r="I200" t="s">
        <v>249</v>
      </c>
      <c r="J200" t="s">
        <v>1073</v>
      </c>
      <c r="K200">
        <v>0</v>
      </c>
      <c r="L200" t="s">
        <v>251</v>
      </c>
      <c r="N200" t="s">
        <v>419</v>
      </c>
      <c r="O200" t="s">
        <v>1073</v>
      </c>
      <c r="P200">
        <v>2.2563956760692229E-5</v>
      </c>
      <c r="Q200" t="s">
        <v>251</v>
      </c>
      <c r="S200" t="s">
        <v>420</v>
      </c>
      <c r="T200" t="s">
        <v>1073</v>
      </c>
      <c r="U200">
        <v>1.066781654768E-4</v>
      </c>
      <c r="V200" t="s">
        <v>251</v>
      </c>
      <c r="X200">
        <v>1.1415525114155251E-4</v>
      </c>
      <c r="Y200">
        <v>5.7678442682047593E-5</v>
      </c>
      <c r="Z200" t="s">
        <v>1073</v>
      </c>
      <c r="AA200" t="s">
        <v>25</v>
      </c>
      <c r="AC200" t="s">
        <v>22</v>
      </c>
      <c r="AD200" t="s">
        <v>1073</v>
      </c>
      <c r="AE200">
        <v>1.3356557279041857E-4</v>
      </c>
      <c r="AG200" t="s">
        <v>99</v>
      </c>
      <c r="AH200" t="s">
        <v>1073</v>
      </c>
      <c r="AI200">
        <v>0</v>
      </c>
    </row>
    <row r="201" spans="5:35" x14ac:dyDescent="0.45">
      <c r="E201" t="s">
        <v>898</v>
      </c>
      <c r="G201" t="s">
        <v>442</v>
      </c>
      <c r="I201" t="s">
        <v>249</v>
      </c>
      <c r="J201" t="s">
        <v>1074</v>
      </c>
      <c r="K201">
        <v>0</v>
      </c>
      <c r="L201" t="s">
        <v>251</v>
      </c>
      <c r="N201" t="s">
        <v>419</v>
      </c>
      <c r="O201" t="s">
        <v>1074</v>
      </c>
      <c r="P201">
        <v>2.2305674475865005E-5</v>
      </c>
      <c r="Q201" t="s">
        <v>251</v>
      </c>
      <c r="S201" t="s">
        <v>420</v>
      </c>
      <c r="T201" t="s">
        <v>1074</v>
      </c>
      <c r="U201">
        <v>9.7711307145076923E-5</v>
      </c>
      <c r="V201" t="s">
        <v>251</v>
      </c>
      <c r="X201">
        <v>1.1415525114155251E-4</v>
      </c>
      <c r="Y201">
        <v>1.6905750441289813E-4</v>
      </c>
      <c r="Z201" t="s">
        <v>1074</v>
      </c>
      <c r="AA201" t="s">
        <v>25</v>
      </c>
      <c r="AC201" t="s">
        <v>22</v>
      </c>
      <c r="AD201" t="s">
        <v>1074</v>
      </c>
      <c r="AE201">
        <v>1.3562065608867303E-4</v>
      </c>
      <c r="AG201" t="s">
        <v>99</v>
      </c>
      <c r="AH201" t="s">
        <v>1074</v>
      </c>
      <c r="AI201">
        <v>0</v>
      </c>
    </row>
    <row r="202" spans="5:35" x14ac:dyDescent="0.45">
      <c r="E202" t="s">
        <v>899</v>
      </c>
      <c r="G202" t="s">
        <v>442</v>
      </c>
      <c r="I202" t="s">
        <v>249</v>
      </c>
      <c r="J202" t="s">
        <v>1075</v>
      </c>
      <c r="K202">
        <v>5.1466052385010837E-5</v>
      </c>
      <c r="L202" t="s">
        <v>251</v>
      </c>
      <c r="N202" t="s">
        <v>419</v>
      </c>
      <c r="O202" t="s">
        <v>1075</v>
      </c>
      <c r="P202">
        <v>2.7006624041542804E-5</v>
      </c>
      <c r="Q202" t="s">
        <v>251</v>
      </c>
      <c r="S202" t="s">
        <v>420</v>
      </c>
      <c r="T202" t="s">
        <v>1075</v>
      </c>
      <c r="U202">
        <v>8.7836491614228592E-5</v>
      </c>
      <c r="V202" t="s">
        <v>251</v>
      </c>
      <c r="X202">
        <v>1.1415525114155251E-4</v>
      </c>
      <c r="Y202">
        <v>1.9060404909297337E-4</v>
      </c>
      <c r="Z202" t="s">
        <v>1075</v>
      </c>
      <c r="AA202" t="s">
        <v>25</v>
      </c>
      <c r="AC202" t="s">
        <v>22</v>
      </c>
      <c r="AD202" t="s">
        <v>1075</v>
      </c>
      <c r="AE202">
        <v>1.4487150931240974E-4</v>
      </c>
      <c r="AG202" t="s">
        <v>99</v>
      </c>
      <c r="AH202" t="s">
        <v>1075</v>
      </c>
      <c r="AI202">
        <v>0</v>
      </c>
    </row>
    <row r="203" spans="5:35" x14ac:dyDescent="0.45">
      <c r="E203" t="s">
        <v>192</v>
      </c>
      <c r="G203" t="s">
        <v>444</v>
      </c>
      <c r="I203" t="s">
        <v>249</v>
      </c>
      <c r="J203" t="s">
        <v>1076</v>
      </c>
      <c r="K203">
        <v>1.8098793006600001E-4</v>
      </c>
      <c r="L203" t="s">
        <v>251</v>
      </c>
      <c r="N203" t="s">
        <v>419</v>
      </c>
      <c r="O203" t="s">
        <v>1076</v>
      </c>
      <c r="P203">
        <v>2.5100386869763865E-5</v>
      </c>
      <c r="Q203" t="s">
        <v>251</v>
      </c>
      <c r="S203" t="s">
        <v>420</v>
      </c>
      <c r="T203" t="s">
        <v>1076</v>
      </c>
      <c r="U203">
        <v>7.9246175745102898E-5</v>
      </c>
      <c r="V203" t="s">
        <v>251</v>
      </c>
      <c r="X203">
        <v>1.1415525114155251E-4</v>
      </c>
      <c r="Y203">
        <v>1.4585353321897094E-4</v>
      </c>
      <c r="Z203" t="s">
        <v>1076</v>
      </c>
      <c r="AA203" t="s">
        <v>25</v>
      </c>
      <c r="AC203" t="s">
        <v>22</v>
      </c>
      <c r="AD203" t="s">
        <v>1076</v>
      </c>
      <c r="AE203">
        <v>1.4871362156566807E-4</v>
      </c>
      <c r="AG203" t="s">
        <v>99</v>
      </c>
      <c r="AH203" t="s">
        <v>1076</v>
      </c>
      <c r="AI203">
        <v>0</v>
      </c>
    </row>
    <row r="204" spans="5:35" x14ac:dyDescent="0.45">
      <c r="E204" t="s">
        <v>193</v>
      </c>
      <c r="G204" t="s">
        <v>444</v>
      </c>
      <c r="I204" t="s">
        <v>249</v>
      </c>
      <c r="J204" t="s">
        <v>1077</v>
      </c>
      <c r="K204">
        <v>2.129427649121E-4</v>
      </c>
      <c r="L204" t="s">
        <v>251</v>
      </c>
      <c r="N204" t="s">
        <v>419</v>
      </c>
      <c r="O204" t="s">
        <v>1077</v>
      </c>
      <c r="P204">
        <v>2.2030189273105321E-5</v>
      </c>
      <c r="Q204" t="s">
        <v>251</v>
      </c>
      <c r="S204" t="s">
        <v>420</v>
      </c>
      <c r="T204" t="s">
        <v>1077</v>
      </c>
      <c r="U204">
        <v>7.8359138446938131E-5</v>
      </c>
      <c r="V204" t="s">
        <v>251</v>
      </c>
      <c r="X204">
        <v>1.1415525114155251E-4</v>
      </c>
      <c r="Y204">
        <v>1.4452759200788939E-4</v>
      </c>
      <c r="Z204" t="s">
        <v>1077</v>
      </c>
      <c r="AA204" t="s">
        <v>25</v>
      </c>
      <c r="AC204" t="s">
        <v>22</v>
      </c>
      <c r="AD204" t="s">
        <v>1077</v>
      </c>
      <c r="AE204">
        <v>1.4964883338545339E-4</v>
      </c>
      <c r="AG204" t="s">
        <v>99</v>
      </c>
      <c r="AH204" t="s">
        <v>1077</v>
      </c>
      <c r="AI204">
        <v>0</v>
      </c>
    </row>
    <row r="205" spans="5:35" x14ac:dyDescent="0.45">
      <c r="E205" t="s">
        <v>194</v>
      </c>
      <c r="G205" t="s">
        <v>444</v>
      </c>
      <c r="I205" t="s">
        <v>249</v>
      </c>
      <c r="J205" t="s">
        <v>1078</v>
      </c>
      <c r="K205">
        <v>2.2097750870189999E-4</v>
      </c>
      <c r="L205" t="s">
        <v>251</v>
      </c>
      <c r="N205" t="s">
        <v>419</v>
      </c>
      <c r="O205" t="s">
        <v>1078</v>
      </c>
      <c r="P205">
        <v>2.2507703438123129E-5</v>
      </c>
      <c r="Q205" t="s">
        <v>251</v>
      </c>
      <c r="S205" t="s">
        <v>420</v>
      </c>
      <c r="T205" t="s">
        <v>1078</v>
      </c>
      <c r="U205">
        <v>7.508549189986885E-5</v>
      </c>
      <c r="V205" t="s">
        <v>251</v>
      </c>
      <c r="X205">
        <v>1.1415525114155251E-4</v>
      </c>
      <c r="Y205">
        <v>1.408812536774151E-4</v>
      </c>
      <c r="Z205" t="s">
        <v>1078</v>
      </c>
      <c r="AA205" t="s">
        <v>25</v>
      </c>
      <c r="AC205" t="s">
        <v>22</v>
      </c>
      <c r="AD205" t="s">
        <v>1078</v>
      </c>
      <c r="AE205">
        <v>1.5643358665128477E-4</v>
      </c>
      <c r="AG205" t="s">
        <v>99</v>
      </c>
      <c r="AH205" t="s">
        <v>1078</v>
      </c>
      <c r="AI205">
        <v>0</v>
      </c>
    </row>
    <row r="206" spans="5:35" x14ac:dyDescent="0.45">
      <c r="E206" t="s">
        <v>195</v>
      </c>
      <c r="G206" t="s">
        <v>444</v>
      </c>
      <c r="I206" t="s">
        <v>249</v>
      </c>
      <c r="J206" t="s">
        <v>1079</v>
      </c>
      <c r="K206">
        <v>2.3888184473860001E-4</v>
      </c>
      <c r="L206" t="s">
        <v>251</v>
      </c>
      <c r="N206" t="s">
        <v>419</v>
      </c>
      <c r="O206" t="s">
        <v>1079</v>
      </c>
      <c r="P206">
        <v>4.5159383296289821E-5</v>
      </c>
      <c r="Q206" t="s">
        <v>251</v>
      </c>
      <c r="S206" t="s">
        <v>420</v>
      </c>
      <c r="T206" t="s">
        <v>1079</v>
      </c>
      <c r="U206">
        <v>6.7009666910408783E-5</v>
      </c>
      <c r="V206" t="s">
        <v>251</v>
      </c>
      <c r="X206">
        <v>1.1415525114155251E-4</v>
      </c>
      <c r="Y206">
        <v>1.4054976837464471E-4</v>
      </c>
      <c r="Z206" t="s">
        <v>1079</v>
      </c>
      <c r="AA206" t="s">
        <v>25</v>
      </c>
      <c r="AC206" t="s">
        <v>22</v>
      </c>
      <c r="AD206" t="s">
        <v>1079</v>
      </c>
      <c r="AE206">
        <v>1.5086996983803939E-4</v>
      </c>
      <c r="AG206" t="s">
        <v>99</v>
      </c>
      <c r="AH206" t="s">
        <v>1079</v>
      </c>
      <c r="AI206">
        <v>0</v>
      </c>
    </row>
    <row r="207" spans="5:35" x14ac:dyDescent="0.45">
      <c r="E207" t="s">
        <v>196</v>
      </c>
      <c r="G207" t="s">
        <v>444</v>
      </c>
      <c r="I207" t="s">
        <v>249</v>
      </c>
      <c r="J207" t="s">
        <v>1080</v>
      </c>
      <c r="K207">
        <v>2.6924422003759998E-4</v>
      </c>
      <c r="L207" t="s">
        <v>251</v>
      </c>
      <c r="N207" t="s">
        <v>419</v>
      </c>
      <c r="O207" t="s">
        <v>1080</v>
      </c>
      <c r="P207">
        <v>6.5739250835153879E-5</v>
      </c>
      <c r="Q207" t="s">
        <v>251</v>
      </c>
      <c r="S207" t="s">
        <v>420</v>
      </c>
      <c r="T207" t="s">
        <v>1080</v>
      </c>
      <c r="U207">
        <v>5.4174640046604252E-5</v>
      </c>
      <c r="V207" t="s">
        <v>251</v>
      </c>
      <c r="X207">
        <v>1.1415525114155251E-4</v>
      </c>
      <c r="Y207">
        <v>1.4253868019126702E-4</v>
      </c>
      <c r="Z207" t="s">
        <v>1080</v>
      </c>
      <c r="AA207" t="s">
        <v>25</v>
      </c>
      <c r="AC207" t="s">
        <v>22</v>
      </c>
      <c r="AD207" t="s">
        <v>1080</v>
      </c>
      <c r="AE207">
        <v>1.3775913407149432E-4</v>
      </c>
      <c r="AG207" t="s">
        <v>99</v>
      </c>
      <c r="AH207" t="s">
        <v>1080</v>
      </c>
      <c r="AI207">
        <v>0</v>
      </c>
    </row>
    <row r="208" spans="5:35" x14ac:dyDescent="0.45">
      <c r="E208" t="s">
        <v>197</v>
      </c>
      <c r="G208" t="s">
        <v>444</v>
      </c>
      <c r="I208" t="s">
        <v>249</v>
      </c>
      <c r="J208" t="s">
        <v>1081</v>
      </c>
      <c r="K208">
        <v>2.620543642659E-4</v>
      </c>
      <c r="L208" t="s">
        <v>251</v>
      </c>
      <c r="N208" t="s">
        <v>419</v>
      </c>
      <c r="O208" t="s">
        <v>1081</v>
      </c>
      <c r="P208">
        <v>8.6296901738502961E-5</v>
      </c>
      <c r="Q208" t="s">
        <v>251</v>
      </c>
      <c r="S208" t="s">
        <v>420</v>
      </c>
      <c r="T208" t="s">
        <v>1081</v>
      </c>
      <c r="U208">
        <v>5.1144298606864194E-5</v>
      </c>
      <c r="V208" t="s">
        <v>251</v>
      </c>
      <c r="X208">
        <v>1.1415525114155251E-4</v>
      </c>
      <c r="Y208">
        <v>1.4883690094390442E-4</v>
      </c>
      <c r="Z208" t="s">
        <v>1081</v>
      </c>
      <c r="AA208" t="s">
        <v>25</v>
      </c>
      <c r="AC208" t="s">
        <v>22</v>
      </c>
      <c r="AD208" t="s">
        <v>1081</v>
      </c>
      <c r="AE208">
        <v>1.2141377589639229E-4</v>
      </c>
      <c r="AG208" t="s">
        <v>99</v>
      </c>
      <c r="AH208" t="s">
        <v>1081</v>
      </c>
      <c r="AI208">
        <v>0</v>
      </c>
    </row>
    <row r="209" spans="5:35" x14ac:dyDescent="0.45">
      <c r="E209" t="s">
        <v>198</v>
      </c>
      <c r="G209" t="s">
        <v>444</v>
      </c>
      <c r="I209" t="s">
        <v>249</v>
      </c>
      <c r="J209" t="s">
        <v>1082</v>
      </c>
      <c r="K209">
        <v>2.3294362370079999E-4</v>
      </c>
      <c r="L209" t="s">
        <v>251</v>
      </c>
      <c r="N209" t="s">
        <v>419</v>
      </c>
      <c r="O209" t="s">
        <v>1082</v>
      </c>
      <c r="P209">
        <v>9.9063587073185242E-5</v>
      </c>
      <c r="Q209" t="s">
        <v>251</v>
      </c>
      <c r="S209" t="s">
        <v>420</v>
      </c>
      <c r="T209" t="s">
        <v>1082</v>
      </c>
      <c r="U209">
        <v>5.3045433975693446E-5</v>
      </c>
      <c r="V209" t="s">
        <v>251</v>
      </c>
      <c r="X209">
        <v>1.1415525114155251E-4</v>
      </c>
      <c r="Y209">
        <v>1.5049432745775637E-4</v>
      </c>
      <c r="Z209" t="s">
        <v>1082</v>
      </c>
      <c r="AA209" t="s">
        <v>25</v>
      </c>
      <c r="AC209" t="s">
        <v>22</v>
      </c>
      <c r="AD209" t="s">
        <v>1082</v>
      </c>
      <c r="AE209">
        <v>1.0975043358340036E-4</v>
      </c>
      <c r="AG209" t="s">
        <v>99</v>
      </c>
      <c r="AH209" t="s">
        <v>1082</v>
      </c>
      <c r="AI209">
        <v>0</v>
      </c>
    </row>
    <row r="210" spans="5:35" x14ac:dyDescent="0.45">
      <c r="E210" t="s">
        <v>199</v>
      </c>
      <c r="G210" t="s">
        <v>444</v>
      </c>
      <c r="I210" t="s">
        <v>249</v>
      </c>
      <c r="J210" t="s">
        <v>1083</v>
      </c>
      <c r="K210">
        <v>2.169593550856E-4</v>
      </c>
      <c r="L210" t="s">
        <v>251</v>
      </c>
      <c r="N210" t="s">
        <v>419</v>
      </c>
      <c r="O210" t="s">
        <v>1083</v>
      </c>
      <c r="P210">
        <v>1.113832563073E-4</v>
      </c>
      <c r="Q210" t="s">
        <v>251</v>
      </c>
      <c r="S210" t="s">
        <v>420</v>
      </c>
      <c r="T210" t="s">
        <v>1083</v>
      </c>
      <c r="U210">
        <v>5.846608523145785E-5</v>
      </c>
      <c r="V210" t="s">
        <v>251</v>
      </c>
      <c r="X210">
        <v>1.1415525114155251E-4</v>
      </c>
      <c r="Y210">
        <v>1.7237235744060203E-4</v>
      </c>
      <c r="Z210" t="s">
        <v>1083</v>
      </c>
      <c r="AA210" t="s">
        <v>25</v>
      </c>
      <c r="AC210" t="s">
        <v>22</v>
      </c>
      <c r="AD210" t="s">
        <v>1083</v>
      </c>
      <c r="AE210">
        <v>9.0867494292192798E-5</v>
      </c>
      <c r="AG210" t="s">
        <v>99</v>
      </c>
      <c r="AH210" t="s">
        <v>1083</v>
      </c>
      <c r="AI210">
        <v>0</v>
      </c>
    </row>
    <row r="211" spans="5:35" x14ac:dyDescent="0.45">
      <c r="E211" t="s">
        <v>200</v>
      </c>
      <c r="G211" t="s">
        <v>444</v>
      </c>
      <c r="I211" t="s">
        <v>249</v>
      </c>
      <c r="J211" t="s">
        <v>1084</v>
      </c>
      <c r="K211">
        <v>2.058316488457E-4</v>
      </c>
      <c r="L211" t="s">
        <v>251</v>
      </c>
      <c r="N211" t="s">
        <v>419</v>
      </c>
      <c r="O211" t="s">
        <v>1084</v>
      </c>
      <c r="P211">
        <v>1.1188072423430001E-4</v>
      </c>
      <c r="Q211" t="s">
        <v>251</v>
      </c>
      <c r="S211" t="s">
        <v>420</v>
      </c>
      <c r="T211" t="s">
        <v>1084</v>
      </c>
      <c r="U211">
        <v>6.3139920381808425E-5</v>
      </c>
      <c r="V211" t="s">
        <v>251</v>
      </c>
      <c r="X211">
        <v>1.1415525114155251E-4</v>
      </c>
      <c r="Y211">
        <v>2.2209515285616027E-4</v>
      </c>
      <c r="Z211" t="s">
        <v>1084</v>
      </c>
      <c r="AA211" t="s">
        <v>25</v>
      </c>
      <c r="AC211" t="s">
        <v>22</v>
      </c>
      <c r="AD211" t="s">
        <v>1084</v>
      </c>
      <c r="AE211">
        <v>8.6906246775267563E-5</v>
      </c>
      <c r="AG211" t="s">
        <v>99</v>
      </c>
      <c r="AH211" t="s">
        <v>1084</v>
      </c>
      <c r="AI211">
        <v>0</v>
      </c>
    </row>
    <row r="212" spans="5:35" x14ac:dyDescent="0.45">
      <c r="E212" t="s">
        <v>201</v>
      </c>
      <c r="G212" t="s">
        <v>444</v>
      </c>
      <c r="I212" t="s">
        <v>249</v>
      </c>
      <c r="J212" t="s">
        <v>1085</v>
      </c>
      <c r="K212">
        <v>1.6361180602980001E-4</v>
      </c>
      <c r="L212" t="s">
        <v>251</v>
      </c>
      <c r="N212" t="s">
        <v>419</v>
      </c>
      <c r="O212" t="s">
        <v>1085</v>
      </c>
      <c r="P212">
        <v>9.8220030734913521E-5</v>
      </c>
      <c r="Q212" t="s">
        <v>251</v>
      </c>
      <c r="S212" t="s">
        <v>420</v>
      </c>
      <c r="T212" t="s">
        <v>1085</v>
      </c>
      <c r="U212">
        <v>6.5596691203151952E-5</v>
      </c>
      <c r="V212" t="s">
        <v>251</v>
      </c>
      <c r="X212">
        <v>1.1415525114155251E-4</v>
      </c>
      <c r="Y212">
        <v>2.2209515285616027E-4</v>
      </c>
      <c r="Z212" t="s">
        <v>1085</v>
      </c>
      <c r="AA212" t="s">
        <v>25</v>
      </c>
      <c r="AC212" t="s">
        <v>22</v>
      </c>
      <c r="AD212" t="s">
        <v>1085</v>
      </c>
      <c r="AE212">
        <v>8.2474414966857964E-5</v>
      </c>
      <c r="AG212" t="s">
        <v>99</v>
      </c>
      <c r="AH212" t="s">
        <v>1085</v>
      </c>
      <c r="AI212">
        <v>0</v>
      </c>
    </row>
    <row r="213" spans="5:35" x14ac:dyDescent="0.45">
      <c r="E213" t="s">
        <v>202</v>
      </c>
      <c r="G213" t="s">
        <v>444</v>
      </c>
      <c r="I213" t="s">
        <v>249</v>
      </c>
      <c r="J213" t="s">
        <v>1086</v>
      </c>
      <c r="K213">
        <v>7.3401044306308253E-5</v>
      </c>
      <c r="L213" t="s">
        <v>251</v>
      </c>
      <c r="N213" t="s">
        <v>419</v>
      </c>
      <c r="O213" t="s">
        <v>1086</v>
      </c>
      <c r="P213">
        <v>9.8848764895270114E-5</v>
      </c>
      <c r="Q213" t="s">
        <v>251</v>
      </c>
      <c r="S213" t="s">
        <v>420</v>
      </c>
      <c r="T213" t="s">
        <v>1086</v>
      </c>
      <c r="U213">
        <v>6.4166776842094811E-5</v>
      </c>
      <c r="V213" t="s">
        <v>251</v>
      </c>
      <c r="X213">
        <v>1.1415525114155251E-4</v>
      </c>
      <c r="Y213">
        <v>1.7237235744060203E-4</v>
      </c>
      <c r="Z213" t="s">
        <v>1086</v>
      </c>
      <c r="AA213" t="s">
        <v>25</v>
      </c>
      <c r="AC213" t="s">
        <v>22</v>
      </c>
      <c r="AD213" t="s">
        <v>1086</v>
      </c>
      <c r="AE213">
        <v>8.3689594656260598E-5</v>
      </c>
      <c r="AG213" t="s">
        <v>99</v>
      </c>
      <c r="AH213" t="s">
        <v>1086</v>
      </c>
      <c r="AI213">
        <v>0</v>
      </c>
    </row>
    <row r="214" spans="5:35" x14ac:dyDescent="0.45">
      <c r="E214" t="s">
        <v>203</v>
      </c>
      <c r="G214" t="s">
        <v>444</v>
      </c>
      <c r="I214" t="s">
        <v>249</v>
      </c>
      <c r="J214" t="s">
        <v>1087</v>
      </c>
      <c r="K214">
        <v>0</v>
      </c>
      <c r="L214" t="s">
        <v>251</v>
      </c>
      <c r="N214" t="s">
        <v>419</v>
      </c>
      <c r="O214" t="s">
        <v>1087</v>
      </c>
      <c r="P214">
        <v>1.11080542132E-4</v>
      </c>
      <c r="Q214" t="s">
        <v>251</v>
      </c>
      <c r="S214" t="s">
        <v>420</v>
      </c>
      <c r="T214" t="s">
        <v>1087</v>
      </c>
      <c r="U214">
        <v>5.4621475470250775E-5</v>
      </c>
      <c r="V214" t="s">
        <v>251</v>
      </c>
      <c r="X214">
        <v>1.1415525114155251E-4</v>
      </c>
      <c r="Y214">
        <v>1.5579809230208258E-4</v>
      </c>
      <c r="Z214" t="s">
        <v>1087</v>
      </c>
      <c r="AA214" t="s">
        <v>25</v>
      </c>
      <c r="AC214" t="s">
        <v>22</v>
      </c>
      <c r="AD214" t="s">
        <v>1087</v>
      </c>
      <c r="AE214">
        <v>8.7275566092635029E-5</v>
      </c>
      <c r="AG214" t="s">
        <v>99</v>
      </c>
      <c r="AH214" t="s">
        <v>1087</v>
      </c>
      <c r="AI214">
        <v>0</v>
      </c>
    </row>
    <row r="215" spans="5:35" x14ac:dyDescent="0.45">
      <c r="E215" t="s">
        <v>204</v>
      </c>
      <c r="G215" t="s">
        <v>444</v>
      </c>
      <c r="I215" t="s">
        <v>249</v>
      </c>
      <c r="J215" t="s">
        <v>1088</v>
      </c>
      <c r="K215">
        <v>0</v>
      </c>
      <c r="L215" t="s">
        <v>251</v>
      </c>
      <c r="N215" t="s">
        <v>419</v>
      </c>
      <c r="O215" t="s">
        <v>1088</v>
      </c>
      <c r="P215">
        <v>1.105378274056E-4</v>
      </c>
      <c r="Q215" t="s">
        <v>251</v>
      </c>
      <c r="S215" t="s">
        <v>420</v>
      </c>
      <c r="T215" t="s">
        <v>1088</v>
      </c>
      <c r="U215">
        <v>5.443678766411263E-5</v>
      </c>
      <c r="V215" t="s">
        <v>251</v>
      </c>
      <c r="X215">
        <v>1.1415525114155251E-4</v>
      </c>
      <c r="Y215">
        <v>1.093901499142282E-4</v>
      </c>
      <c r="Z215" t="s">
        <v>1088</v>
      </c>
      <c r="AA215" t="s">
        <v>25</v>
      </c>
      <c r="AC215" t="s">
        <v>22</v>
      </c>
      <c r="AD215" t="s">
        <v>1088</v>
      </c>
      <c r="AE215">
        <v>1.033766969772199E-4</v>
      </c>
      <c r="AG215" t="s">
        <v>99</v>
      </c>
      <c r="AH215" t="s">
        <v>1088</v>
      </c>
      <c r="AI215">
        <v>0</v>
      </c>
    </row>
    <row r="216" spans="5:35" x14ac:dyDescent="0.45">
      <c r="E216" t="s">
        <v>205</v>
      </c>
      <c r="G216" t="s">
        <v>444</v>
      </c>
      <c r="I216" t="s">
        <v>249</v>
      </c>
      <c r="J216" t="s">
        <v>1089</v>
      </c>
      <c r="K216">
        <v>0</v>
      </c>
      <c r="L216" t="s">
        <v>251</v>
      </c>
      <c r="N216" t="s">
        <v>419</v>
      </c>
      <c r="O216" t="s">
        <v>1089</v>
      </c>
      <c r="P216">
        <v>1.0795871598669999E-4</v>
      </c>
      <c r="Q216" t="s">
        <v>251</v>
      </c>
      <c r="S216" t="s">
        <v>420</v>
      </c>
      <c r="T216" t="s">
        <v>1089</v>
      </c>
      <c r="U216">
        <v>6.0198522545473277E-5</v>
      </c>
      <c r="V216" t="s">
        <v>251</v>
      </c>
      <c r="X216">
        <v>1.1415525114155251E-4</v>
      </c>
      <c r="Y216">
        <v>7.9556472664893237E-5</v>
      </c>
      <c r="Z216" t="s">
        <v>1089</v>
      </c>
      <c r="AA216" t="s">
        <v>25</v>
      </c>
      <c r="AC216" t="s">
        <v>22</v>
      </c>
      <c r="AD216" t="s">
        <v>1089</v>
      </c>
      <c r="AE216">
        <v>1.2208093337292704E-4</v>
      </c>
      <c r="AG216" t="s">
        <v>99</v>
      </c>
      <c r="AH216" t="s">
        <v>1089</v>
      </c>
      <c r="AI216">
        <v>0</v>
      </c>
    </row>
    <row r="217" spans="5:35" x14ac:dyDescent="0.45">
      <c r="E217" t="s">
        <v>206</v>
      </c>
      <c r="G217" t="s">
        <v>444</v>
      </c>
      <c r="I217" t="s">
        <v>249</v>
      </c>
      <c r="J217" t="s">
        <v>1090</v>
      </c>
      <c r="K217">
        <v>0</v>
      </c>
      <c r="L217" t="s">
        <v>251</v>
      </c>
      <c r="N217" t="s">
        <v>419</v>
      </c>
      <c r="O217" t="s">
        <v>1090</v>
      </c>
      <c r="P217">
        <v>1.0617077367690001E-4</v>
      </c>
      <c r="Q217" t="s">
        <v>251</v>
      </c>
      <c r="S217" t="s">
        <v>420</v>
      </c>
      <c r="T217" t="s">
        <v>1090</v>
      </c>
      <c r="U217">
        <v>6.7156176690088943E-5</v>
      </c>
      <c r="V217" t="s">
        <v>251</v>
      </c>
      <c r="X217">
        <v>1.1415525114155251E-4</v>
      </c>
      <c r="Y217">
        <v>5.6352501470966035E-5</v>
      </c>
      <c r="Z217" t="s">
        <v>1090</v>
      </c>
      <c r="AA217" t="s">
        <v>25</v>
      </c>
      <c r="AC217" t="s">
        <v>22</v>
      </c>
      <c r="AD217" t="s">
        <v>1090</v>
      </c>
      <c r="AE217">
        <v>1.3581722927372345E-4</v>
      </c>
      <c r="AG217" t="s">
        <v>99</v>
      </c>
      <c r="AH217" t="s">
        <v>1090</v>
      </c>
      <c r="AI217">
        <v>0</v>
      </c>
    </row>
    <row r="218" spans="5:35" x14ac:dyDescent="0.45">
      <c r="E218" t="s">
        <v>207</v>
      </c>
      <c r="G218" t="s">
        <v>444</v>
      </c>
      <c r="I218" t="s">
        <v>249</v>
      </c>
      <c r="J218" t="s">
        <v>1091</v>
      </c>
      <c r="K218">
        <v>0</v>
      </c>
      <c r="L218" t="s">
        <v>251</v>
      </c>
      <c r="N218" t="s">
        <v>419</v>
      </c>
      <c r="O218" t="s">
        <v>1091</v>
      </c>
      <c r="P218">
        <v>1.051504716212E-4</v>
      </c>
      <c r="Q218" t="s">
        <v>251</v>
      </c>
      <c r="S218" t="s">
        <v>420</v>
      </c>
      <c r="T218" t="s">
        <v>1091</v>
      </c>
      <c r="U218">
        <v>7.0965277844882216E-5</v>
      </c>
      <c r="V218" t="s">
        <v>251</v>
      </c>
      <c r="X218">
        <v>1.1415525114155251E-4</v>
      </c>
      <c r="Y218">
        <v>2.9833677249334962E-5</v>
      </c>
      <c r="Z218" t="s">
        <v>1091</v>
      </c>
      <c r="AA218" t="s">
        <v>25</v>
      </c>
      <c r="AC218" t="s">
        <v>22</v>
      </c>
      <c r="AD218" t="s">
        <v>1091</v>
      </c>
      <c r="AE218">
        <v>1.4459154144279247E-4</v>
      </c>
      <c r="AG218" t="s">
        <v>99</v>
      </c>
      <c r="AH218" t="s">
        <v>1091</v>
      </c>
      <c r="AI218">
        <v>0</v>
      </c>
    </row>
    <row r="219" spans="5:35" x14ac:dyDescent="0.45">
      <c r="E219" t="s">
        <v>208</v>
      </c>
      <c r="G219" t="s">
        <v>444</v>
      </c>
      <c r="I219" t="s">
        <v>249</v>
      </c>
      <c r="J219" t="s">
        <v>1092</v>
      </c>
      <c r="K219">
        <v>0</v>
      </c>
      <c r="L219" t="s">
        <v>251</v>
      </c>
      <c r="N219" t="s">
        <v>419</v>
      </c>
      <c r="O219" t="s">
        <v>1092</v>
      </c>
      <c r="P219">
        <v>9.9011874439216421E-5</v>
      </c>
      <c r="Q219" t="s">
        <v>251</v>
      </c>
      <c r="S219" t="s">
        <v>420</v>
      </c>
      <c r="T219" t="s">
        <v>1092</v>
      </c>
      <c r="U219">
        <v>1.7888538324510001E-4</v>
      </c>
      <c r="V219" t="s">
        <v>251</v>
      </c>
      <c r="X219">
        <v>1.1415525114155251E-4</v>
      </c>
      <c r="Y219">
        <v>2.1546544680075254E-5</v>
      </c>
      <c r="Z219" t="s">
        <v>1092</v>
      </c>
      <c r="AA219" t="s">
        <v>25</v>
      </c>
      <c r="AC219" t="s">
        <v>22</v>
      </c>
      <c r="AD219" t="s">
        <v>1092</v>
      </c>
      <c r="AE219">
        <v>1.3587679690555695E-4</v>
      </c>
      <c r="AG219" t="s">
        <v>99</v>
      </c>
      <c r="AH219" t="s">
        <v>1092</v>
      </c>
      <c r="AI219">
        <v>0</v>
      </c>
    </row>
    <row r="220" spans="5:35" x14ac:dyDescent="0.45">
      <c r="E220" t="s">
        <v>209</v>
      </c>
      <c r="G220" t="s">
        <v>444</v>
      </c>
      <c r="I220" t="s">
        <v>249</v>
      </c>
      <c r="J220" t="s">
        <v>1093</v>
      </c>
      <c r="K220">
        <v>0</v>
      </c>
      <c r="L220" t="s">
        <v>251</v>
      </c>
      <c r="N220" t="s">
        <v>419</v>
      </c>
      <c r="O220" t="s">
        <v>1093</v>
      </c>
      <c r="P220">
        <v>9.2317901848417563E-5</v>
      </c>
      <c r="Q220" t="s">
        <v>251</v>
      </c>
      <c r="S220" t="s">
        <v>420</v>
      </c>
      <c r="T220" t="s">
        <v>1093</v>
      </c>
      <c r="U220">
        <v>1.7584159365700001E-4</v>
      </c>
      <c r="V220" t="s">
        <v>251</v>
      </c>
      <c r="X220">
        <v>1.1415525114155251E-4</v>
      </c>
      <c r="Y220">
        <v>1.4916838624667481E-5</v>
      </c>
      <c r="Z220" t="s">
        <v>1093</v>
      </c>
      <c r="AA220" t="s">
        <v>25</v>
      </c>
      <c r="AC220" t="s">
        <v>22</v>
      </c>
      <c r="AD220" t="s">
        <v>1093</v>
      </c>
      <c r="AE220">
        <v>1.3320221023623444E-4</v>
      </c>
      <c r="AG220" t="s">
        <v>99</v>
      </c>
      <c r="AH220" t="s">
        <v>1093</v>
      </c>
      <c r="AI220">
        <v>0</v>
      </c>
    </row>
    <row r="221" spans="5:35" x14ac:dyDescent="0.45">
      <c r="E221" t="s">
        <v>210</v>
      </c>
      <c r="G221" t="s">
        <v>444</v>
      </c>
      <c r="I221" t="s">
        <v>249</v>
      </c>
      <c r="J221" t="s">
        <v>1094</v>
      </c>
      <c r="K221">
        <v>0</v>
      </c>
      <c r="L221" t="s">
        <v>251</v>
      </c>
      <c r="N221" t="s">
        <v>419</v>
      </c>
      <c r="O221" t="s">
        <v>1094</v>
      </c>
      <c r="P221">
        <v>9.7704179405763098E-5</v>
      </c>
      <c r="Q221" t="s">
        <v>251</v>
      </c>
      <c r="S221" t="s">
        <v>420</v>
      </c>
      <c r="T221" t="s">
        <v>1094</v>
      </c>
      <c r="U221">
        <v>1.734496916958E-4</v>
      </c>
      <c r="V221" t="s">
        <v>251</v>
      </c>
      <c r="X221">
        <v>1.1415525114155251E-4</v>
      </c>
      <c r="Y221">
        <v>1.6574265138519424E-5</v>
      </c>
      <c r="Z221" t="s">
        <v>1094</v>
      </c>
      <c r="AA221" t="s">
        <v>25</v>
      </c>
      <c r="AC221" t="s">
        <v>22</v>
      </c>
      <c r="AD221" t="s">
        <v>1094</v>
      </c>
      <c r="AE221">
        <v>1.324814418910496E-4</v>
      </c>
      <c r="AG221" t="s">
        <v>99</v>
      </c>
      <c r="AH221" t="s">
        <v>1094</v>
      </c>
      <c r="AI221">
        <v>0</v>
      </c>
    </row>
    <row r="222" spans="5:35" x14ac:dyDescent="0.45">
      <c r="E222" t="s">
        <v>211</v>
      </c>
      <c r="G222" t="s">
        <v>444</v>
      </c>
      <c r="I222" t="s">
        <v>249</v>
      </c>
      <c r="J222" t="s">
        <v>1095</v>
      </c>
      <c r="K222">
        <v>0</v>
      </c>
      <c r="L222" t="s">
        <v>251</v>
      </c>
      <c r="N222" t="s">
        <v>419</v>
      </c>
      <c r="O222" t="s">
        <v>1095</v>
      </c>
      <c r="P222">
        <v>9.7135070326067761E-5</v>
      </c>
      <c r="Q222" t="s">
        <v>251</v>
      </c>
      <c r="S222" t="s">
        <v>420</v>
      </c>
      <c r="T222" t="s">
        <v>1095</v>
      </c>
      <c r="U222">
        <v>1.7171897687779999E-4</v>
      </c>
      <c r="V222" t="s">
        <v>251</v>
      </c>
      <c r="X222">
        <v>1.1415525114155251E-4</v>
      </c>
      <c r="Y222">
        <v>1.4585353321897093E-5</v>
      </c>
      <c r="Z222" t="s">
        <v>1095</v>
      </c>
      <c r="AA222" t="s">
        <v>25</v>
      </c>
      <c r="AC222" t="s">
        <v>22</v>
      </c>
      <c r="AD222" t="s">
        <v>1095</v>
      </c>
      <c r="AE222">
        <v>1.324814418910496E-4</v>
      </c>
      <c r="AG222" t="s">
        <v>99</v>
      </c>
      <c r="AH222" t="s">
        <v>1095</v>
      </c>
      <c r="AI222">
        <v>0</v>
      </c>
    </row>
    <row r="223" spans="5:35" x14ac:dyDescent="0.45">
      <c r="E223" t="s">
        <v>212</v>
      </c>
      <c r="G223" t="s">
        <v>444</v>
      </c>
      <c r="I223" t="s">
        <v>249</v>
      </c>
      <c r="J223" t="s">
        <v>1096</v>
      </c>
      <c r="K223">
        <v>0</v>
      </c>
      <c r="L223" t="s">
        <v>251</v>
      </c>
      <c r="N223" t="s">
        <v>419</v>
      </c>
      <c r="O223" t="s">
        <v>1096</v>
      </c>
      <c r="P223">
        <v>9.0717427573766478E-5</v>
      </c>
      <c r="Q223" t="s">
        <v>251</v>
      </c>
      <c r="S223" t="s">
        <v>420</v>
      </c>
      <c r="T223" t="s">
        <v>1096</v>
      </c>
      <c r="U223">
        <v>1.6928037679770001E-4</v>
      </c>
      <c r="V223" t="s">
        <v>251</v>
      </c>
      <c r="X223">
        <v>1.1415525114155251E-4</v>
      </c>
      <c r="Y223">
        <v>2.1215059377304864E-5</v>
      </c>
      <c r="Z223" t="s">
        <v>1096</v>
      </c>
      <c r="AA223" t="s">
        <v>25</v>
      </c>
      <c r="AC223" t="s">
        <v>22</v>
      </c>
      <c r="AD223" t="s">
        <v>1096</v>
      </c>
      <c r="AE223">
        <v>1.3120073780663013E-4</v>
      </c>
      <c r="AG223" t="s">
        <v>99</v>
      </c>
      <c r="AH223" t="s">
        <v>1096</v>
      </c>
      <c r="AI223">
        <v>0</v>
      </c>
    </row>
    <row r="224" spans="5:35" x14ac:dyDescent="0.45">
      <c r="E224" t="s">
        <v>213</v>
      </c>
      <c r="G224" t="s">
        <v>444</v>
      </c>
      <c r="I224" t="s">
        <v>249</v>
      </c>
      <c r="J224" t="s">
        <v>1097</v>
      </c>
      <c r="K224">
        <v>0</v>
      </c>
      <c r="L224" t="s">
        <v>251</v>
      </c>
      <c r="N224" t="s">
        <v>419</v>
      </c>
      <c r="O224" t="s">
        <v>1097</v>
      </c>
      <c r="P224">
        <v>8.7038299323636233E-5</v>
      </c>
      <c r="Q224" t="s">
        <v>251</v>
      </c>
      <c r="S224" t="s">
        <v>420</v>
      </c>
      <c r="T224" t="s">
        <v>1097</v>
      </c>
      <c r="U224">
        <v>1.6511041646069999E-4</v>
      </c>
      <c r="V224" t="s">
        <v>251</v>
      </c>
      <c r="X224">
        <v>1.1415525114155251E-4</v>
      </c>
      <c r="Y224">
        <v>5.7678442682047593E-5</v>
      </c>
      <c r="Z224" t="s">
        <v>1097</v>
      </c>
      <c r="AA224" t="s">
        <v>25</v>
      </c>
      <c r="AC224" t="s">
        <v>22</v>
      </c>
      <c r="AD224" t="s">
        <v>1097</v>
      </c>
      <c r="AE224">
        <v>1.3229678223236583E-4</v>
      </c>
      <c r="AG224" t="s">
        <v>99</v>
      </c>
      <c r="AH224" t="s">
        <v>1097</v>
      </c>
      <c r="AI224">
        <v>0</v>
      </c>
    </row>
    <row r="225" spans="5:35" x14ac:dyDescent="0.45">
      <c r="E225" t="s">
        <v>214</v>
      </c>
      <c r="G225" t="s">
        <v>444</v>
      </c>
      <c r="I225" t="s">
        <v>249</v>
      </c>
      <c r="J225" t="s">
        <v>1098</v>
      </c>
      <c r="K225">
        <v>0</v>
      </c>
      <c r="L225" t="s">
        <v>251</v>
      </c>
      <c r="N225" t="s">
        <v>419</v>
      </c>
      <c r="O225" t="s">
        <v>1098</v>
      </c>
      <c r="P225">
        <v>8.526000945648069E-5</v>
      </c>
      <c r="Q225" t="s">
        <v>251</v>
      </c>
      <c r="S225" t="s">
        <v>420</v>
      </c>
      <c r="T225" t="s">
        <v>1098</v>
      </c>
      <c r="U225">
        <v>1.620963691464E-4</v>
      </c>
      <c r="V225" t="s">
        <v>251</v>
      </c>
      <c r="X225">
        <v>1.1415525114155251E-4</v>
      </c>
      <c r="Y225">
        <v>1.6905750441289813E-4</v>
      </c>
      <c r="Z225" t="s">
        <v>1098</v>
      </c>
      <c r="AA225" t="s">
        <v>25</v>
      </c>
      <c r="AC225" t="s">
        <v>22</v>
      </c>
      <c r="AD225" t="s">
        <v>1098</v>
      </c>
      <c r="AE225">
        <v>1.3383958389685252E-4</v>
      </c>
      <c r="AG225" t="s">
        <v>99</v>
      </c>
      <c r="AH225" t="s">
        <v>1098</v>
      </c>
      <c r="AI225">
        <v>0</v>
      </c>
    </row>
    <row r="226" spans="5:35" x14ac:dyDescent="0.45">
      <c r="E226" t="s">
        <v>215</v>
      </c>
      <c r="G226" t="s">
        <v>444</v>
      </c>
      <c r="I226" t="s">
        <v>249</v>
      </c>
      <c r="J226" t="s">
        <v>1099</v>
      </c>
      <c r="K226">
        <v>1.117936708321E-4</v>
      </c>
      <c r="L226" t="s">
        <v>251</v>
      </c>
      <c r="N226" t="s">
        <v>419</v>
      </c>
      <c r="O226" t="s">
        <v>1099</v>
      </c>
      <c r="P226">
        <v>7.9829225194584345E-5</v>
      </c>
      <c r="Q226" t="s">
        <v>251</v>
      </c>
      <c r="S226" t="s">
        <v>420</v>
      </c>
      <c r="T226" t="s">
        <v>1099</v>
      </c>
      <c r="U226">
        <v>1.440016246186E-4</v>
      </c>
      <c r="V226" t="s">
        <v>251</v>
      </c>
      <c r="X226">
        <v>1.1415525114155251E-4</v>
      </c>
      <c r="Y226">
        <v>1.9060404909297337E-4</v>
      </c>
      <c r="Z226" t="s">
        <v>1099</v>
      </c>
      <c r="AA226" t="s">
        <v>25</v>
      </c>
      <c r="AC226" t="s">
        <v>22</v>
      </c>
      <c r="AD226" t="s">
        <v>1099</v>
      </c>
      <c r="AE226">
        <v>1.3726472272727663E-4</v>
      </c>
      <c r="AG226" t="s">
        <v>99</v>
      </c>
      <c r="AH226" t="s">
        <v>1099</v>
      </c>
      <c r="AI226">
        <v>0</v>
      </c>
    </row>
    <row r="227" spans="5:35" x14ac:dyDescent="0.45">
      <c r="E227" t="s">
        <v>216</v>
      </c>
      <c r="G227" t="s">
        <v>808</v>
      </c>
      <c r="I227" t="s">
        <v>249</v>
      </c>
      <c r="J227" t="s">
        <v>1100</v>
      </c>
      <c r="K227">
        <v>1.902613883354E-4</v>
      </c>
      <c r="L227" t="s">
        <v>251</v>
      </c>
      <c r="N227" t="s">
        <v>419</v>
      </c>
      <c r="O227" t="s">
        <v>1100</v>
      </c>
      <c r="P227">
        <v>7.2926153808321832E-5</v>
      </c>
      <c r="Q227" t="s">
        <v>251</v>
      </c>
      <c r="S227" t="s">
        <v>420</v>
      </c>
      <c r="T227" t="s">
        <v>1100</v>
      </c>
      <c r="U227">
        <v>1.3495106829910001E-4</v>
      </c>
      <c r="V227" t="s">
        <v>251</v>
      </c>
      <c r="X227">
        <v>1.1415525114155251E-4</v>
      </c>
      <c r="Y227">
        <v>1.4585353321897094E-4</v>
      </c>
      <c r="Z227" t="s">
        <v>1100</v>
      </c>
      <c r="AA227" t="s">
        <v>25</v>
      </c>
      <c r="AC227" t="s">
        <v>22</v>
      </c>
      <c r="AD227" t="s">
        <v>1100</v>
      </c>
      <c r="AE227">
        <v>1.3807484252021168E-4</v>
      </c>
      <c r="AG227" t="s">
        <v>99</v>
      </c>
      <c r="AH227" t="s">
        <v>1100</v>
      </c>
      <c r="AI227">
        <v>0</v>
      </c>
    </row>
    <row r="228" spans="5:35" x14ac:dyDescent="0.45">
      <c r="E228" t="s">
        <v>217</v>
      </c>
      <c r="G228" t="s">
        <v>808</v>
      </c>
      <c r="I228" t="s">
        <v>249</v>
      </c>
      <c r="J228" t="s">
        <v>1101</v>
      </c>
      <c r="K228">
        <v>2.1555291863029999E-4</v>
      </c>
      <c r="L228" t="s">
        <v>251</v>
      </c>
      <c r="N228" t="s">
        <v>419</v>
      </c>
      <c r="O228" t="s">
        <v>1101</v>
      </c>
      <c r="P228">
        <v>7.0819400444874594E-5</v>
      </c>
      <c r="Q228" t="s">
        <v>251</v>
      </c>
      <c r="S228" t="s">
        <v>420</v>
      </c>
      <c r="T228" t="s">
        <v>1101</v>
      </c>
      <c r="U228">
        <v>1.2605769839E-4</v>
      </c>
      <c r="V228" t="s">
        <v>251</v>
      </c>
      <c r="X228">
        <v>1.1415525114155251E-4</v>
      </c>
      <c r="Y228">
        <v>1.4452759200788939E-4</v>
      </c>
      <c r="Z228" t="s">
        <v>1101</v>
      </c>
      <c r="AA228" t="s">
        <v>25</v>
      </c>
      <c r="AC228" t="s">
        <v>22</v>
      </c>
      <c r="AD228" t="s">
        <v>1101</v>
      </c>
      <c r="AE228">
        <v>1.3901005433999706E-4</v>
      </c>
      <c r="AG228" t="s">
        <v>99</v>
      </c>
      <c r="AH228" t="s">
        <v>1101</v>
      </c>
      <c r="AI228">
        <v>0</v>
      </c>
    </row>
    <row r="229" spans="5:35" x14ac:dyDescent="0.45">
      <c r="E229" t="s">
        <v>218</v>
      </c>
      <c r="G229" t="s">
        <v>808</v>
      </c>
      <c r="I229" t="s">
        <v>249</v>
      </c>
      <c r="J229" t="s">
        <v>1102</v>
      </c>
      <c r="K229">
        <v>2.3244854707060001E-4</v>
      </c>
      <c r="L229" t="s">
        <v>251</v>
      </c>
      <c r="N229" t="s">
        <v>419</v>
      </c>
      <c r="O229" t="s">
        <v>1102</v>
      </c>
      <c r="P229">
        <v>7.795953145240669E-5</v>
      </c>
      <c r="Q229" t="s">
        <v>251</v>
      </c>
      <c r="S229" t="s">
        <v>420</v>
      </c>
      <c r="T229" t="s">
        <v>1102</v>
      </c>
      <c r="U229">
        <v>1.251015483586E-4</v>
      </c>
      <c r="V229" t="s">
        <v>251</v>
      </c>
      <c r="X229">
        <v>1.1415525114155251E-4</v>
      </c>
      <c r="Y229">
        <v>1.408812536774151E-4</v>
      </c>
      <c r="Z229" t="s">
        <v>1102</v>
      </c>
      <c r="AA229" t="s">
        <v>25</v>
      </c>
      <c r="AC229" t="s">
        <v>22</v>
      </c>
      <c r="AD229" t="s">
        <v>1102</v>
      </c>
      <c r="AE229">
        <v>1.4417456801995822E-4</v>
      </c>
      <c r="AG229" t="s">
        <v>99</v>
      </c>
      <c r="AH229" t="s">
        <v>1102</v>
      </c>
      <c r="AI229">
        <v>0</v>
      </c>
    </row>
    <row r="230" spans="5:35" x14ac:dyDescent="0.45">
      <c r="E230" t="s">
        <v>219</v>
      </c>
      <c r="G230" t="s">
        <v>808</v>
      </c>
      <c r="I230" t="s">
        <v>249</v>
      </c>
      <c r="J230" t="s">
        <v>1103</v>
      </c>
      <c r="K230">
        <v>2.5328374536510003E-4</v>
      </c>
      <c r="L230" t="s">
        <v>251</v>
      </c>
      <c r="N230" t="s">
        <v>419</v>
      </c>
      <c r="O230" t="s">
        <v>1103</v>
      </c>
      <c r="P230">
        <v>7.8056679523525637E-5</v>
      </c>
      <c r="Q230" t="s">
        <v>251</v>
      </c>
      <c r="S230" t="s">
        <v>420</v>
      </c>
      <c r="T230" t="s">
        <v>1103</v>
      </c>
      <c r="U230">
        <v>1.2569594612990001E-4</v>
      </c>
      <c r="V230" t="s">
        <v>251</v>
      </c>
      <c r="X230">
        <v>1.1415525114155251E-4</v>
      </c>
      <c r="Y230">
        <v>1.4054976837464471E-4</v>
      </c>
      <c r="Z230" t="s">
        <v>1103</v>
      </c>
      <c r="AA230" t="s">
        <v>25</v>
      </c>
      <c r="AC230" t="s">
        <v>22</v>
      </c>
      <c r="AD230" t="s">
        <v>1103</v>
      </c>
      <c r="AE230">
        <v>1.3862286473307955E-4</v>
      </c>
      <c r="AG230" t="s">
        <v>99</v>
      </c>
      <c r="AH230" t="s">
        <v>1103</v>
      </c>
      <c r="AI230">
        <v>0</v>
      </c>
    </row>
    <row r="231" spans="5:35" x14ac:dyDescent="0.45">
      <c r="E231" t="s">
        <v>220</v>
      </c>
      <c r="G231" t="s">
        <v>808</v>
      </c>
      <c r="I231" t="s">
        <v>249</v>
      </c>
      <c r="J231" t="s">
        <v>1104</v>
      </c>
      <c r="K231">
        <v>2.7644433560649999E-4</v>
      </c>
      <c r="L231" t="s">
        <v>251</v>
      </c>
      <c r="N231" t="s">
        <v>419</v>
      </c>
      <c r="O231" t="s">
        <v>1104</v>
      </c>
      <c r="P231">
        <v>7.6659841992412871E-5</v>
      </c>
      <c r="Q231" t="s">
        <v>251</v>
      </c>
      <c r="S231" t="s">
        <v>420</v>
      </c>
      <c r="T231" t="s">
        <v>1104</v>
      </c>
      <c r="U231">
        <v>1.3046790430680001E-4</v>
      </c>
      <c r="V231" t="s">
        <v>251</v>
      </c>
      <c r="X231">
        <v>1.1415525114155251E-4</v>
      </c>
      <c r="Y231">
        <v>1.4253868019126702E-4</v>
      </c>
      <c r="Z231" t="s">
        <v>1104</v>
      </c>
      <c r="AA231" t="s">
        <v>25</v>
      </c>
      <c r="AC231" t="s">
        <v>22</v>
      </c>
      <c r="AD231" t="s">
        <v>1104</v>
      </c>
      <c r="AE231">
        <v>1.3305924791983417E-4</v>
      </c>
      <c r="AG231" t="s">
        <v>99</v>
      </c>
      <c r="AH231" t="s">
        <v>1104</v>
      </c>
      <c r="AI231">
        <v>0</v>
      </c>
    </row>
    <row r="232" spans="5:35" x14ac:dyDescent="0.45">
      <c r="E232" t="s">
        <v>221</v>
      </c>
      <c r="G232" t="s">
        <v>808</v>
      </c>
      <c r="I232" t="s">
        <v>249</v>
      </c>
      <c r="J232" t="s">
        <v>1105</v>
      </c>
      <c r="K232">
        <v>2.6916003726780002E-4</v>
      </c>
      <c r="L232" t="s">
        <v>251</v>
      </c>
      <c r="N232" t="s">
        <v>419</v>
      </c>
      <c r="O232" t="s">
        <v>1105</v>
      </c>
      <c r="P232">
        <v>7.3611968701881998E-5</v>
      </c>
      <c r="Q232" t="s">
        <v>251</v>
      </c>
      <c r="S232" t="s">
        <v>420</v>
      </c>
      <c r="T232" t="s">
        <v>1105</v>
      </c>
      <c r="U232">
        <v>1.3890406581209999E-4</v>
      </c>
      <c r="V232" t="s">
        <v>251</v>
      </c>
      <c r="X232">
        <v>1.1415525114155251E-4</v>
      </c>
      <c r="Y232">
        <v>1.4883690094390442E-4</v>
      </c>
      <c r="Z232" t="s">
        <v>1105</v>
      </c>
      <c r="AA232" t="s">
        <v>25</v>
      </c>
      <c r="AC232" t="s">
        <v>22</v>
      </c>
      <c r="AD232" t="s">
        <v>1105</v>
      </c>
      <c r="AE232">
        <v>1.187749298061699E-4</v>
      </c>
      <c r="AG232" t="s">
        <v>99</v>
      </c>
      <c r="AH232" t="s">
        <v>1105</v>
      </c>
      <c r="AI232">
        <v>0</v>
      </c>
    </row>
    <row r="233" spans="5:35" x14ac:dyDescent="0.45">
      <c r="E233" t="s">
        <v>222</v>
      </c>
      <c r="G233" t="s">
        <v>808</v>
      </c>
      <c r="I233" t="s">
        <v>249</v>
      </c>
      <c r="J233" t="s">
        <v>1106</v>
      </c>
      <c r="K233">
        <v>2.497588006954E-4</v>
      </c>
      <c r="L233" t="s">
        <v>251</v>
      </c>
      <c r="N233" t="s">
        <v>419</v>
      </c>
      <c r="O233" t="s">
        <v>1106</v>
      </c>
      <c r="P233">
        <v>6.9312442531370519E-5</v>
      </c>
      <c r="Q233" t="s">
        <v>251</v>
      </c>
      <c r="S233" t="s">
        <v>420</v>
      </c>
      <c r="T233" t="s">
        <v>1106</v>
      </c>
      <c r="U233">
        <v>1.4412052937559999E-4</v>
      </c>
      <c r="V233" t="s">
        <v>251</v>
      </c>
      <c r="X233">
        <v>1.1415525114155251E-4</v>
      </c>
      <c r="Y233">
        <v>1.5049432745775637E-4</v>
      </c>
      <c r="Z233" t="s">
        <v>1106</v>
      </c>
      <c r="AA233" t="s">
        <v>25</v>
      </c>
      <c r="AC233" t="s">
        <v>22</v>
      </c>
      <c r="AD233" t="s">
        <v>1106</v>
      </c>
      <c r="AE233">
        <v>1.0851738360444769E-4</v>
      </c>
      <c r="AG233" t="s">
        <v>99</v>
      </c>
      <c r="AH233" t="s">
        <v>1106</v>
      </c>
      <c r="AI233">
        <v>0</v>
      </c>
    </row>
    <row r="234" spans="5:35" x14ac:dyDescent="0.45">
      <c r="E234" t="s">
        <v>223</v>
      </c>
      <c r="G234" t="s">
        <v>808</v>
      </c>
      <c r="I234" t="s">
        <v>249</v>
      </c>
      <c r="J234" t="s">
        <v>1107</v>
      </c>
      <c r="K234">
        <v>2.3748179635440001E-4</v>
      </c>
      <c r="L234" t="s">
        <v>251</v>
      </c>
      <c r="N234" t="s">
        <v>419</v>
      </c>
      <c r="O234" t="s">
        <v>1107</v>
      </c>
      <c r="P234">
        <v>6.287289023857355E-5</v>
      </c>
      <c r="Q234" t="s">
        <v>251</v>
      </c>
      <c r="S234" t="s">
        <v>420</v>
      </c>
      <c r="T234" t="s">
        <v>1107</v>
      </c>
      <c r="U234">
        <v>1.4370004655720001E-4</v>
      </c>
      <c r="V234" t="s">
        <v>251</v>
      </c>
      <c r="X234">
        <v>1.1415525114155251E-4</v>
      </c>
      <c r="Y234">
        <v>1.7237235744060203E-4</v>
      </c>
      <c r="Z234" t="s">
        <v>1107</v>
      </c>
      <c r="AA234" t="s">
        <v>25</v>
      </c>
      <c r="AC234" t="s">
        <v>22</v>
      </c>
      <c r="AD234" t="s">
        <v>1107</v>
      </c>
      <c r="AE234">
        <v>8.9938239235590802E-5</v>
      </c>
      <c r="AG234" t="s">
        <v>99</v>
      </c>
      <c r="AH234" t="s">
        <v>1107</v>
      </c>
      <c r="AI234">
        <v>0</v>
      </c>
    </row>
    <row r="235" spans="5:35" x14ac:dyDescent="0.45">
      <c r="E235" t="s">
        <v>224</v>
      </c>
      <c r="G235" t="s">
        <v>808</v>
      </c>
      <c r="I235" t="s">
        <v>249</v>
      </c>
      <c r="J235" t="s">
        <v>1108</v>
      </c>
      <c r="K235">
        <v>2.206478996578E-4</v>
      </c>
      <c r="L235" t="s">
        <v>251</v>
      </c>
      <c r="N235" t="s">
        <v>419</v>
      </c>
      <c r="O235" t="s">
        <v>1108</v>
      </c>
      <c r="P235">
        <v>5.8295998798269667E-5</v>
      </c>
      <c r="Q235" t="s">
        <v>251</v>
      </c>
      <c r="S235" t="s">
        <v>420</v>
      </c>
      <c r="T235" t="s">
        <v>1108</v>
      </c>
      <c r="U235">
        <v>1.347659553941E-4</v>
      </c>
      <c r="V235" t="s">
        <v>251</v>
      </c>
      <c r="X235">
        <v>1.1415525114155251E-4</v>
      </c>
      <c r="Y235">
        <v>2.2209515285616027E-4</v>
      </c>
      <c r="Z235" t="s">
        <v>1108</v>
      </c>
      <c r="AA235" t="s">
        <v>25</v>
      </c>
      <c r="AC235" t="s">
        <v>22</v>
      </c>
      <c r="AD235" t="s">
        <v>1108</v>
      </c>
      <c r="AE235">
        <v>8.6602451852916922E-5</v>
      </c>
      <c r="AG235" t="s">
        <v>99</v>
      </c>
      <c r="AH235" t="s">
        <v>1108</v>
      </c>
      <c r="AI235">
        <v>0</v>
      </c>
    </row>
    <row r="236" spans="5:35" x14ac:dyDescent="0.45">
      <c r="E236" t="s">
        <v>225</v>
      </c>
      <c r="G236" t="s">
        <v>808</v>
      </c>
      <c r="I236" t="s">
        <v>249</v>
      </c>
      <c r="J236" t="s">
        <v>1109</v>
      </c>
      <c r="K236">
        <v>1.723403902744E-4</v>
      </c>
      <c r="L236" t="s">
        <v>251</v>
      </c>
      <c r="N236" t="s">
        <v>419</v>
      </c>
      <c r="O236" t="s">
        <v>1109</v>
      </c>
      <c r="P236">
        <v>5.0835327776291437E-5</v>
      </c>
      <c r="Q236" t="s">
        <v>251</v>
      </c>
      <c r="S236" t="s">
        <v>420</v>
      </c>
      <c r="T236" t="s">
        <v>1109</v>
      </c>
      <c r="U236">
        <v>1.2780750820389999E-4</v>
      </c>
      <c r="V236" t="s">
        <v>251</v>
      </c>
      <c r="X236">
        <v>1.1415525114155251E-4</v>
      </c>
      <c r="Y236">
        <v>2.2209515285616027E-4</v>
      </c>
      <c r="Z236" t="s">
        <v>1109</v>
      </c>
      <c r="AA236" t="s">
        <v>25</v>
      </c>
      <c r="AC236" t="s">
        <v>22</v>
      </c>
      <c r="AD236" t="s">
        <v>1109</v>
      </c>
      <c r="AE236">
        <v>8.2474414966857978E-5</v>
      </c>
      <c r="AG236" t="s">
        <v>99</v>
      </c>
      <c r="AH236" t="s">
        <v>1109</v>
      </c>
      <c r="AI236">
        <v>0</v>
      </c>
    </row>
    <row r="237" spans="5:35" x14ac:dyDescent="0.45">
      <c r="E237" t="s">
        <v>226</v>
      </c>
      <c r="G237" t="s">
        <v>808</v>
      </c>
      <c r="I237" t="s">
        <v>249</v>
      </c>
      <c r="J237" t="s">
        <v>1110</v>
      </c>
      <c r="K237">
        <v>6.3429838959689946E-5</v>
      </c>
      <c r="L237" t="s">
        <v>251</v>
      </c>
      <c r="N237" t="s">
        <v>419</v>
      </c>
      <c r="O237" t="s">
        <v>1110</v>
      </c>
      <c r="P237">
        <v>4.3693083803145287E-5</v>
      </c>
      <c r="Q237" t="s">
        <v>251</v>
      </c>
      <c r="S237" t="s">
        <v>420</v>
      </c>
      <c r="T237" t="s">
        <v>1110</v>
      </c>
      <c r="U237">
        <v>1.2589858391029999E-4</v>
      </c>
      <c r="V237" t="s">
        <v>251</v>
      </c>
      <c r="X237">
        <v>1.1415525114155251E-4</v>
      </c>
      <c r="Y237">
        <v>1.7237235744060203E-4</v>
      </c>
      <c r="Z237" t="s">
        <v>1110</v>
      </c>
      <c r="AA237" t="s">
        <v>25</v>
      </c>
      <c r="AC237" t="s">
        <v>22</v>
      </c>
      <c r="AD237" t="s">
        <v>1110</v>
      </c>
      <c r="AE237">
        <v>8.3689594656260612E-5</v>
      </c>
      <c r="AG237" t="s">
        <v>99</v>
      </c>
      <c r="AH237" t="s">
        <v>1110</v>
      </c>
      <c r="AI237">
        <v>0</v>
      </c>
    </row>
    <row r="238" spans="5:35" x14ac:dyDescent="0.45">
      <c r="E238" t="s">
        <v>227</v>
      </c>
      <c r="G238" t="s">
        <v>808</v>
      </c>
      <c r="I238" t="s">
        <v>249</v>
      </c>
      <c r="J238" t="s">
        <v>1111</v>
      </c>
      <c r="K238">
        <v>0</v>
      </c>
      <c r="L238" t="s">
        <v>251</v>
      </c>
      <c r="N238" t="s">
        <v>419</v>
      </c>
      <c r="O238" t="s">
        <v>1111</v>
      </c>
      <c r="P238">
        <v>3.8169455730886046E-5</v>
      </c>
      <c r="Q238" t="s">
        <v>251</v>
      </c>
      <c r="S238" t="s">
        <v>420</v>
      </c>
      <c r="T238" t="s">
        <v>1111</v>
      </c>
      <c r="U238">
        <v>1.2733183655939999E-4</v>
      </c>
      <c r="V238" t="s">
        <v>251</v>
      </c>
      <c r="X238">
        <v>1.1415525114155251E-4</v>
      </c>
      <c r="Y238">
        <v>1.5579809230208258E-4</v>
      </c>
      <c r="Z238" t="s">
        <v>1111</v>
      </c>
      <c r="AA238" t="s">
        <v>25</v>
      </c>
      <c r="AC238" t="s">
        <v>22</v>
      </c>
      <c r="AD238" t="s">
        <v>1111</v>
      </c>
      <c r="AE238">
        <v>8.7275566092635042E-5</v>
      </c>
      <c r="AG238" t="s">
        <v>99</v>
      </c>
      <c r="AH238" t="s">
        <v>1111</v>
      </c>
      <c r="AI238">
        <v>0</v>
      </c>
    </row>
    <row r="239" spans="5:35" x14ac:dyDescent="0.45">
      <c r="E239" t="s">
        <v>228</v>
      </c>
      <c r="G239" t="s">
        <v>808</v>
      </c>
      <c r="I239" t="s">
        <v>249</v>
      </c>
      <c r="J239" t="s">
        <v>1112</v>
      </c>
      <c r="K239">
        <v>0</v>
      </c>
      <c r="L239" t="s">
        <v>251</v>
      </c>
      <c r="N239" t="s">
        <v>419</v>
      </c>
      <c r="O239" t="s">
        <v>1112</v>
      </c>
      <c r="P239">
        <v>3.6587430469457945E-5</v>
      </c>
      <c r="Q239" t="s">
        <v>251</v>
      </c>
      <c r="S239" t="s">
        <v>420</v>
      </c>
      <c r="T239" t="s">
        <v>1112</v>
      </c>
      <c r="U239">
        <v>1.2454762944109999E-4</v>
      </c>
      <c r="V239" t="s">
        <v>251</v>
      </c>
      <c r="X239">
        <v>1.1415525114155251E-4</v>
      </c>
      <c r="Y239">
        <v>1.093901499142282E-4</v>
      </c>
      <c r="Z239" t="s">
        <v>1112</v>
      </c>
      <c r="AA239" t="s">
        <v>25</v>
      </c>
      <c r="AC239" t="s">
        <v>22</v>
      </c>
      <c r="AD239" t="s">
        <v>1112</v>
      </c>
      <c r="AE239">
        <v>1.033766969772199E-4</v>
      </c>
      <c r="AG239" t="s">
        <v>99</v>
      </c>
      <c r="AH239" t="s">
        <v>1112</v>
      </c>
      <c r="AI239">
        <v>0</v>
      </c>
    </row>
    <row r="240" spans="5:35" x14ac:dyDescent="0.45">
      <c r="E240" t="s">
        <v>229</v>
      </c>
      <c r="G240" t="s">
        <v>808</v>
      </c>
      <c r="I240" t="s">
        <v>249</v>
      </c>
      <c r="J240" t="s">
        <v>1113</v>
      </c>
      <c r="K240">
        <v>0</v>
      </c>
      <c r="L240" t="s">
        <v>251</v>
      </c>
      <c r="N240" t="s">
        <v>419</v>
      </c>
      <c r="O240" t="s">
        <v>1113</v>
      </c>
      <c r="P240">
        <v>3.8311226332642122E-5</v>
      </c>
      <c r="Q240" t="s">
        <v>251</v>
      </c>
      <c r="S240" t="s">
        <v>420</v>
      </c>
      <c r="T240" t="s">
        <v>1113</v>
      </c>
      <c r="U240">
        <v>1.201934818931E-4</v>
      </c>
      <c r="V240" t="s">
        <v>251</v>
      </c>
      <c r="X240">
        <v>1.1415525114155251E-4</v>
      </c>
      <c r="Y240">
        <v>7.9556472664893237E-5</v>
      </c>
      <c r="Z240" t="s">
        <v>1113</v>
      </c>
      <c r="AA240" t="s">
        <v>25</v>
      </c>
      <c r="AC240" t="s">
        <v>22</v>
      </c>
      <c r="AD240" t="s">
        <v>1113</v>
      </c>
      <c r="AE240">
        <v>1.2085384015715773E-4</v>
      </c>
      <c r="AG240" t="s">
        <v>99</v>
      </c>
      <c r="AH240" t="s">
        <v>1113</v>
      </c>
      <c r="AI240">
        <v>0</v>
      </c>
    </row>
    <row r="241" spans="5:35" x14ac:dyDescent="0.45">
      <c r="E241" t="s">
        <v>230</v>
      </c>
      <c r="G241" t="s">
        <v>808</v>
      </c>
      <c r="I241" t="s">
        <v>249</v>
      </c>
      <c r="J241" t="s">
        <v>1114</v>
      </c>
      <c r="K241">
        <v>0</v>
      </c>
      <c r="L241" t="s">
        <v>251</v>
      </c>
      <c r="N241" t="s">
        <v>419</v>
      </c>
      <c r="O241" t="s">
        <v>1114</v>
      </c>
      <c r="P241">
        <v>3.866296388230255E-5</v>
      </c>
      <c r="Q241" t="s">
        <v>251</v>
      </c>
      <c r="S241" t="s">
        <v>420</v>
      </c>
      <c r="T241" t="s">
        <v>1114</v>
      </c>
      <c r="U241">
        <v>1.113364856344E-4</v>
      </c>
      <c r="V241" t="s">
        <v>251</v>
      </c>
      <c r="X241">
        <v>1.1415525114155251E-4</v>
      </c>
      <c r="Y241">
        <v>5.6352501470966035E-5</v>
      </c>
      <c r="Z241" t="s">
        <v>1114</v>
      </c>
      <c r="AA241" t="s">
        <v>25</v>
      </c>
      <c r="AC241" t="s">
        <v>22</v>
      </c>
      <c r="AD241" t="s">
        <v>1114</v>
      </c>
      <c r="AE241">
        <v>1.2911587069245895E-4</v>
      </c>
      <c r="AG241" t="s">
        <v>99</v>
      </c>
      <c r="AH241" t="s">
        <v>1114</v>
      </c>
      <c r="AI241">
        <v>0</v>
      </c>
    </row>
    <row r="242" spans="5:35" x14ac:dyDescent="0.45">
      <c r="E242" t="s">
        <v>231</v>
      </c>
      <c r="G242" t="s">
        <v>808</v>
      </c>
      <c r="I242" t="s">
        <v>249</v>
      </c>
      <c r="J242" t="s">
        <v>1115</v>
      </c>
      <c r="K242">
        <v>0</v>
      </c>
      <c r="L242" t="s">
        <v>251</v>
      </c>
      <c r="N242" t="s">
        <v>419</v>
      </c>
      <c r="O242" t="s">
        <v>1115</v>
      </c>
      <c r="P242">
        <v>3.9185326789081633E-5</v>
      </c>
      <c r="Q242" t="s">
        <v>251</v>
      </c>
      <c r="S242" t="s">
        <v>420</v>
      </c>
      <c r="T242" t="s">
        <v>1115</v>
      </c>
      <c r="U242">
        <v>1.054125249144E-4</v>
      </c>
      <c r="V242" t="s">
        <v>251</v>
      </c>
      <c r="X242">
        <v>1.1415525114155251E-4</v>
      </c>
      <c r="Y242">
        <v>2.9833677249334962E-5</v>
      </c>
      <c r="Z242" t="s">
        <v>1115</v>
      </c>
      <c r="AA242" t="s">
        <v>25</v>
      </c>
      <c r="AC242" t="s">
        <v>22</v>
      </c>
      <c r="AD242" t="s">
        <v>1115</v>
      </c>
      <c r="AE242">
        <v>1.3741364180686026E-4</v>
      </c>
      <c r="AG242" t="s">
        <v>99</v>
      </c>
      <c r="AH242" t="s">
        <v>1115</v>
      </c>
      <c r="AI242">
        <v>0</v>
      </c>
    </row>
    <row r="243" spans="5:35" x14ac:dyDescent="0.45">
      <c r="E243" t="s">
        <v>232</v>
      </c>
      <c r="G243" t="s">
        <v>808</v>
      </c>
      <c r="I243" t="s">
        <v>249</v>
      </c>
      <c r="J243" t="s">
        <v>339</v>
      </c>
      <c r="K243">
        <v>0</v>
      </c>
      <c r="L243" t="s">
        <v>251</v>
      </c>
      <c r="N243" t="s">
        <v>419</v>
      </c>
      <c r="O243" t="s">
        <v>339</v>
      </c>
      <c r="P243">
        <v>1.9918944741419243E-2</v>
      </c>
      <c r="Q243" t="s">
        <v>251</v>
      </c>
      <c r="S243" t="s">
        <v>420</v>
      </c>
      <c r="T243" t="s">
        <v>339</v>
      </c>
      <c r="U243">
        <v>2.0932038208500214E-2</v>
      </c>
      <c r="V243" t="s">
        <v>251</v>
      </c>
      <c r="X243">
        <v>1.7808219178082191E-2</v>
      </c>
      <c r="Y243">
        <v>3.8094290994373043E-3</v>
      </c>
      <c r="Z243" t="s">
        <v>339</v>
      </c>
      <c r="AA243" t="s">
        <v>25</v>
      </c>
      <c r="AC243" t="s">
        <v>22</v>
      </c>
      <c r="AD243" t="s">
        <v>339</v>
      </c>
      <c r="AE243">
        <v>1.9257320634277143E-2</v>
      </c>
      <c r="AG243" t="s">
        <v>99</v>
      </c>
      <c r="AH243" t="s">
        <v>339</v>
      </c>
      <c r="AI243">
        <v>5.7524346228063239E-2</v>
      </c>
    </row>
    <row r="244" spans="5:35" x14ac:dyDescent="0.45">
      <c r="E244" t="s">
        <v>233</v>
      </c>
      <c r="G244" t="s">
        <v>808</v>
      </c>
      <c r="I244" t="s">
        <v>249</v>
      </c>
      <c r="J244" t="s">
        <v>340</v>
      </c>
      <c r="K244">
        <v>7.0315540118089754E-4</v>
      </c>
      <c r="L244" t="s">
        <v>251</v>
      </c>
      <c r="N244" t="s">
        <v>419</v>
      </c>
      <c r="O244" t="s">
        <v>340</v>
      </c>
      <c r="P244">
        <v>3.2062489923075717E-3</v>
      </c>
      <c r="Q244" t="s">
        <v>251</v>
      </c>
      <c r="S244" t="s">
        <v>420</v>
      </c>
      <c r="T244" t="s">
        <v>340</v>
      </c>
      <c r="U244">
        <v>3.4253517348963986E-3</v>
      </c>
      <c r="V244" t="s">
        <v>251</v>
      </c>
      <c r="X244">
        <v>2.9680365296803654E-3</v>
      </c>
      <c r="Y244">
        <v>4.3954951147353524E-3</v>
      </c>
      <c r="Z244" t="s">
        <v>340</v>
      </c>
      <c r="AA244" t="s">
        <v>25</v>
      </c>
      <c r="AC244" t="s">
        <v>22</v>
      </c>
      <c r="AD244" t="s">
        <v>340</v>
      </c>
      <c r="AE244">
        <v>3.2186424668701132E-3</v>
      </c>
      <c r="AG244" t="s">
        <v>99</v>
      </c>
      <c r="AH244" t="s">
        <v>340</v>
      </c>
      <c r="AI244">
        <v>4.2247575978988428E-2</v>
      </c>
    </row>
    <row r="245" spans="5:35" x14ac:dyDescent="0.45">
      <c r="E245" t="s">
        <v>234</v>
      </c>
      <c r="G245" t="s">
        <v>808</v>
      </c>
      <c r="I245" t="s">
        <v>249</v>
      </c>
      <c r="J245" t="s">
        <v>341</v>
      </c>
      <c r="K245">
        <v>4.4539982465222998E-3</v>
      </c>
      <c r="L245" t="s">
        <v>251</v>
      </c>
      <c r="N245" t="s">
        <v>419</v>
      </c>
      <c r="O245" t="s">
        <v>341</v>
      </c>
      <c r="P245">
        <v>2.9460993127129777E-3</v>
      </c>
      <c r="Q245" t="s">
        <v>251</v>
      </c>
      <c r="S245" t="s">
        <v>420</v>
      </c>
      <c r="T245" t="s">
        <v>341</v>
      </c>
      <c r="U245">
        <v>3.4295740250178727E-3</v>
      </c>
      <c r="V245" t="s">
        <v>251</v>
      </c>
      <c r="X245">
        <v>2.9680365296803654E-3</v>
      </c>
      <c r="Y245">
        <v>4.9557052764173069E-3</v>
      </c>
      <c r="Z245" t="s">
        <v>341</v>
      </c>
      <c r="AA245" t="s">
        <v>25</v>
      </c>
      <c r="AC245" t="s">
        <v>22</v>
      </c>
      <c r="AD245" t="s">
        <v>341</v>
      </c>
      <c r="AE245">
        <v>3.2564679130843615E-3</v>
      </c>
      <c r="AG245" t="s">
        <v>99</v>
      </c>
      <c r="AH245" t="s">
        <v>341</v>
      </c>
      <c r="AI245">
        <v>4.2580341769392627E-2</v>
      </c>
    </row>
    <row r="246" spans="5:35" x14ac:dyDescent="0.45">
      <c r="E246" t="s">
        <v>235</v>
      </c>
      <c r="G246" t="s">
        <v>808</v>
      </c>
      <c r="I246" t="s">
        <v>249</v>
      </c>
      <c r="J246" t="s">
        <v>342</v>
      </c>
      <c r="K246">
        <v>4.4742624017105201E-2</v>
      </c>
      <c r="L246" t="s">
        <v>251</v>
      </c>
      <c r="N246" t="s">
        <v>419</v>
      </c>
      <c r="O246" t="s">
        <v>342</v>
      </c>
      <c r="P246">
        <v>1.5511127269153884E-2</v>
      </c>
      <c r="Q246" t="s">
        <v>251</v>
      </c>
      <c r="S246" t="s">
        <v>420</v>
      </c>
      <c r="T246" t="s">
        <v>342</v>
      </c>
      <c r="U246">
        <v>1.9851664791025025E-2</v>
      </c>
      <c r="V246" t="s">
        <v>251</v>
      </c>
      <c r="X246">
        <v>1.7808219178082191E-2</v>
      </c>
      <c r="Y246">
        <v>2.2442880938766382E-2</v>
      </c>
      <c r="Z246" t="s">
        <v>342</v>
      </c>
      <c r="AA246" t="s">
        <v>25</v>
      </c>
      <c r="AC246" t="s">
        <v>22</v>
      </c>
      <c r="AD246" t="s">
        <v>342</v>
      </c>
      <c r="AE246">
        <v>1.9034597258851829E-2</v>
      </c>
      <c r="AG246" t="s">
        <v>99</v>
      </c>
      <c r="AH246" t="s">
        <v>342</v>
      </c>
      <c r="AI246">
        <v>6.8361109155335553E-2</v>
      </c>
    </row>
    <row r="247" spans="5:35" x14ac:dyDescent="0.45">
      <c r="E247" t="s">
        <v>236</v>
      </c>
      <c r="G247" t="s">
        <v>808</v>
      </c>
      <c r="I247" t="s">
        <v>249</v>
      </c>
      <c r="J247" t="s">
        <v>343</v>
      </c>
      <c r="K247">
        <v>2.1017814958254302E-2</v>
      </c>
      <c r="L247" t="s">
        <v>251</v>
      </c>
      <c r="N247" t="s">
        <v>419</v>
      </c>
      <c r="O247" t="s">
        <v>343</v>
      </c>
      <c r="P247">
        <v>7.9604775278952263E-3</v>
      </c>
      <c r="Q247" t="s">
        <v>251</v>
      </c>
      <c r="S247" t="s">
        <v>420</v>
      </c>
      <c r="T247" t="s">
        <v>343</v>
      </c>
      <c r="U247">
        <v>1.0088306084523898E-2</v>
      </c>
      <c r="V247" t="s">
        <v>251</v>
      </c>
      <c r="X247">
        <v>8.9041095890410957E-3</v>
      </c>
      <c r="Y247">
        <v>1.416900778161748E-2</v>
      </c>
      <c r="Z247" t="s">
        <v>343</v>
      </c>
      <c r="AA247" t="s">
        <v>25</v>
      </c>
      <c r="AC247" t="s">
        <v>22</v>
      </c>
      <c r="AD247" t="s">
        <v>343</v>
      </c>
      <c r="AE247">
        <v>7.1245353614523424E-3</v>
      </c>
      <c r="AG247" t="s">
        <v>99</v>
      </c>
      <c r="AH247" t="s">
        <v>343</v>
      </c>
      <c r="AI247">
        <v>9.4840682431317269E-2</v>
      </c>
    </row>
    <row r="248" spans="5:35" x14ac:dyDescent="0.45">
      <c r="E248" t="s">
        <v>237</v>
      </c>
      <c r="G248" t="s">
        <v>808</v>
      </c>
      <c r="I248" t="s">
        <v>249</v>
      </c>
      <c r="J248" t="s">
        <v>344</v>
      </c>
      <c r="K248">
        <v>5.2707211591264003E-3</v>
      </c>
      <c r="L248" t="s">
        <v>251</v>
      </c>
      <c r="N248" t="s">
        <v>419</v>
      </c>
      <c r="O248" t="s">
        <v>344</v>
      </c>
      <c r="P248">
        <v>2.5849965819483918E-3</v>
      </c>
      <c r="Q248" t="s">
        <v>251</v>
      </c>
      <c r="S248" t="s">
        <v>420</v>
      </c>
      <c r="T248" t="s">
        <v>344</v>
      </c>
      <c r="U248">
        <v>3.4394289475033115E-3</v>
      </c>
      <c r="V248" t="s">
        <v>251</v>
      </c>
      <c r="X248">
        <v>2.9680365296803654E-3</v>
      </c>
      <c r="Y248">
        <v>5.7744739742601678E-3</v>
      </c>
      <c r="Z248" t="s">
        <v>344</v>
      </c>
      <c r="AA248" t="s">
        <v>25</v>
      </c>
      <c r="AC248" t="s">
        <v>22</v>
      </c>
      <c r="AD248" t="s">
        <v>344</v>
      </c>
      <c r="AE248">
        <v>2.053678291103091E-3</v>
      </c>
      <c r="AG248" t="s">
        <v>99</v>
      </c>
      <c r="AH248" t="s">
        <v>344</v>
      </c>
      <c r="AI248">
        <v>1.0848379738845004E-2</v>
      </c>
    </row>
    <row r="249" spans="5:35" x14ac:dyDescent="0.45">
      <c r="E249" t="s">
        <v>238</v>
      </c>
      <c r="G249" t="s">
        <v>808</v>
      </c>
      <c r="I249" t="s">
        <v>249</v>
      </c>
      <c r="J249" t="s">
        <v>345</v>
      </c>
      <c r="K249">
        <v>2.1867343986063958E-3</v>
      </c>
      <c r="L249" t="s">
        <v>251</v>
      </c>
      <c r="N249" t="s">
        <v>419</v>
      </c>
      <c r="O249" t="s">
        <v>345</v>
      </c>
      <c r="P249">
        <v>2.5638196801142784E-3</v>
      </c>
      <c r="Q249" t="s">
        <v>251</v>
      </c>
      <c r="S249" t="s">
        <v>420</v>
      </c>
      <c r="T249" t="s">
        <v>345</v>
      </c>
      <c r="U249">
        <v>3.4399786864876295E-3</v>
      </c>
      <c r="V249" t="s">
        <v>251</v>
      </c>
      <c r="X249">
        <v>2.9680365296803654E-3</v>
      </c>
      <c r="Y249">
        <v>4.4816812934556517E-3</v>
      </c>
      <c r="Z249" t="s">
        <v>345</v>
      </c>
      <c r="AA249" t="s">
        <v>25</v>
      </c>
      <c r="AC249" t="s">
        <v>22</v>
      </c>
      <c r="AD249" t="s">
        <v>345</v>
      </c>
      <c r="AE249">
        <v>2.0766952240435406E-3</v>
      </c>
      <c r="AG249" t="s">
        <v>99</v>
      </c>
      <c r="AH249" t="s">
        <v>345</v>
      </c>
      <c r="AI249">
        <v>1.3066717540960671E-2</v>
      </c>
    </row>
    <row r="250" spans="5:35" x14ac:dyDescent="0.45">
      <c r="E250" t="s">
        <v>239</v>
      </c>
      <c r="G250" t="s">
        <v>808</v>
      </c>
      <c r="I250" t="s">
        <v>249</v>
      </c>
      <c r="J250" t="s">
        <v>346</v>
      </c>
      <c r="K250">
        <v>0</v>
      </c>
      <c r="L250" t="s">
        <v>251</v>
      </c>
      <c r="N250" t="s">
        <v>419</v>
      </c>
      <c r="O250" t="s">
        <v>346</v>
      </c>
      <c r="P250">
        <v>1.5520506959637385E-2</v>
      </c>
      <c r="Q250" t="s">
        <v>251</v>
      </c>
      <c r="S250" t="s">
        <v>420</v>
      </c>
      <c r="T250" t="s">
        <v>346</v>
      </c>
      <c r="U250">
        <v>1.7082305022713844E-2</v>
      </c>
      <c r="V250" t="s">
        <v>251</v>
      </c>
      <c r="X250">
        <v>1.4840182648401826E-2</v>
      </c>
      <c r="Y250">
        <v>1.1204203233639128E-2</v>
      </c>
      <c r="Z250" t="s">
        <v>346</v>
      </c>
      <c r="AA250" t="s">
        <v>25</v>
      </c>
      <c r="AC250" t="s">
        <v>22</v>
      </c>
      <c r="AD250" t="s">
        <v>346</v>
      </c>
      <c r="AE250">
        <v>1.3463134599534072E-2</v>
      </c>
      <c r="AG250" t="s">
        <v>99</v>
      </c>
      <c r="AH250" t="s">
        <v>346</v>
      </c>
      <c r="AI250">
        <v>0.18554673215144546</v>
      </c>
    </row>
    <row r="251" spans="5:35" x14ac:dyDescent="0.45">
      <c r="E251" t="s">
        <v>508</v>
      </c>
      <c r="G251" t="s">
        <v>810</v>
      </c>
      <c r="I251" t="s">
        <v>249</v>
      </c>
      <c r="J251" t="s">
        <v>1116</v>
      </c>
      <c r="K251">
        <v>0</v>
      </c>
      <c r="L251" t="s">
        <v>251</v>
      </c>
      <c r="N251" t="s">
        <v>419</v>
      </c>
      <c r="O251" t="s">
        <v>1116</v>
      </c>
      <c r="P251">
        <v>8.8329478306454421E-5</v>
      </c>
      <c r="Q251" t="s">
        <v>251</v>
      </c>
      <c r="S251" t="s">
        <v>420</v>
      </c>
      <c r="T251" t="s">
        <v>1116</v>
      </c>
      <c r="U251">
        <v>1.6445395447940001E-4</v>
      </c>
      <c r="V251" t="s">
        <v>251</v>
      </c>
      <c r="X251">
        <v>1.1415525114155251E-4</v>
      </c>
      <c r="Y251">
        <v>2.1546544680075254E-5</v>
      </c>
      <c r="Z251" t="s">
        <v>1116</v>
      </c>
      <c r="AA251" t="s">
        <v>25</v>
      </c>
      <c r="AC251" t="s">
        <v>22</v>
      </c>
      <c r="AD251" t="s">
        <v>1116</v>
      </c>
      <c r="AE251">
        <v>1.0099465905548446E-4</v>
      </c>
      <c r="AG251" t="s">
        <v>99</v>
      </c>
      <c r="AH251" t="s">
        <v>1116</v>
      </c>
      <c r="AI251">
        <v>0</v>
      </c>
    </row>
    <row r="252" spans="5:35" x14ac:dyDescent="0.45">
      <c r="E252" t="s">
        <v>509</v>
      </c>
      <c r="G252" t="s">
        <v>810</v>
      </c>
      <c r="I252" t="s">
        <v>249</v>
      </c>
      <c r="J252" t="s">
        <v>1117</v>
      </c>
      <c r="K252">
        <v>0</v>
      </c>
      <c r="L252" t="s">
        <v>251</v>
      </c>
      <c r="N252" t="s">
        <v>419</v>
      </c>
      <c r="O252" t="s">
        <v>1117</v>
      </c>
      <c r="P252">
        <v>8.0616188907919949E-5</v>
      </c>
      <c r="Q252" t="s">
        <v>251</v>
      </c>
      <c r="S252" t="s">
        <v>420</v>
      </c>
      <c r="T252" t="s">
        <v>1117</v>
      </c>
      <c r="U252">
        <v>1.6811958162369999E-4</v>
      </c>
      <c r="V252" t="s">
        <v>251</v>
      </c>
      <c r="X252">
        <v>1.1415525114155251E-4</v>
      </c>
      <c r="Y252">
        <v>1.4916838624667481E-5</v>
      </c>
      <c r="Z252" t="s">
        <v>1117</v>
      </c>
      <c r="AA252" t="s">
        <v>25</v>
      </c>
      <c r="AC252" t="s">
        <v>22</v>
      </c>
      <c r="AD252" t="s">
        <v>1117</v>
      </c>
      <c r="AE252">
        <v>1.0546818820617752E-4</v>
      </c>
      <c r="AG252" t="s">
        <v>99</v>
      </c>
      <c r="AH252" t="s">
        <v>1117</v>
      </c>
      <c r="AI252">
        <v>0</v>
      </c>
    </row>
    <row r="253" spans="5:35" x14ac:dyDescent="0.45">
      <c r="E253" t="s">
        <v>510</v>
      </c>
      <c r="G253" t="s">
        <v>810</v>
      </c>
      <c r="I253" t="s">
        <v>249</v>
      </c>
      <c r="J253" t="s">
        <v>1118</v>
      </c>
      <c r="K253">
        <v>0</v>
      </c>
      <c r="L253" t="s">
        <v>251</v>
      </c>
      <c r="N253" t="s">
        <v>419</v>
      </c>
      <c r="O253" t="s">
        <v>1118</v>
      </c>
      <c r="P253">
        <v>7.3400095445794303E-5</v>
      </c>
      <c r="Q253" t="s">
        <v>251</v>
      </c>
      <c r="S253" t="s">
        <v>420</v>
      </c>
      <c r="T253" t="s">
        <v>1118</v>
      </c>
      <c r="U253">
        <v>1.7444583153849999E-4</v>
      </c>
      <c r="V253" t="s">
        <v>251</v>
      </c>
      <c r="X253">
        <v>1.1415525114155251E-4</v>
      </c>
      <c r="Y253">
        <v>1.6574265138519424E-5</v>
      </c>
      <c r="Z253" t="s">
        <v>1118</v>
      </c>
      <c r="AA253" t="s">
        <v>25</v>
      </c>
      <c r="AC253" t="s">
        <v>22</v>
      </c>
      <c r="AD253" t="s">
        <v>1118</v>
      </c>
      <c r="AE253">
        <v>1.0356798075069004E-4</v>
      </c>
      <c r="AG253" t="s">
        <v>99</v>
      </c>
      <c r="AH253" t="s">
        <v>1118</v>
      </c>
      <c r="AI253">
        <v>0</v>
      </c>
    </row>
    <row r="254" spans="5:35" x14ac:dyDescent="0.45">
      <c r="E254" t="s">
        <v>511</v>
      </c>
      <c r="G254" t="s">
        <v>810</v>
      </c>
      <c r="I254" t="s">
        <v>249</v>
      </c>
      <c r="J254" t="s">
        <v>1119</v>
      </c>
      <c r="K254">
        <v>0</v>
      </c>
      <c r="L254" t="s">
        <v>251</v>
      </c>
      <c r="N254" t="s">
        <v>419</v>
      </c>
      <c r="O254" t="s">
        <v>1119</v>
      </c>
      <c r="P254">
        <v>6.6585136236049257E-5</v>
      </c>
      <c r="Q254" t="s">
        <v>251</v>
      </c>
      <c r="S254" t="s">
        <v>420</v>
      </c>
      <c r="T254" t="s">
        <v>1119</v>
      </c>
      <c r="U254">
        <v>1.791306419468E-4</v>
      </c>
      <c r="V254" t="s">
        <v>251</v>
      </c>
      <c r="X254">
        <v>1.1415525114155251E-4</v>
      </c>
      <c r="Y254">
        <v>1.4585353321897093E-5</v>
      </c>
      <c r="Z254" t="s">
        <v>1119</v>
      </c>
      <c r="AA254" t="s">
        <v>25</v>
      </c>
      <c r="AC254" t="s">
        <v>22</v>
      </c>
      <c r="AD254" t="s">
        <v>1119</v>
      </c>
      <c r="AE254">
        <v>1.0356798075069004E-4</v>
      </c>
      <c r="AG254" t="s">
        <v>99</v>
      </c>
      <c r="AH254" t="s">
        <v>1119</v>
      </c>
      <c r="AI254">
        <v>0</v>
      </c>
    </row>
    <row r="255" spans="5:35" x14ac:dyDescent="0.45">
      <c r="E255" t="s">
        <v>512</v>
      </c>
      <c r="G255" t="s">
        <v>810</v>
      </c>
      <c r="I255" t="s">
        <v>249</v>
      </c>
      <c r="J255" t="s">
        <v>1120</v>
      </c>
      <c r="K255">
        <v>0</v>
      </c>
      <c r="L255" t="s">
        <v>251</v>
      </c>
      <c r="N255" t="s">
        <v>419</v>
      </c>
      <c r="O255" t="s">
        <v>1120</v>
      </c>
      <c r="P255">
        <v>6.2784122110124503E-5</v>
      </c>
      <c r="Q255" t="s">
        <v>251</v>
      </c>
      <c r="S255" t="s">
        <v>420</v>
      </c>
      <c r="T255" t="s">
        <v>1120</v>
      </c>
      <c r="U255">
        <v>1.817419683546E-4</v>
      </c>
      <c r="V255" t="s">
        <v>251</v>
      </c>
      <c r="X255">
        <v>1.1415525114155251E-4</v>
      </c>
      <c r="Y255">
        <v>2.1215059377304864E-5</v>
      </c>
      <c r="Z255" t="s">
        <v>1120</v>
      </c>
      <c r="AA255" t="s">
        <v>25</v>
      </c>
      <c r="AC255" t="s">
        <v>22</v>
      </c>
      <c r="AD255" t="s">
        <v>1120</v>
      </c>
      <c r="AE255">
        <v>1.0356202398750671E-4</v>
      </c>
      <c r="AG255" t="s">
        <v>99</v>
      </c>
      <c r="AH255" t="s">
        <v>1120</v>
      </c>
      <c r="AI255">
        <v>0</v>
      </c>
    </row>
    <row r="256" spans="5:35" x14ac:dyDescent="0.45">
      <c r="E256" t="s">
        <v>513</v>
      </c>
      <c r="G256" t="s">
        <v>810</v>
      </c>
      <c r="I256" t="s">
        <v>249</v>
      </c>
      <c r="J256" t="s">
        <v>1121</v>
      </c>
      <c r="K256">
        <v>0</v>
      </c>
      <c r="L256" t="s">
        <v>251</v>
      </c>
      <c r="N256" t="s">
        <v>419</v>
      </c>
      <c r="O256" t="s">
        <v>1121</v>
      </c>
      <c r="P256">
        <v>6.2832922148895205E-5</v>
      </c>
      <c r="Q256" t="s">
        <v>251</v>
      </c>
      <c r="S256" t="s">
        <v>420</v>
      </c>
      <c r="T256" t="s">
        <v>1121</v>
      </c>
      <c r="U256">
        <v>1.8346193719669999E-4</v>
      </c>
      <c r="V256" t="s">
        <v>251</v>
      </c>
      <c r="X256">
        <v>1.1415525114155251E-4</v>
      </c>
      <c r="Y256">
        <v>5.7678442682047593E-5</v>
      </c>
      <c r="Z256" t="s">
        <v>1121</v>
      </c>
      <c r="AA256" t="s">
        <v>25</v>
      </c>
      <c r="AC256" t="s">
        <v>22</v>
      </c>
      <c r="AD256" t="s">
        <v>1121</v>
      </c>
      <c r="AE256">
        <v>1.0428279233269159E-4</v>
      </c>
      <c r="AG256" t="s">
        <v>99</v>
      </c>
      <c r="AH256" t="s">
        <v>1121</v>
      </c>
      <c r="AI256">
        <v>0</v>
      </c>
    </row>
    <row r="257" spans="5:35" x14ac:dyDescent="0.45">
      <c r="E257" t="s">
        <v>514</v>
      </c>
      <c r="G257" t="s">
        <v>810</v>
      </c>
      <c r="I257" t="s">
        <v>249</v>
      </c>
      <c r="J257" t="s">
        <v>1122</v>
      </c>
      <c r="K257">
        <v>0</v>
      </c>
      <c r="L257" t="s">
        <v>251</v>
      </c>
      <c r="N257" t="s">
        <v>419</v>
      </c>
      <c r="O257" t="s">
        <v>1122</v>
      </c>
      <c r="P257">
        <v>6.9587347977540008E-5</v>
      </c>
      <c r="Q257" t="s">
        <v>251</v>
      </c>
      <c r="S257" t="s">
        <v>420</v>
      </c>
      <c r="T257" t="s">
        <v>1122</v>
      </c>
      <c r="U257">
        <v>1.8423471006639999E-4</v>
      </c>
      <c r="V257" t="s">
        <v>251</v>
      </c>
      <c r="X257">
        <v>1.1415525114155251E-4</v>
      </c>
      <c r="Y257">
        <v>1.6905750441289813E-4</v>
      </c>
      <c r="Z257" t="s">
        <v>1122</v>
      </c>
      <c r="AA257" t="s">
        <v>25</v>
      </c>
      <c r="AC257" t="s">
        <v>22</v>
      </c>
      <c r="AD257" t="s">
        <v>1122</v>
      </c>
      <c r="AE257">
        <v>1.0492016599330962E-4</v>
      </c>
      <c r="AG257" t="s">
        <v>99</v>
      </c>
      <c r="AH257" t="s">
        <v>1122</v>
      </c>
      <c r="AI257">
        <v>0</v>
      </c>
    </row>
    <row r="258" spans="5:35" x14ac:dyDescent="0.45">
      <c r="E258" t="s">
        <v>515</v>
      </c>
      <c r="G258" t="s">
        <v>810</v>
      </c>
      <c r="I258" t="s">
        <v>249</v>
      </c>
      <c r="J258" t="s">
        <v>1123</v>
      </c>
      <c r="K258">
        <v>1.491037134972E-4</v>
      </c>
      <c r="L258" t="s">
        <v>251</v>
      </c>
      <c r="N258" t="s">
        <v>419</v>
      </c>
      <c r="O258" t="s">
        <v>1123</v>
      </c>
      <c r="P258">
        <v>7.3646347646477299E-5</v>
      </c>
      <c r="Q258" t="s">
        <v>251</v>
      </c>
      <c r="S258" t="s">
        <v>420</v>
      </c>
      <c r="T258" t="s">
        <v>1123</v>
      </c>
      <c r="U258">
        <v>1.83648531019E-4</v>
      </c>
      <c r="V258" t="s">
        <v>251</v>
      </c>
      <c r="X258">
        <v>1.1415525114155251E-4</v>
      </c>
      <c r="Y258">
        <v>1.9060404909297337E-4</v>
      </c>
      <c r="Z258" t="s">
        <v>1123</v>
      </c>
      <c r="AA258" t="s">
        <v>25</v>
      </c>
      <c r="AC258" t="s">
        <v>22</v>
      </c>
      <c r="AD258" t="s">
        <v>1123</v>
      </c>
      <c r="AE258">
        <v>1.0734456860893157E-4</v>
      </c>
      <c r="AG258" t="s">
        <v>99</v>
      </c>
      <c r="AH258" t="s">
        <v>1123</v>
      </c>
      <c r="AI258">
        <v>0</v>
      </c>
    </row>
    <row r="259" spans="5:35" x14ac:dyDescent="0.45">
      <c r="E259" t="s">
        <v>516</v>
      </c>
      <c r="G259" t="s">
        <v>810</v>
      </c>
      <c r="I259" t="s">
        <v>249</v>
      </c>
      <c r="J259" t="s">
        <v>1124</v>
      </c>
      <c r="K259">
        <v>2.188826833154E-4</v>
      </c>
      <c r="L259" t="s">
        <v>251</v>
      </c>
      <c r="N259" t="s">
        <v>419</v>
      </c>
      <c r="O259" t="s">
        <v>1124</v>
      </c>
      <c r="P259">
        <v>6.5733419722101464E-5</v>
      </c>
      <c r="Q259" t="s">
        <v>251</v>
      </c>
      <c r="S259" t="s">
        <v>420</v>
      </c>
      <c r="T259" t="s">
        <v>1124</v>
      </c>
      <c r="U259">
        <v>1.8306280945039999E-4</v>
      </c>
      <c r="V259" t="s">
        <v>251</v>
      </c>
      <c r="X259">
        <v>1.1415525114155251E-4</v>
      </c>
      <c r="Y259">
        <v>1.4585353321897094E-4</v>
      </c>
      <c r="Z259" t="s">
        <v>1124</v>
      </c>
      <c r="AA259" t="s">
        <v>25</v>
      </c>
      <c r="AC259" t="s">
        <v>22</v>
      </c>
      <c r="AD259" t="s">
        <v>1124</v>
      </c>
      <c r="AE259">
        <v>1.1018594464738771E-4</v>
      </c>
      <c r="AG259" t="s">
        <v>99</v>
      </c>
      <c r="AH259" t="s">
        <v>1124</v>
      </c>
      <c r="AI259">
        <v>0</v>
      </c>
    </row>
    <row r="260" spans="5:35" x14ac:dyDescent="0.45">
      <c r="E260" t="s">
        <v>517</v>
      </c>
      <c r="G260" t="s">
        <v>810</v>
      </c>
      <c r="I260" t="s">
        <v>249</v>
      </c>
      <c r="J260" t="s">
        <v>1125</v>
      </c>
      <c r="K260">
        <v>2.4514837404859997E-4</v>
      </c>
      <c r="L260" t="s">
        <v>251</v>
      </c>
      <c r="N260" t="s">
        <v>419</v>
      </c>
      <c r="O260" t="s">
        <v>1125</v>
      </c>
      <c r="P260">
        <v>5.432749084511415E-5</v>
      </c>
      <c r="Q260" t="s">
        <v>251</v>
      </c>
      <c r="S260" t="s">
        <v>420</v>
      </c>
      <c r="T260" t="s">
        <v>1125</v>
      </c>
      <c r="U260">
        <v>1.8265768903010001E-4</v>
      </c>
      <c r="V260" t="s">
        <v>251</v>
      </c>
      <c r="X260">
        <v>1.1415525114155251E-4</v>
      </c>
      <c r="Y260">
        <v>1.4452759200788939E-4</v>
      </c>
      <c r="Z260" t="s">
        <v>1125</v>
      </c>
      <c r="AA260" t="s">
        <v>25</v>
      </c>
      <c r="AC260" t="s">
        <v>22</v>
      </c>
      <c r="AD260" t="s">
        <v>1125</v>
      </c>
      <c r="AE260">
        <v>1.1066248570205542E-4</v>
      </c>
      <c r="AG260" t="s">
        <v>99</v>
      </c>
      <c r="AH260" t="s">
        <v>1125</v>
      </c>
      <c r="AI260">
        <v>0</v>
      </c>
    </row>
    <row r="261" spans="5:35" x14ac:dyDescent="0.45">
      <c r="E261" t="s">
        <v>518</v>
      </c>
      <c r="G261" t="s">
        <v>810</v>
      </c>
      <c r="I261" t="s">
        <v>249</v>
      </c>
      <c r="J261" t="s">
        <v>1126</v>
      </c>
      <c r="K261">
        <v>2.5638650598099999E-4</v>
      </c>
      <c r="L261" t="s">
        <v>251</v>
      </c>
      <c r="N261" t="s">
        <v>419</v>
      </c>
      <c r="O261" t="s">
        <v>1126</v>
      </c>
      <c r="P261">
        <v>4.9432454488369923E-5</v>
      </c>
      <c r="Q261" t="s">
        <v>251</v>
      </c>
      <c r="S261" t="s">
        <v>420</v>
      </c>
      <c r="T261" t="s">
        <v>1126</v>
      </c>
      <c r="U261">
        <v>1.826075122939E-4</v>
      </c>
      <c r="V261" t="s">
        <v>251</v>
      </c>
      <c r="X261">
        <v>1.1415525114155251E-4</v>
      </c>
      <c r="Y261">
        <v>1.408812536774151E-4</v>
      </c>
      <c r="Z261" t="s">
        <v>1126</v>
      </c>
      <c r="AA261" t="s">
        <v>25</v>
      </c>
      <c r="AC261" t="s">
        <v>22</v>
      </c>
      <c r="AD261" t="s">
        <v>1126</v>
      </c>
      <c r="AE261">
        <v>1.1040038812198819E-4</v>
      </c>
      <c r="AG261" t="s">
        <v>99</v>
      </c>
      <c r="AH261" t="s">
        <v>1126</v>
      </c>
      <c r="AI261">
        <v>0</v>
      </c>
    </row>
    <row r="262" spans="5:35" x14ac:dyDescent="0.45">
      <c r="E262" t="s">
        <v>519</v>
      </c>
      <c r="G262" t="s">
        <v>810</v>
      </c>
      <c r="I262" t="s">
        <v>249</v>
      </c>
      <c r="J262" t="s">
        <v>1127</v>
      </c>
      <c r="K262">
        <v>2.7428213799509998E-4</v>
      </c>
      <c r="L262" t="s">
        <v>251</v>
      </c>
      <c r="N262" t="s">
        <v>419</v>
      </c>
      <c r="O262" t="s">
        <v>1127</v>
      </c>
      <c r="P262">
        <v>4.7082143112352427E-5</v>
      </c>
      <c r="Q262" t="s">
        <v>251</v>
      </c>
      <c r="S262" t="s">
        <v>420</v>
      </c>
      <c r="T262" t="s">
        <v>1127</v>
      </c>
      <c r="U262">
        <v>1.8279753779649999E-4</v>
      </c>
      <c r="V262" t="s">
        <v>251</v>
      </c>
      <c r="X262">
        <v>1.1415525114155251E-4</v>
      </c>
      <c r="Y262">
        <v>1.4054976837464471E-4</v>
      </c>
      <c r="Z262" t="s">
        <v>1127</v>
      </c>
      <c r="AA262" t="s">
        <v>25</v>
      </c>
      <c r="AC262" t="s">
        <v>22</v>
      </c>
      <c r="AD262" t="s">
        <v>1127</v>
      </c>
      <c r="AE262">
        <v>1.0841082921875054E-4</v>
      </c>
      <c r="AG262" t="s">
        <v>99</v>
      </c>
      <c r="AH262" t="s">
        <v>1127</v>
      </c>
      <c r="AI262">
        <v>0</v>
      </c>
    </row>
    <row r="263" spans="5:35" x14ac:dyDescent="0.45">
      <c r="E263" t="s">
        <v>520</v>
      </c>
      <c r="G263" t="s">
        <v>810</v>
      </c>
      <c r="I263" t="s">
        <v>249</v>
      </c>
      <c r="J263" t="s">
        <v>1128</v>
      </c>
      <c r="K263">
        <v>2.9517909230640001E-4</v>
      </c>
      <c r="L263" t="s">
        <v>251</v>
      </c>
      <c r="N263" t="s">
        <v>419</v>
      </c>
      <c r="O263" t="s">
        <v>1128</v>
      </c>
      <c r="P263">
        <v>5.0107981644778478E-5</v>
      </c>
      <c r="Q263" t="s">
        <v>251</v>
      </c>
      <c r="S263" t="s">
        <v>420</v>
      </c>
      <c r="T263" t="s">
        <v>1128</v>
      </c>
      <c r="U263">
        <v>1.8293482577770001E-4</v>
      </c>
      <c r="V263" t="s">
        <v>251</v>
      </c>
      <c r="X263">
        <v>1.1415525114155251E-4</v>
      </c>
      <c r="Y263">
        <v>1.4253868019126702E-4</v>
      </c>
      <c r="Z263" t="s">
        <v>1128</v>
      </c>
      <c r="AA263" t="s">
        <v>25</v>
      </c>
      <c r="AC263" t="s">
        <v>22</v>
      </c>
      <c r="AD263" t="s">
        <v>1128</v>
      </c>
      <c r="AE263">
        <v>1.0584346428672831E-4</v>
      </c>
      <c r="AG263" t="s">
        <v>99</v>
      </c>
      <c r="AH263" t="s">
        <v>1128</v>
      </c>
      <c r="AI263">
        <v>0</v>
      </c>
    </row>
    <row r="264" spans="5:35" x14ac:dyDescent="0.45">
      <c r="E264" t="s">
        <v>521</v>
      </c>
      <c r="G264" t="s">
        <v>810</v>
      </c>
      <c r="I264" t="s">
        <v>249</v>
      </c>
      <c r="J264" t="s">
        <v>1129</v>
      </c>
      <c r="K264">
        <v>2.8531512619709999E-4</v>
      </c>
      <c r="L264" t="s">
        <v>251</v>
      </c>
      <c r="N264" t="s">
        <v>419</v>
      </c>
      <c r="O264" t="s">
        <v>1129</v>
      </c>
      <c r="P264">
        <v>5.3852453718956732E-5</v>
      </c>
      <c r="Q264" t="s">
        <v>251</v>
      </c>
      <c r="S264" t="s">
        <v>420</v>
      </c>
      <c r="T264" t="s">
        <v>1129</v>
      </c>
      <c r="U264">
        <v>1.8259363828009999E-4</v>
      </c>
      <c r="V264" t="s">
        <v>251</v>
      </c>
      <c r="X264">
        <v>1.1415525114155251E-4</v>
      </c>
      <c r="Y264">
        <v>1.4883690094390442E-4</v>
      </c>
      <c r="Z264" t="s">
        <v>1129</v>
      </c>
      <c r="AA264" t="s">
        <v>25</v>
      </c>
      <c r="AC264" t="s">
        <v>22</v>
      </c>
      <c r="AD264" t="s">
        <v>1129</v>
      </c>
      <c r="AE264">
        <v>1.0054194505355016E-4</v>
      </c>
      <c r="AG264" t="s">
        <v>99</v>
      </c>
      <c r="AH264" t="s">
        <v>1129</v>
      </c>
      <c r="AI264">
        <v>0</v>
      </c>
    </row>
    <row r="265" spans="5:35" x14ac:dyDescent="0.45">
      <c r="E265" t="s">
        <v>522</v>
      </c>
      <c r="G265" t="s">
        <v>810</v>
      </c>
      <c r="I265" t="s">
        <v>249</v>
      </c>
      <c r="J265" t="s">
        <v>1130</v>
      </c>
      <c r="K265">
        <v>2.5825732674450002E-4</v>
      </c>
      <c r="L265" t="s">
        <v>251</v>
      </c>
      <c r="N265" t="s">
        <v>419</v>
      </c>
      <c r="O265" t="s">
        <v>1130</v>
      </c>
      <c r="P265">
        <v>5.4672554361267599E-5</v>
      </c>
      <c r="Q265" t="s">
        <v>251</v>
      </c>
      <c r="S265" t="s">
        <v>420</v>
      </c>
      <c r="T265" t="s">
        <v>1130</v>
      </c>
      <c r="U265">
        <v>1.8256419990849999E-4</v>
      </c>
      <c r="V265" t="s">
        <v>251</v>
      </c>
      <c r="X265">
        <v>1.1415525114155251E-4</v>
      </c>
      <c r="Y265">
        <v>1.5049432745775637E-4</v>
      </c>
      <c r="Z265" t="s">
        <v>1130</v>
      </c>
      <c r="AA265" t="s">
        <v>25</v>
      </c>
      <c r="AC265" t="s">
        <v>22</v>
      </c>
      <c r="AD265" t="s">
        <v>1130</v>
      </c>
      <c r="AE265">
        <v>9.6455605509774642E-5</v>
      </c>
      <c r="AG265" t="s">
        <v>99</v>
      </c>
      <c r="AH265" t="s">
        <v>1130</v>
      </c>
      <c r="AI265">
        <v>0</v>
      </c>
    </row>
    <row r="266" spans="5:35" x14ac:dyDescent="0.45">
      <c r="E266" t="s">
        <v>523</v>
      </c>
      <c r="G266" t="s">
        <v>810</v>
      </c>
      <c r="I266" t="s">
        <v>249</v>
      </c>
      <c r="J266" t="s">
        <v>1131</v>
      </c>
      <c r="K266">
        <v>2.4066990063240001E-4</v>
      </c>
      <c r="L266" t="s">
        <v>251</v>
      </c>
      <c r="N266" t="s">
        <v>419</v>
      </c>
      <c r="O266" t="s">
        <v>1131</v>
      </c>
      <c r="P266">
        <v>5.709323933275023E-5</v>
      </c>
      <c r="Q266" t="s">
        <v>251</v>
      </c>
      <c r="S266" t="s">
        <v>420</v>
      </c>
      <c r="T266" t="s">
        <v>1131</v>
      </c>
      <c r="U266">
        <v>1.7664462611880001E-4</v>
      </c>
      <c r="V266" t="s">
        <v>251</v>
      </c>
      <c r="X266">
        <v>1.1415525114155251E-4</v>
      </c>
      <c r="Y266">
        <v>1.7237235744060203E-4</v>
      </c>
      <c r="Z266" t="s">
        <v>1131</v>
      </c>
      <c r="AA266" t="s">
        <v>25</v>
      </c>
      <c r="AC266" t="s">
        <v>22</v>
      </c>
      <c r="AD266" t="s">
        <v>1131</v>
      </c>
      <c r="AE266">
        <v>8.8366321106790477E-5</v>
      </c>
      <c r="AG266" t="s">
        <v>99</v>
      </c>
      <c r="AH266" t="s">
        <v>1131</v>
      </c>
      <c r="AI266">
        <v>0</v>
      </c>
    </row>
    <row r="267" spans="5:35" x14ac:dyDescent="0.45">
      <c r="E267" t="s">
        <v>524</v>
      </c>
      <c r="G267" t="s">
        <v>810</v>
      </c>
      <c r="I267" t="s">
        <v>249</v>
      </c>
      <c r="J267" t="s">
        <v>1132</v>
      </c>
      <c r="K267">
        <v>2.2439233383340001E-4</v>
      </c>
      <c r="L267" t="s">
        <v>251</v>
      </c>
      <c r="N267" t="s">
        <v>419</v>
      </c>
      <c r="O267" t="s">
        <v>1132</v>
      </c>
      <c r="P267">
        <v>5.5764498508293798E-5</v>
      </c>
      <c r="Q267" t="s">
        <v>251</v>
      </c>
      <c r="S267" t="s">
        <v>420</v>
      </c>
      <c r="T267" t="s">
        <v>1132</v>
      </c>
      <c r="U267">
        <v>1.745747658307E-4</v>
      </c>
      <c r="V267" t="s">
        <v>251</v>
      </c>
      <c r="X267">
        <v>1.1415525114155251E-4</v>
      </c>
      <c r="Y267">
        <v>2.2209515285616027E-4</v>
      </c>
      <c r="Z267" t="s">
        <v>1132</v>
      </c>
      <c r="AA267" t="s">
        <v>25</v>
      </c>
      <c r="AC267" t="s">
        <v>22</v>
      </c>
      <c r="AD267" t="s">
        <v>1132</v>
      </c>
      <c r="AE267">
        <v>8.4387203300315185E-5</v>
      </c>
      <c r="AG267" t="s">
        <v>99</v>
      </c>
      <c r="AH267" t="s">
        <v>1132</v>
      </c>
      <c r="AI267">
        <v>0</v>
      </c>
    </row>
    <row r="268" spans="5:35" x14ac:dyDescent="0.45">
      <c r="E268" t="s">
        <v>525</v>
      </c>
      <c r="G268" t="s">
        <v>810</v>
      </c>
      <c r="I268" t="s">
        <v>249</v>
      </c>
      <c r="J268" t="s">
        <v>1133</v>
      </c>
      <c r="K268">
        <v>1.7222311732849999E-4</v>
      </c>
      <c r="L268" t="s">
        <v>251</v>
      </c>
      <c r="N268" t="s">
        <v>419</v>
      </c>
      <c r="O268" t="s">
        <v>1133</v>
      </c>
      <c r="P268">
        <v>5.542295849440832E-5</v>
      </c>
      <c r="Q268" t="s">
        <v>251</v>
      </c>
      <c r="S268" t="s">
        <v>420</v>
      </c>
      <c r="T268" t="s">
        <v>1133</v>
      </c>
      <c r="U268">
        <v>1.781677413705E-4</v>
      </c>
      <c r="V268" t="s">
        <v>251</v>
      </c>
      <c r="X268">
        <v>1.1415525114155251E-4</v>
      </c>
      <c r="Y268">
        <v>2.2209515285616027E-4</v>
      </c>
      <c r="Z268" t="s">
        <v>1133</v>
      </c>
      <c r="AA268" t="s">
        <v>25</v>
      </c>
      <c r="AC268" t="s">
        <v>22</v>
      </c>
      <c r="AD268" t="s">
        <v>1133</v>
      </c>
      <c r="AE268">
        <v>8.0259166414256241E-5</v>
      </c>
      <c r="AG268" t="s">
        <v>99</v>
      </c>
      <c r="AH268" t="s">
        <v>1133</v>
      </c>
      <c r="AI268">
        <v>0</v>
      </c>
    </row>
    <row r="269" spans="5:35" x14ac:dyDescent="0.45">
      <c r="E269" t="s">
        <v>526</v>
      </c>
      <c r="G269" t="s">
        <v>810</v>
      </c>
      <c r="I269" t="s">
        <v>249</v>
      </c>
      <c r="J269" t="s">
        <v>1134</v>
      </c>
      <c r="K269">
        <v>6.1836188361722415E-5</v>
      </c>
      <c r="L269" t="s">
        <v>251</v>
      </c>
      <c r="N269" t="s">
        <v>419</v>
      </c>
      <c r="O269" t="s">
        <v>1134</v>
      </c>
      <c r="P269">
        <v>6.8044899477142875E-5</v>
      </c>
      <c r="Q269" t="s">
        <v>251</v>
      </c>
      <c r="S269" t="s">
        <v>420</v>
      </c>
      <c r="T269" t="s">
        <v>1134</v>
      </c>
      <c r="U269">
        <v>1.7410373233190001E-4</v>
      </c>
      <c r="V269" t="s">
        <v>251</v>
      </c>
      <c r="X269">
        <v>1.1415525114155251E-4</v>
      </c>
      <c r="Y269">
        <v>1.7237235744060203E-4</v>
      </c>
      <c r="Z269" t="s">
        <v>1134</v>
      </c>
      <c r="AA269" t="s">
        <v>25</v>
      </c>
      <c r="AC269" t="s">
        <v>22</v>
      </c>
      <c r="AD269" t="s">
        <v>1134</v>
      </c>
      <c r="AE269">
        <v>8.1474346103658875E-5</v>
      </c>
      <c r="AG269" t="s">
        <v>99</v>
      </c>
      <c r="AH269" t="s">
        <v>1134</v>
      </c>
      <c r="AI269">
        <v>0</v>
      </c>
    </row>
    <row r="270" spans="5:35" x14ac:dyDescent="0.45">
      <c r="E270" t="s">
        <v>527</v>
      </c>
      <c r="G270" t="s">
        <v>810</v>
      </c>
      <c r="I270" t="s">
        <v>249</v>
      </c>
      <c r="J270" t="s">
        <v>1135</v>
      </c>
      <c r="K270">
        <v>0</v>
      </c>
      <c r="L270" t="s">
        <v>251</v>
      </c>
      <c r="N270" t="s">
        <v>419</v>
      </c>
      <c r="O270" t="s">
        <v>1135</v>
      </c>
      <c r="P270">
        <v>7.8286543118759495E-5</v>
      </c>
      <c r="Q270" t="s">
        <v>251</v>
      </c>
      <c r="S270" t="s">
        <v>420</v>
      </c>
      <c r="T270" t="s">
        <v>1135</v>
      </c>
      <c r="U270">
        <v>1.5370537152729999E-4</v>
      </c>
      <c r="V270" t="s">
        <v>251</v>
      </c>
      <c r="X270">
        <v>1.1415525114155251E-4</v>
      </c>
      <c r="Y270">
        <v>1.5579809230208258E-4</v>
      </c>
      <c r="Z270" t="s">
        <v>1135</v>
      </c>
      <c r="AA270" t="s">
        <v>25</v>
      </c>
      <c r="AC270" t="s">
        <v>22</v>
      </c>
      <c r="AD270" t="s">
        <v>1135</v>
      </c>
      <c r="AE270">
        <v>8.2242768554310542E-5</v>
      </c>
      <c r="AG270" t="s">
        <v>99</v>
      </c>
      <c r="AH270" t="s">
        <v>1135</v>
      </c>
      <c r="AI270">
        <v>0</v>
      </c>
    </row>
    <row r="271" spans="5:35" x14ac:dyDescent="0.45">
      <c r="E271" t="s">
        <v>528</v>
      </c>
      <c r="G271" t="s">
        <v>810</v>
      </c>
      <c r="I271" t="s">
        <v>249</v>
      </c>
      <c r="J271" t="s">
        <v>1136</v>
      </c>
      <c r="K271">
        <v>0</v>
      </c>
      <c r="L271" t="s">
        <v>251</v>
      </c>
      <c r="N271" t="s">
        <v>419</v>
      </c>
      <c r="O271" t="s">
        <v>1136</v>
      </c>
      <c r="P271">
        <v>8.2181006350322264E-5</v>
      </c>
      <c r="Q271" t="s">
        <v>251</v>
      </c>
      <c r="S271" t="s">
        <v>420</v>
      </c>
      <c r="T271" t="s">
        <v>1136</v>
      </c>
      <c r="U271">
        <v>1.4665439635489999E-4</v>
      </c>
      <c r="V271" t="s">
        <v>251</v>
      </c>
      <c r="X271">
        <v>1.1415525114155251E-4</v>
      </c>
      <c r="Y271">
        <v>1.093901499142282E-4</v>
      </c>
      <c r="Z271" t="s">
        <v>1136</v>
      </c>
      <c r="AA271" t="s">
        <v>25</v>
      </c>
      <c r="AC271" t="s">
        <v>22</v>
      </c>
      <c r="AD271" t="s">
        <v>1136</v>
      </c>
      <c r="AE271">
        <v>9.8492818518479075E-5</v>
      </c>
      <c r="AG271" t="s">
        <v>99</v>
      </c>
      <c r="AH271" t="s">
        <v>1136</v>
      </c>
      <c r="AI271">
        <v>0</v>
      </c>
    </row>
    <row r="272" spans="5:35" x14ac:dyDescent="0.45">
      <c r="E272" t="s">
        <v>529</v>
      </c>
      <c r="G272" t="s">
        <v>810</v>
      </c>
      <c r="I272" t="s">
        <v>249</v>
      </c>
      <c r="J272" t="s">
        <v>1137</v>
      </c>
      <c r="K272">
        <v>0</v>
      </c>
      <c r="L272" t="s">
        <v>251</v>
      </c>
      <c r="N272" t="s">
        <v>419</v>
      </c>
      <c r="O272" t="s">
        <v>1137</v>
      </c>
      <c r="P272">
        <v>7.8085310953490382E-5</v>
      </c>
      <c r="Q272" t="s">
        <v>251</v>
      </c>
      <c r="S272" t="s">
        <v>420</v>
      </c>
      <c r="T272" t="s">
        <v>1137</v>
      </c>
      <c r="U272">
        <v>1.526626341701E-4</v>
      </c>
      <c r="V272" t="s">
        <v>251</v>
      </c>
      <c r="X272">
        <v>1.1415525114155251E-4</v>
      </c>
      <c r="Y272">
        <v>7.9556472664893237E-5</v>
      </c>
      <c r="Z272" t="s">
        <v>1137</v>
      </c>
      <c r="AA272" t="s">
        <v>25</v>
      </c>
      <c r="AC272" t="s">
        <v>22</v>
      </c>
      <c r="AD272" t="s">
        <v>1137</v>
      </c>
      <c r="AE272">
        <v>1.1325963444999437E-4</v>
      </c>
      <c r="AG272" t="s">
        <v>99</v>
      </c>
      <c r="AH272" t="s">
        <v>1137</v>
      </c>
      <c r="AI272">
        <v>0</v>
      </c>
    </row>
    <row r="273" spans="5:35" x14ac:dyDescent="0.45">
      <c r="E273" t="s">
        <v>530</v>
      </c>
      <c r="G273" t="s">
        <v>810</v>
      </c>
      <c r="I273" t="s">
        <v>249</v>
      </c>
      <c r="J273" t="s">
        <v>1138</v>
      </c>
      <c r="K273">
        <v>0</v>
      </c>
      <c r="L273" t="s">
        <v>251</v>
      </c>
      <c r="N273" t="s">
        <v>419</v>
      </c>
      <c r="O273" t="s">
        <v>1138</v>
      </c>
      <c r="P273">
        <v>7.5443813804247056E-5</v>
      </c>
      <c r="Q273" t="s">
        <v>251</v>
      </c>
      <c r="S273" t="s">
        <v>420</v>
      </c>
      <c r="T273" t="s">
        <v>1138</v>
      </c>
      <c r="U273">
        <v>1.564817824555E-4</v>
      </c>
      <c r="V273" t="s">
        <v>251</v>
      </c>
      <c r="X273">
        <v>1.1415525114155251E-4</v>
      </c>
      <c r="Y273">
        <v>5.6352501470966035E-5</v>
      </c>
      <c r="Z273" t="s">
        <v>1138</v>
      </c>
      <c r="AA273" t="s">
        <v>25</v>
      </c>
      <c r="AC273" t="s">
        <v>22</v>
      </c>
      <c r="AD273" t="s">
        <v>1138</v>
      </c>
      <c r="AE273">
        <v>1.2275471496424824E-4</v>
      </c>
      <c r="AG273" t="s">
        <v>99</v>
      </c>
      <c r="AH273" t="s">
        <v>1138</v>
      </c>
      <c r="AI273">
        <v>0</v>
      </c>
    </row>
    <row r="274" spans="5:35" x14ac:dyDescent="0.45">
      <c r="E274" t="s">
        <v>531</v>
      </c>
      <c r="G274" t="s">
        <v>810</v>
      </c>
      <c r="I274" t="s">
        <v>249</v>
      </c>
      <c r="J274" t="s">
        <v>1139</v>
      </c>
      <c r="K274">
        <v>0</v>
      </c>
      <c r="L274" t="s">
        <v>251</v>
      </c>
      <c r="N274" t="s">
        <v>419</v>
      </c>
      <c r="O274" t="s">
        <v>1139</v>
      </c>
      <c r="P274">
        <v>7.7985446111640189E-5</v>
      </c>
      <c r="Q274" t="s">
        <v>251</v>
      </c>
      <c r="S274" t="s">
        <v>420</v>
      </c>
      <c r="T274" t="s">
        <v>1139</v>
      </c>
      <c r="U274">
        <v>1.595248731841E-4</v>
      </c>
      <c r="V274" t="s">
        <v>251</v>
      </c>
      <c r="X274">
        <v>1.1415525114155251E-4</v>
      </c>
      <c r="Y274">
        <v>2.9833677249334962E-5</v>
      </c>
      <c r="Z274" t="s">
        <v>1139</v>
      </c>
      <c r="AA274" t="s">
        <v>25</v>
      </c>
      <c r="AC274" t="s">
        <v>22</v>
      </c>
      <c r="AD274" t="s">
        <v>1139</v>
      </c>
      <c r="AE274">
        <v>1.3325648845648766E-4</v>
      </c>
      <c r="AG274" t="s">
        <v>99</v>
      </c>
      <c r="AH274" t="s">
        <v>1139</v>
      </c>
      <c r="AI274">
        <v>0</v>
      </c>
    </row>
    <row r="275" spans="5:35" x14ac:dyDescent="0.45">
      <c r="E275" t="s">
        <v>900</v>
      </c>
      <c r="G275" t="s">
        <v>812</v>
      </c>
      <c r="I275" t="s">
        <v>249</v>
      </c>
      <c r="J275" t="s">
        <v>1140</v>
      </c>
      <c r="K275">
        <v>0</v>
      </c>
      <c r="L275" t="s">
        <v>251</v>
      </c>
      <c r="N275" t="s">
        <v>419</v>
      </c>
      <c r="O275" t="s">
        <v>1140</v>
      </c>
      <c r="P275">
        <v>7.4149238183574885E-5</v>
      </c>
      <c r="Q275" t="s">
        <v>251</v>
      </c>
      <c r="S275" t="s">
        <v>420</v>
      </c>
      <c r="T275" t="s">
        <v>1140</v>
      </c>
      <c r="U275">
        <v>1.2604287376089999E-4</v>
      </c>
      <c r="V275" t="s">
        <v>251</v>
      </c>
      <c r="X275">
        <v>1.1415525114155251E-4</v>
      </c>
      <c r="Y275">
        <v>2.1546544680075254E-5</v>
      </c>
      <c r="Z275" t="s">
        <v>1140</v>
      </c>
      <c r="AA275" t="s">
        <v>25</v>
      </c>
      <c r="AC275" t="s">
        <v>22</v>
      </c>
      <c r="AD275" t="s">
        <v>1140</v>
      </c>
      <c r="AE275">
        <v>1.0176308150613614E-4</v>
      </c>
      <c r="AG275" t="s">
        <v>99</v>
      </c>
      <c r="AH275" t="s">
        <v>1140</v>
      </c>
      <c r="AI275">
        <v>0</v>
      </c>
    </row>
    <row r="276" spans="5:35" x14ac:dyDescent="0.45">
      <c r="E276" t="s">
        <v>901</v>
      </c>
      <c r="G276" t="s">
        <v>812</v>
      </c>
      <c r="I276" t="s">
        <v>249</v>
      </c>
      <c r="J276" t="s">
        <v>1141</v>
      </c>
      <c r="K276">
        <v>0</v>
      </c>
      <c r="L276" t="s">
        <v>251</v>
      </c>
      <c r="N276" t="s">
        <v>419</v>
      </c>
      <c r="O276" t="s">
        <v>1141</v>
      </c>
      <c r="P276">
        <v>6.2105373092038806E-5</v>
      </c>
      <c r="Q276" t="s">
        <v>251</v>
      </c>
      <c r="S276" t="s">
        <v>420</v>
      </c>
      <c r="T276" t="s">
        <v>1141</v>
      </c>
      <c r="U276">
        <v>1.2931344506150001E-4</v>
      </c>
      <c r="V276" t="s">
        <v>251</v>
      </c>
      <c r="X276">
        <v>1.1415525114155251E-4</v>
      </c>
      <c r="Y276">
        <v>1.4916838624667481E-5</v>
      </c>
      <c r="Z276" t="s">
        <v>1141</v>
      </c>
      <c r="AA276" t="s">
        <v>25</v>
      </c>
      <c r="AC276" t="s">
        <v>22</v>
      </c>
      <c r="AD276" t="s">
        <v>1141</v>
      </c>
      <c r="AE276">
        <v>1.0543244762707743E-4</v>
      </c>
      <c r="AG276" t="s">
        <v>99</v>
      </c>
      <c r="AH276" t="s">
        <v>1141</v>
      </c>
      <c r="AI276">
        <v>0</v>
      </c>
    </row>
    <row r="277" spans="5:35" x14ac:dyDescent="0.45">
      <c r="E277" t="s">
        <v>902</v>
      </c>
      <c r="G277" t="s">
        <v>812</v>
      </c>
      <c r="I277" t="s">
        <v>249</v>
      </c>
      <c r="J277" t="s">
        <v>1142</v>
      </c>
      <c r="K277">
        <v>0</v>
      </c>
      <c r="L277" t="s">
        <v>251</v>
      </c>
      <c r="N277" t="s">
        <v>419</v>
      </c>
      <c r="O277" t="s">
        <v>1142</v>
      </c>
      <c r="P277">
        <v>5.2452323569642487E-5</v>
      </c>
      <c r="Q277" t="s">
        <v>251</v>
      </c>
      <c r="S277" t="s">
        <v>420</v>
      </c>
      <c r="T277" t="s">
        <v>1142</v>
      </c>
      <c r="U277">
        <v>1.280377797747E-4</v>
      </c>
      <c r="V277" t="s">
        <v>251</v>
      </c>
      <c r="X277">
        <v>1.1415525114155251E-4</v>
      </c>
      <c r="Y277">
        <v>1.6574265138519424E-5</v>
      </c>
      <c r="Z277" t="s">
        <v>1142</v>
      </c>
      <c r="AA277" t="s">
        <v>25</v>
      </c>
      <c r="AC277" t="s">
        <v>22</v>
      </c>
      <c r="AD277" t="s">
        <v>1142</v>
      </c>
      <c r="AE277">
        <v>1.0378838098847385E-4</v>
      </c>
      <c r="AG277" t="s">
        <v>99</v>
      </c>
      <c r="AH277" t="s">
        <v>1142</v>
      </c>
      <c r="AI277">
        <v>0</v>
      </c>
    </row>
    <row r="278" spans="5:35" x14ac:dyDescent="0.45">
      <c r="E278" t="s">
        <v>903</v>
      </c>
      <c r="G278" t="s">
        <v>812</v>
      </c>
      <c r="I278" t="s">
        <v>249</v>
      </c>
      <c r="J278" t="s">
        <v>1143</v>
      </c>
      <c r="K278">
        <v>0</v>
      </c>
      <c r="L278" t="s">
        <v>251</v>
      </c>
      <c r="N278" t="s">
        <v>419</v>
      </c>
      <c r="O278" t="s">
        <v>1143</v>
      </c>
      <c r="P278">
        <v>4.6519215932585289E-5</v>
      </c>
      <c r="Q278" t="s">
        <v>251</v>
      </c>
      <c r="S278" t="s">
        <v>420</v>
      </c>
      <c r="T278" t="s">
        <v>1143</v>
      </c>
      <c r="U278">
        <v>1.2515038510139999E-4</v>
      </c>
      <c r="V278" t="s">
        <v>251</v>
      </c>
      <c r="X278">
        <v>1.1415525114155251E-4</v>
      </c>
      <c r="Y278">
        <v>1.4585353321897093E-5</v>
      </c>
      <c r="Z278" t="s">
        <v>1143</v>
      </c>
      <c r="AA278" t="s">
        <v>25</v>
      </c>
      <c r="AC278" t="s">
        <v>22</v>
      </c>
      <c r="AD278" t="s">
        <v>1143</v>
      </c>
      <c r="AE278">
        <v>1.0378838098847385E-4</v>
      </c>
      <c r="AG278" t="s">
        <v>99</v>
      </c>
      <c r="AH278" t="s">
        <v>1143</v>
      </c>
      <c r="AI278">
        <v>0</v>
      </c>
    </row>
    <row r="279" spans="5:35" x14ac:dyDescent="0.45">
      <c r="E279" t="s">
        <v>904</v>
      </c>
      <c r="G279" t="s">
        <v>812</v>
      </c>
      <c r="I279" t="s">
        <v>249</v>
      </c>
      <c r="J279" t="s">
        <v>1144</v>
      </c>
      <c r="K279">
        <v>0</v>
      </c>
      <c r="L279" t="s">
        <v>251</v>
      </c>
      <c r="N279" t="s">
        <v>419</v>
      </c>
      <c r="O279" t="s">
        <v>1144</v>
      </c>
      <c r="P279">
        <v>4.5623875575217107E-5</v>
      </c>
      <c r="Q279" t="s">
        <v>251</v>
      </c>
      <c r="S279" t="s">
        <v>420</v>
      </c>
      <c r="T279" t="s">
        <v>1144</v>
      </c>
      <c r="U279">
        <v>1.158400227367E-4</v>
      </c>
      <c r="V279" t="s">
        <v>251</v>
      </c>
      <c r="X279">
        <v>1.1415525114155251E-4</v>
      </c>
      <c r="Y279">
        <v>2.1215059377304864E-5</v>
      </c>
      <c r="Z279" t="s">
        <v>1144</v>
      </c>
      <c r="AA279" t="s">
        <v>25</v>
      </c>
      <c r="AC279" t="s">
        <v>22</v>
      </c>
      <c r="AD279" t="s">
        <v>1144</v>
      </c>
      <c r="AE279">
        <v>1.0378838098847385E-4</v>
      </c>
      <c r="AG279" t="s">
        <v>99</v>
      </c>
      <c r="AH279" t="s">
        <v>1144</v>
      </c>
      <c r="AI279">
        <v>0</v>
      </c>
    </row>
    <row r="280" spans="5:35" x14ac:dyDescent="0.45">
      <c r="E280" t="s">
        <v>905</v>
      </c>
      <c r="G280" t="s">
        <v>812</v>
      </c>
      <c r="I280" t="s">
        <v>249</v>
      </c>
      <c r="J280" t="s">
        <v>1145</v>
      </c>
      <c r="K280">
        <v>0</v>
      </c>
      <c r="L280" t="s">
        <v>251</v>
      </c>
      <c r="N280" t="s">
        <v>419</v>
      </c>
      <c r="O280" t="s">
        <v>1145</v>
      </c>
      <c r="P280">
        <v>4.8585573063001122E-5</v>
      </c>
      <c r="Q280" t="s">
        <v>251</v>
      </c>
      <c r="S280" t="s">
        <v>420</v>
      </c>
      <c r="T280" t="s">
        <v>1145</v>
      </c>
      <c r="U280">
        <v>1.005571956191E-4</v>
      </c>
      <c r="V280" t="s">
        <v>251</v>
      </c>
      <c r="X280">
        <v>1.1415525114155251E-4</v>
      </c>
      <c r="Y280">
        <v>5.7678442682047593E-5</v>
      </c>
      <c r="Z280" t="s">
        <v>1145</v>
      </c>
      <c r="AA280" t="s">
        <v>25</v>
      </c>
      <c r="AC280" t="s">
        <v>22</v>
      </c>
      <c r="AD280" t="s">
        <v>1145</v>
      </c>
      <c r="AE280">
        <v>1.0450914933365876E-4</v>
      </c>
      <c r="AG280" t="s">
        <v>99</v>
      </c>
      <c r="AH280" t="s">
        <v>1145</v>
      </c>
      <c r="AI280">
        <v>0</v>
      </c>
    </row>
    <row r="281" spans="5:35" x14ac:dyDescent="0.45">
      <c r="E281" t="s">
        <v>906</v>
      </c>
      <c r="G281" t="s">
        <v>812</v>
      </c>
      <c r="I281" t="s">
        <v>249</v>
      </c>
      <c r="J281" t="s">
        <v>1146</v>
      </c>
      <c r="K281">
        <v>4.3343647314013923E-5</v>
      </c>
      <c r="L281" t="s">
        <v>251</v>
      </c>
      <c r="N281" t="s">
        <v>419</v>
      </c>
      <c r="O281" t="s">
        <v>1146</v>
      </c>
      <c r="P281">
        <v>5.0512587091239339E-5</v>
      </c>
      <c r="Q281" t="s">
        <v>251</v>
      </c>
      <c r="S281" t="s">
        <v>420</v>
      </c>
      <c r="T281" t="s">
        <v>1146</v>
      </c>
      <c r="U281">
        <v>8.9310099965267818E-5</v>
      </c>
      <c r="V281" t="s">
        <v>251</v>
      </c>
      <c r="X281">
        <v>1.1415525114155251E-4</v>
      </c>
      <c r="Y281">
        <v>1.6905750441289813E-4</v>
      </c>
      <c r="Z281" t="s">
        <v>1146</v>
      </c>
      <c r="AA281" t="s">
        <v>25</v>
      </c>
      <c r="AC281" t="s">
        <v>22</v>
      </c>
      <c r="AD281" t="s">
        <v>1146</v>
      </c>
      <c r="AE281">
        <v>1.051465229942768E-4</v>
      </c>
      <c r="AG281" t="s">
        <v>99</v>
      </c>
      <c r="AH281" t="s">
        <v>1146</v>
      </c>
      <c r="AI281">
        <v>0</v>
      </c>
    </row>
    <row r="282" spans="5:35" x14ac:dyDescent="0.45">
      <c r="E282" t="s">
        <v>907</v>
      </c>
      <c r="G282" t="s">
        <v>812</v>
      </c>
      <c r="I282" t="s">
        <v>249</v>
      </c>
      <c r="J282" t="s">
        <v>1147</v>
      </c>
      <c r="K282">
        <v>1.9776507746789999E-4</v>
      </c>
      <c r="L282" t="s">
        <v>251</v>
      </c>
      <c r="N282" t="s">
        <v>419</v>
      </c>
      <c r="O282" t="s">
        <v>1147</v>
      </c>
      <c r="P282">
        <v>4.7071615239422888E-5</v>
      </c>
      <c r="Q282" t="s">
        <v>251</v>
      </c>
      <c r="S282" t="s">
        <v>420</v>
      </c>
      <c r="T282" t="s">
        <v>1147</v>
      </c>
      <c r="U282">
        <v>8.0147778219673982E-5</v>
      </c>
      <c r="V282" t="s">
        <v>251</v>
      </c>
      <c r="X282">
        <v>1.1415525114155251E-4</v>
      </c>
      <c r="Y282">
        <v>1.9060404909297337E-4</v>
      </c>
      <c r="Z282" t="s">
        <v>1147</v>
      </c>
      <c r="AA282" t="s">
        <v>25</v>
      </c>
      <c r="AC282" t="s">
        <v>22</v>
      </c>
      <c r="AD282" t="s">
        <v>1147</v>
      </c>
      <c r="AE282">
        <v>1.0730287126664814E-4</v>
      </c>
      <c r="AG282" t="s">
        <v>99</v>
      </c>
      <c r="AH282" t="s">
        <v>1147</v>
      </c>
      <c r="AI282">
        <v>0</v>
      </c>
    </row>
    <row r="283" spans="5:35" x14ac:dyDescent="0.45">
      <c r="E283" t="s">
        <v>908</v>
      </c>
      <c r="G283" t="s">
        <v>812</v>
      </c>
      <c r="I283" t="s">
        <v>249</v>
      </c>
      <c r="J283" t="s">
        <v>1148</v>
      </c>
      <c r="K283">
        <v>2.6776278122320001E-4</v>
      </c>
      <c r="L283" t="s">
        <v>251</v>
      </c>
      <c r="N283" t="s">
        <v>419</v>
      </c>
      <c r="O283" t="s">
        <v>1148</v>
      </c>
      <c r="P283">
        <v>2.4008180333964915E-5</v>
      </c>
      <c r="Q283" t="s">
        <v>251</v>
      </c>
      <c r="S283" t="s">
        <v>420</v>
      </c>
      <c r="T283" t="s">
        <v>1148</v>
      </c>
      <c r="U283">
        <v>6.7013085008220627E-5</v>
      </c>
      <c r="V283" t="s">
        <v>251</v>
      </c>
      <c r="X283">
        <v>1.1415525114155251E-4</v>
      </c>
      <c r="Y283">
        <v>1.4585353321897094E-4</v>
      </c>
      <c r="Z283" t="s">
        <v>1148</v>
      </c>
      <c r="AA283" t="s">
        <v>25</v>
      </c>
      <c r="AC283" t="s">
        <v>22</v>
      </c>
      <c r="AD283" t="s">
        <v>1148</v>
      </c>
      <c r="AE283">
        <v>1.1018594464738771E-4</v>
      </c>
      <c r="AG283" t="s">
        <v>99</v>
      </c>
      <c r="AH283" t="s">
        <v>1148</v>
      </c>
      <c r="AI283">
        <v>0</v>
      </c>
    </row>
    <row r="284" spans="5:35" x14ac:dyDescent="0.45">
      <c r="E284" t="s">
        <v>909</v>
      </c>
      <c r="G284" t="s">
        <v>812</v>
      </c>
      <c r="I284" t="s">
        <v>249</v>
      </c>
      <c r="J284" t="s">
        <v>1149</v>
      </c>
      <c r="K284">
        <v>2.9044294021140002E-4</v>
      </c>
      <c r="L284" t="s">
        <v>251</v>
      </c>
      <c r="N284" t="s">
        <v>419</v>
      </c>
      <c r="O284" t="s">
        <v>1149</v>
      </c>
      <c r="P284">
        <v>2.1525875078393165E-5</v>
      </c>
      <c r="Q284" t="s">
        <v>251</v>
      </c>
      <c r="S284" t="s">
        <v>420</v>
      </c>
      <c r="T284" t="s">
        <v>1149</v>
      </c>
      <c r="U284">
        <v>6.9805460221153111E-5</v>
      </c>
      <c r="V284" t="s">
        <v>251</v>
      </c>
      <c r="X284">
        <v>1.1415525114155251E-4</v>
      </c>
      <c r="Y284">
        <v>1.4452759200788939E-4</v>
      </c>
      <c r="Z284" t="s">
        <v>1149</v>
      </c>
      <c r="AA284" t="s">
        <v>25</v>
      </c>
      <c r="AC284" t="s">
        <v>22</v>
      </c>
      <c r="AD284" t="s">
        <v>1149</v>
      </c>
      <c r="AE284">
        <v>1.1066248570205542E-4</v>
      </c>
      <c r="AG284" t="s">
        <v>99</v>
      </c>
      <c r="AH284" t="s">
        <v>1149</v>
      </c>
      <c r="AI284">
        <v>0</v>
      </c>
    </row>
    <row r="285" spans="5:35" x14ac:dyDescent="0.45">
      <c r="E285" t="s">
        <v>910</v>
      </c>
      <c r="G285" t="s">
        <v>812</v>
      </c>
      <c r="I285" t="s">
        <v>249</v>
      </c>
      <c r="J285" t="s">
        <v>1150</v>
      </c>
      <c r="K285">
        <v>3.0268375677049999E-4</v>
      </c>
      <c r="L285" t="s">
        <v>251</v>
      </c>
      <c r="N285" t="s">
        <v>419</v>
      </c>
      <c r="O285" t="s">
        <v>1150</v>
      </c>
      <c r="P285">
        <v>2.2018416554217533E-5</v>
      </c>
      <c r="Q285" t="s">
        <v>251</v>
      </c>
      <c r="S285" t="s">
        <v>420</v>
      </c>
      <c r="T285" t="s">
        <v>1150</v>
      </c>
      <c r="U285">
        <v>8.4879809284477768E-5</v>
      </c>
      <c r="V285" t="s">
        <v>251</v>
      </c>
      <c r="X285">
        <v>1.1415525114155251E-4</v>
      </c>
      <c r="Y285">
        <v>1.408812536774151E-4</v>
      </c>
      <c r="Z285" t="s">
        <v>1150</v>
      </c>
      <c r="AA285" t="s">
        <v>25</v>
      </c>
      <c r="AC285" t="s">
        <v>22</v>
      </c>
      <c r="AD285" t="s">
        <v>1150</v>
      </c>
      <c r="AE285">
        <v>1.1443907356029693E-4</v>
      </c>
      <c r="AG285" t="s">
        <v>99</v>
      </c>
      <c r="AH285" t="s">
        <v>1150</v>
      </c>
      <c r="AI285">
        <v>0</v>
      </c>
    </row>
    <row r="286" spans="5:35" x14ac:dyDescent="0.45">
      <c r="E286" t="s">
        <v>911</v>
      </c>
      <c r="G286" t="s">
        <v>812</v>
      </c>
      <c r="I286" t="s">
        <v>249</v>
      </c>
      <c r="J286" t="s">
        <v>1151</v>
      </c>
      <c r="K286">
        <v>3.1976674527339999E-4</v>
      </c>
      <c r="L286" t="s">
        <v>251</v>
      </c>
      <c r="N286" t="s">
        <v>419</v>
      </c>
      <c r="O286" t="s">
        <v>1151</v>
      </c>
      <c r="P286">
        <v>1.9391570221733368E-5</v>
      </c>
      <c r="Q286" t="s">
        <v>251</v>
      </c>
      <c r="S286" t="s">
        <v>420</v>
      </c>
      <c r="T286" t="s">
        <v>1151</v>
      </c>
      <c r="U286">
        <v>9.6107238907283327E-5</v>
      </c>
      <c r="V286" t="s">
        <v>251</v>
      </c>
      <c r="X286">
        <v>1.1415525114155251E-4</v>
      </c>
      <c r="Y286">
        <v>1.4054976837464471E-4</v>
      </c>
      <c r="Z286" t="s">
        <v>1151</v>
      </c>
      <c r="AA286" t="s">
        <v>25</v>
      </c>
      <c r="AC286" t="s">
        <v>22</v>
      </c>
      <c r="AD286" t="s">
        <v>1151</v>
      </c>
      <c r="AE286">
        <v>1.134323805823114E-4</v>
      </c>
      <c r="AG286" t="s">
        <v>99</v>
      </c>
      <c r="AH286" t="s">
        <v>1151</v>
      </c>
      <c r="AI286">
        <v>0</v>
      </c>
    </row>
    <row r="287" spans="5:35" x14ac:dyDescent="0.45">
      <c r="E287" t="s">
        <v>912</v>
      </c>
      <c r="G287" t="s">
        <v>812</v>
      </c>
      <c r="I287" t="s">
        <v>249</v>
      </c>
      <c r="J287" t="s">
        <v>1152</v>
      </c>
      <c r="K287">
        <v>3.3715613772420001E-4</v>
      </c>
      <c r="L287" t="s">
        <v>251</v>
      </c>
      <c r="N287" t="s">
        <v>419</v>
      </c>
      <c r="O287" t="s">
        <v>1152</v>
      </c>
      <c r="P287">
        <v>2.0360181455642373E-5</v>
      </c>
      <c r="Q287" t="s">
        <v>251</v>
      </c>
      <c r="S287" t="s">
        <v>420</v>
      </c>
      <c r="T287" t="s">
        <v>1152</v>
      </c>
      <c r="U287">
        <v>1.042247924967E-4</v>
      </c>
      <c r="V287" t="s">
        <v>251</v>
      </c>
      <c r="X287">
        <v>1.1415525114155251E-4</v>
      </c>
      <c r="Y287">
        <v>1.4253868019126702E-4</v>
      </c>
      <c r="Z287" t="s">
        <v>1152</v>
      </c>
      <c r="AA287" t="s">
        <v>25</v>
      </c>
      <c r="AC287" t="s">
        <v>22</v>
      </c>
      <c r="AD287" t="s">
        <v>1152</v>
      </c>
      <c r="AE287">
        <v>1.1062674512295536E-4</v>
      </c>
      <c r="AG287" t="s">
        <v>99</v>
      </c>
      <c r="AH287" t="s">
        <v>1152</v>
      </c>
      <c r="AI287">
        <v>0</v>
      </c>
    </row>
    <row r="288" spans="5:35" x14ac:dyDescent="0.45">
      <c r="E288" t="s">
        <v>913</v>
      </c>
      <c r="G288" t="s">
        <v>812</v>
      </c>
      <c r="I288" t="s">
        <v>249</v>
      </c>
      <c r="J288" t="s">
        <v>1153</v>
      </c>
      <c r="K288">
        <v>3.2477411449999998E-4</v>
      </c>
      <c r="L288" t="s">
        <v>251</v>
      </c>
      <c r="N288" t="s">
        <v>419</v>
      </c>
      <c r="O288" t="s">
        <v>1153</v>
      </c>
      <c r="P288">
        <v>2.2232830278852703E-5</v>
      </c>
      <c r="Q288" t="s">
        <v>251</v>
      </c>
      <c r="S288" t="s">
        <v>420</v>
      </c>
      <c r="T288" t="s">
        <v>1153</v>
      </c>
      <c r="U288">
        <v>1.1939203109250001E-4</v>
      </c>
      <c r="V288" t="s">
        <v>251</v>
      </c>
      <c r="X288">
        <v>1.1415525114155251E-4</v>
      </c>
      <c r="Y288">
        <v>1.4883690094390442E-4</v>
      </c>
      <c r="Z288" t="s">
        <v>1153</v>
      </c>
      <c r="AA288" t="s">
        <v>25</v>
      </c>
      <c r="AC288" t="s">
        <v>22</v>
      </c>
      <c r="AD288" t="s">
        <v>1153</v>
      </c>
      <c r="AE288">
        <v>1.0518226357337691E-4</v>
      </c>
      <c r="AG288" t="s">
        <v>99</v>
      </c>
      <c r="AH288" t="s">
        <v>1153</v>
      </c>
      <c r="AI288">
        <v>0</v>
      </c>
    </row>
    <row r="289" spans="5:35" x14ac:dyDescent="0.45">
      <c r="E289" t="s">
        <v>914</v>
      </c>
      <c r="G289" t="s">
        <v>812</v>
      </c>
      <c r="I289" t="s">
        <v>249</v>
      </c>
      <c r="J289" t="s">
        <v>1154</v>
      </c>
      <c r="K289">
        <v>3.0485805024190002E-4</v>
      </c>
      <c r="L289" t="s">
        <v>251</v>
      </c>
      <c r="N289" t="s">
        <v>419</v>
      </c>
      <c r="O289" t="s">
        <v>1154</v>
      </c>
      <c r="P289">
        <v>2.5500817996674905E-5</v>
      </c>
      <c r="Q289" t="s">
        <v>251</v>
      </c>
      <c r="S289" t="s">
        <v>420</v>
      </c>
      <c r="T289" t="s">
        <v>1154</v>
      </c>
      <c r="U289">
        <v>1.3397055298020001E-4</v>
      </c>
      <c r="V289" t="s">
        <v>251</v>
      </c>
      <c r="X289">
        <v>1.1415525114155251E-4</v>
      </c>
      <c r="Y289">
        <v>1.5049432745775637E-4</v>
      </c>
      <c r="Z289" t="s">
        <v>1154</v>
      </c>
      <c r="AA289" t="s">
        <v>25</v>
      </c>
      <c r="AC289" t="s">
        <v>22</v>
      </c>
      <c r="AD289" t="s">
        <v>1154</v>
      </c>
      <c r="AE289">
        <v>9.9463770917364511E-5</v>
      </c>
      <c r="AG289" t="s">
        <v>99</v>
      </c>
      <c r="AH289" t="s">
        <v>1154</v>
      </c>
      <c r="AI289">
        <v>0</v>
      </c>
    </row>
    <row r="290" spans="5:35" x14ac:dyDescent="0.45">
      <c r="E290" t="s">
        <v>915</v>
      </c>
      <c r="G290" t="s">
        <v>812</v>
      </c>
      <c r="I290" t="s">
        <v>249</v>
      </c>
      <c r="J290" t="s">
        <v>1155</v>
      </c>
      <c r="K290">
        <v>2.8898967811790002E-4</v>
      </c>
      <c r="L290" t="s">
        <v>251</v>
      </c>
      <c r="N290" t="s">
        <v>419</v>
      </c>
      <c r="O290" t="s">
        <v>1155</v>
      </c>
      <c r="P290">
        <v>2.7093569254175769E-5</v>
      </c>
      <c r="Q290" t="s">
        <v>251</v>
      </c>
      <c r="S290" t="s">
        <v>420</v>
      </c>
      <c r="T290" t="s">
        <v>1155</v>
      </c>
      <c r="U290">
        <v>1.3531398526900001E-4</v>
      </c>
      <c r="V290" t="s">
        <v>251</v>
      </c>
      <c r="X290">
        <v>1.1415525114155251E-4</v>
      </c>
      <c r="Y290">
        <v>1.7237235744060203E-4</v>
      </c>
      <c r="Z290" t="s">
        <v>1155</v>
      </c>
      <c r="AA290" t="s">
        <v>25</v>
      </c>
      <c r="AC290" t="s">
        <v>22</v>
      </c>
      <c r="AD290" t="s">
        <v>1155</v>
      </c>
      <c r="AE290">
        <v>8.5507074778784286E-5</v>
      </c>
      <c r="AG290" t="s">
        <v>99</v>
      </c>
      <c r="AH290" t="s">
        <v>1155</v>
      </c>
      <c r="AI290">
        <v>0</v>
      </c>
    </row>
    <row r="291" spans="5:35" x14ac:dyDescent="0.45">
      <c r="E291" t="s">
        <v>916</v>
      </c>
      <c r="G291" t="s">
        <v>812</v>
      </c>
      <c r="I291" t="s">
        <v>249</v>
      </c>
      <c r="J291" t="s">
        <v>1156</v>
      </c>
      <c r="K291">
        <v>2.7293707973909999E-4</v>
      </c>
      <c r="L291" t="s">
        <v>251</v>
      </c>
      <c r="N291" t="s">
        <v>419</v>
      </c>
      <c r="O291" t="s">
        <v>1156</v>
      </c>
      <c r="P291">
        <v>3.0039889068030518E-5</v>
      </c>
      <c r="Q291" t="s">
        <v>251</v>
      </c>
      <c r="S291" t="s">
        <v>420</v>
      </c>
      <c r="T291" t="s">
        <v>1156</v>
      </c>
      <c r="U291">
        <v>1.23835068992E-4</v>
      </c>
      <c r="V291" t="s">
        <v>251</v>
      </c>
      <c r="X291">
        <v>1.1415525114155251E-4</v>
      </c>
      <c r="Y291">
        <v>2.2209515285616027E-4</v>
      </c>
      <c r="Z291" t="s">
        <v>1156</v>
      </c>
      <c r="AA291" t="s">
        <v>25</v>
      </c>
      <c r="AC291" t="s">
        <v>22</v>
      </c>
      <c r="AD291" t="s">
        <v>1156</v>
      </c>
      <c r="AE291">
        <v>8.0551047810240232E-5</v>
      </c>
      <c r="AG291" t="s">
        <v>99</v>
      </c>
      <c r="AH291" t="s">
        <v>1156</v>
      </c>
      <c r="AI291">
        <v>0</v>
      </c>
    </row>
    <row r="292" spans="5:35" x14ac:dyDescent="0.45">
      <c r="E292" t="s">
        <v>917</v>
      </c>
      <c r="G292" t="s">
        <v>812</v>
      </c>
      <c r="I292" t="s">
        <v>249</v>
      </c>
      <c r="J292" t="s">
        <v>1157</v>
      </c>
      <c r="K292">
        <v>2.254420524114E-4</v>
      </c>
      <c r="L292" t="s">
        <v>251</v>
      </c>
      <c r="N292" t="s">
        <v>419</v>
      </c>
      <c r="O292" t="s">
        <v>1157</v>
      </c>
      <c r="P292">
        <v>3.0782655516270738E-5</v>
      </c>
      <c r="Q292" t="s">
        <v>251</v>
      </c>
      <c r="S292" t="s">
        <v>420</v>
      </c>
      <c r="T292" t="s">
        <v>1157</v>
      </c>
      <c r="U292">
        <v>1.0689758038470001E-4</v>
      </c>
      <c r="V292" t="s">
        <v>251</v>
      </c>
      <c r="X292">
        <v>1.1415525114155251E-4</v>
      </c>
      <c r="Y292">
        <v>2.2209515285616027E-4</v>
      </c>
      <c r="Z292" t="s">
        <v>1157</v>
      </c>
      <c r="AA292" t="s">
        <v>25</v>
      </c>
      <c r="AC292" t="s">
        <v>22</v>
      </c>
      <c r="AD292" t="s">
        <v>1157</v>
      </c>
      <c r="AE292">
        <v>7.5231658287512037E-5</v>
      </c>
      <c r="AG292" t="s">
        <v>99</v>
      </c>
      <c r="AH292" t="s">
        <v>1157</v>
      </c>
      <c r="AI292">
        <v>0</v>
      </c>
    </row>
    <row r="293" spans="5:35" x14ac:dyDescent="0.45">
      <c r="E293" t="s">
        <v>918</v>
      </c>
      <c r="G293" t="s">
        <v>812</v>
      </c>
      <c r="I293" t="s">
        <v>249</v>
      </c>
      <c r="J293" t="s">
        <v>1158</v>
      </c>
      <c r="K293">
        <v>9.3359402806149762E-5</v>
      </c>
      <c r="L293" t="s">
        <v>251</v>
      </c>
      <c r="N293" t="s">
        <v>419</v>
      </c>
      <c r="O293" t="s">
        <v>1158</v>
      </c>
      <c r="P293">
        <v>3.695367324594916E-5</v>
      </c>
      <c r="Q293" t="s">
        <v>251</v>
      </c>
      <c r="S293" t="s">
        <v>420</v>
      </c>
      <c r="T293" t="s">
        <v>1158</v>
      </c>
      <c r="U293">
        <v>9.2034044938064155E-5</v>
      </c>
      <c r="V293" t="s">
        <v>251</v>
      </c>
      <c r="X293">
        <v>1.1415525114155251E-4</v>
      </c>
      <c r="Y293">
        <v>1.7237235744060203E-4</v>
      </c>
      <c r="Z293" t="s">
        <v>1158</v>
      </c>
      <c r="AA293" t="s">
        <v>25</v>
      </c>
      <c r="AC293" t="s">
        <v>22</v>
      </c>
      <c r="AD293" t="s">
        <v>1158</v>
      </c>
      <c r="AE293">
        <v>7.5463972051662543E-5</v>
      </c>
      <c r="AG293" t="s">
        <v>99</v>
      </c>
      <c r="AH293" t="s">
        <v>1158</v>
      </c>
      <c r="AI293">
        <v>0</v>
      </c>
    </row>
    <row r="294" spans="5:35" x14ac:dyDescent="0.45">
      <c r="E294" t="s">
        <v>919</v>
      </c>
      <c r="G294" t="s">
        <v>812</v>
      </c>
      <c r="I294" t="s">
        <v>249</v>
      </c>
      <c r="J294" t="s">
        <v>1159</v>
      </c>
      <c r="K294">
        <v>0</v>
      </c>
      <c r="L294" t="s">
        <v>251</v>
      </c>
      <c r="N294" t="s">
        <v>419</v>
      </c>
      <c r="O294" t="s">
        <v>1159</v>
      </c>
      <c r="P294">
        <v>4.0118769833130997E-5</v>
      </c>
      <c r="Q294" t="s">
        <v>251</v>
      </c>
      <c r="S294" t="s">
        <v>420</v>
      </c>
      <c r="T294" t="s">
        <v>1159</v>
      </c>
      <c r="U294">
        <v>7.3246548246319555E-5</v>
      </c>
      <c r="V294" t="s">
        <v>251</v>
      </c>
      <c r="X294">
        <v>1.1415525114155251E-4</v>
      </c>
      <c r="Y294">
        <v>1.5579809230208258E-4</v>
      </c>
      <c r="Z294" t="s">
        <v>1159</v>
      </c>
      <c r="AA294" t="s">
        <v>25</v>
      </c>
      <c r="AC294" t="s">
        <v>22</v>
      </c>
      <c r="AD294" t="s">
        <v>1159</v>
      </c>
      <c r="AE294">
        <v>7.598221044861366E-5</v>
      </c>
      <c r="AG294" t="s">
        <v>99</v>
      </c>
      <c r="AH294" t="s">
        <v>1159</v>
      </c>
      <c r="AI294">
        <v>0</v>
      </c>
    </row>
    <row r="295" spans="5:35" x14ac:dyDescent="0.45">
      <c r="E295" t="s">
        <v>920</v>
      </c>
      <c r="G295" t="s">
        <v>812</v>
      </c>
      <c r="I295" t="s">
        <v>249</v>
      </c>
      <c r="J295" t="s">
        <v>1160</v>
      </c>
      <c r="K295">
        <v>0</v>
      </c>
      <c r="L295" t="s">
        <v>251</v>
      </c>
      <c r="N295" t="s">
        <v>419</v>
      </c>
      <c r="O295" t="s">
        <v>1160</v>
      </c>
      <c r="P295">
        <v>4.6729203990118233E-5</v>
      </c>
      <c r="Q295" t="s">
        <v>251</v>
      </c>
      <c r="S295" t="s">
        <v>420</v>
      </c>
      <c r="T295" t="s">
        <v>1160</v>
      </c>
      <c r="U295">
        <v>7.4369314966199869E-5</v>
      </c>
      <c r="V295" t="s">
        <v>251</v>
      </c>
      <c r="X295">
        <v>1.1415525114155251E-4</v>
      </c>
      <c r="Y295">
        <v>1.093901499142282E-4</v>
      </c>
      <c r="Z295" t="s">
        <v>1160</v>
      </c>
      <c r="AA295" t="s">
        <v>25</v>
      </c>
      <c r="AC295" t="s">
        <v>22</v>
      </c>
      <c r="AD295" t="s">
        <v>1160</v>
      </c>
      <c r="AE295">
        <v>8.1724530157359425E-5</v>
      </c>
      <c r="AG295" t="s">
        <v>99</v>
      </c>
      <c r="AH295" t="s">
        <v>1160</v>
      </c>
      <c r="AI295">
        <v>0</v>
      </c>
    </row>
    <row r="296" spans="5:35" x14ac:dyDescent="0.45">
      <c r="E296" t="s">
        <v>921</v>
      </c>
      <c r="G296" t="s">
        <v>812</v>
      </c>
      <c r="I296" t="s">
        <v>249</v>
      </c>
      <c r="J296" t="s">
        <v>1161</v>
      </c>
      <c r="K296">
        <v>0</v>
      </c>
      <c r="L296" t="s">
        <v>251</v>
      </c>
      <c r="N296" t="s">
        <v>419</v>
      </c>
      <c r="O296" t="s">
        <v>1161</v>
      </c>
      <c r="P296">
        <v>5.4867949821239762E-5</v>
      </c>
      <c r="Q296" t="s">
        <v>251</v>
      </c>
      <c r="S296" t="s">
        <v>420</v>
      </c>
      <c r="T296" t="s">
        <v>1161</v>
      </c>
      <c r="U296">
        <v>7.1405190812889725E-5</v>
      </c>
      <c r="V296" t="s">
        <v>251</v>
      </c>
      <c r="X296">
        <v>1.1415525114155251E-4</v>
      </c>
      <c r="Y296">
        <v>7.9556472664893237E-5</v>
      </c>
      <c r="Z296" t="s">
        <v>1161</v>
      </c>
      <c r="AA296" t="s">
        <v>25</v>
      </c>
      <c r="AC296" t="s">
        <v>22</v>
      </c>
      <c r="AD296" t="s">
        <v>1161</v>
      </c>
      <c r="AE296">
        <v>8.7788515078005876E-5</v>
      </c>
      <c r="AG296" t="s">
        <v>99</v>
      </c>
      <c r="AH296" t="s">
        <v>1161</v>
      </c>
      <c r="AI296">
        <v>0</v>
      </c>
    </row>
    <row r="297" spans="5:35" x14ac:dyDescent="0.45">
      <c r="E297" t="s">
        <v>922</v>
      </c>
      <c r="G297" t="s">
        <v>812</v>
      </c>
      <c r="I297" t="s">
        <v>249</v>
      </c>
      <c r="J297" t="s">
        <v>1162</v>
      </c>
      <c r="K297">
        <v>0</v>
      </c>
      <c r="L297" t="s">
        <v>251</v>
      </c>
      <c r="N297" t="s">
        <v>419</v>
      </c>
      <c r="O297" t="s">
        <v>1162</v>
      </c>
      <c r="P297">
        <v>6.8770197054584883E-5</v>
      </c>
      <c r="Q297" t="s">
        <v>251</v>
      </c>
      <c r="S297" t="s">
        <v>420</v>
      </c>
      <c r="T297" t="s">
        <v>1162</v>
      </c>
      <c r="U297">
        <v>6.1930348138479685E-5</v>
      </c>
      <c r="V297" t="s">
        <v>251</v>
      </c>
      <c r="X297">
        <v>1.1415525114155251E-4</v>
      </c>
      <c r="Y297">
        <v>5.6352501470966035E-5</v>
      </c>
      <c r="Z297" t="s">
        <v>1162</v>
      </c>
      <c r="AA297" t="s">
        <v>25</v>
      </c>
      <c r="AC297" t="s">
        <v>22</v>
      </c>
      <c r="AD297" t="s">
        <v>1162</v>
      </c>
      <c r="AE297">
        <v>9.6908319511708989E-5</v>
      </c>
      <c r="AG297" t="s">
        <v>99</v>
      </c>
      <c r="AH297" t="s">
        <v>1162</v>
      </c>
      <c r="AI297">
        <v>0</v>
      </c>
    </row>
    <row r="298" spans="5:35" x14ac:dyDescent="0.45">
      <c r="E298" t="s">
        <v>923</v>
      </c>
      <c r="G298" t="s">
        <v>812</v>
      </c>
      <c r="I298" t="s">
        <v>249</v>
      </c>
      <c r="J298" t="s">
        <v>1163</v>
      </c>
      <c r="K298">
        <v>0</v>
      </c>
      <c r="L298" t="s">
        <v>251</v>
      </c>
      <c r="N298" t="s">
        <v>419</v>
      </c>
      <c r="O298" t="s">
        <v>1163</v>
      </c>
      <c r="P298">
        <v>8.197170466648859E-5</v>
      </c>
      <c r="Q298" t="s">
        <v>251</v>
      </c>
      <c r="S298" t="s">
        <v>420</v>
      </c>
      <c r="T298" t="s">
        <v>1163</v>
      </c>
      <c r="U298">
        <v>6.1193126966661355E-5</v>
      </c>
      <c r="V298" t="s">
        <v>251</v>
      </c>
      <c r="X298">
        <v>1.1415525114155251E-4</v>
      </c>
      <c r="Y298">
        <v>2.9833677249334962E-5</v>
      </c>
      <c r="Z298" t="s">
        <v>1163</v>
      </c>
      <c r="AA298" t="s">
        <v>25</v>
      </c>
      <c r="AC298" t="s">
        <v>22</v>
      </c>
      <c r="AD298" t="s">
        <v>1163</v>
      </c>
      <c r="AE298">
        <v>1.0269233656273814E-4</v>
      </c>
      <c r="AG298" t="s">
        <v>99</v>
      </c>
      <c r="AH298" t="s">
        <v>1163</v>
      </c>
      <c r="AI298">
        <v>0</v>
      </c>
    </row>
    <row r="299" spans="5:35" x14ac:dyDescent="0.45">
      <c r="E299" t="s">
        <v>532</v>
      </c>
      <c r="G299" t="s">
        <v>814</v>
      </c>
      <c r="I299" t="s">
        <v>249</v>
      </c>
      <c r="J299" t="s">
        <v>1164</v>
      </c>
      <c r="K299">
        <v>0</v>
      </c>
      <c r="L299" t="s">
        <v>251</v>
      </c>
      <c r="N299" t="s">
        <v>419</v>
      </c>
      <c r="O299" t="s">
        <v>1164</v>
      </c>
      <c r="P299">
        <v>2.3639833951319999E-4</v>
      </c>
      <c r="Q299" t="s">
        <v>251</v>
      </c>
      <c r="S299" t="s">
        <v>420</v>
      </c>
      <c r="T299" t="s">
        <v>1164</v>
      </c>
      <c r="U299">
        <v>1.161454874279E-4</v>
      </c>
      <c r="V299" t="s">
        <v>251</v>
      </c>
      <c r="X299">
        <v>1.1415525114155251E-4</v>
      </c>
      <c r="Y299">
        <v>2.1546544680075254E-5</v>
      </c>
      <c r="Z299" t="s">
        <v>1164</v>
      </c>
      <c r="AA299" t="s">
        <v>25</v>
      </c>
      <c r="AC299" t="s">
        <v>22</v>
      </c>
      <c r="AD299" t="s">
        <v>1164</v>
      </c>
      <c r="AE299">
        <v>1.3158263800196735E-4</v>
      </c>
      <c r="AG299" t="s">
        <v>99</v>
      </c>
      <c r="AH299" t="s">
        <v>1164</v>
      </c>
      <c r="AI299">
        <v>0</v>
      </c>
    </row>
    <row r="300" spans="5:35" x14ac:dyDescent="0.45">
      <c r="E300" t="s">
        <v>533</v>
      </c>
      <c r="G300" t="s">
        <v>814</v>
      </c>
      <c r="I300" t="s">
        <v>249</v>
      </c>
      <c r="J300" t="s">
        <v>1165</v>
      </c>
      <c r="K300">
        <v>0</v>
      </c>
      <c r="L300" t="s">
        <v>251</v>
      </c>
      <c r="N300" t="s">
        <v>419</v>
      </c>
      <c r="O300" t="s">
        <v>1165</v>
      </c>
      <c r="P300">
        <v>2.478622143669E-4</v>
      </c>
      <c r="Q300" t="s">
        <v>251</v>
      </c>
      <c r="S300" t="s">
        <v>420</v>
      </c>
      <c r="T300" t="s">
        <v>1165</v>
      </c>
      <c r="U300">
        <v>1.416567454477E-4</v>
      </c>
      <c r="V300" t="s">
        <v>251</v>
      </c>
      <c r="X300">
        <v>1.1415525114155251E-4</v>
      </c>
      <c r="Y300">
        <v>1.4916838624667481E-5</v>
      </c>
      <c r="Z300" t="s">
        <v>1165</v>
      </c>
      <c r="AA300" t="s">
        <v>25</v>
      </c>
      <c r="AC300" t="s">
        <v>22</v>
      </c>
      <c r="AD300" t="s">
        <v>1165</v>
      </c>
      <c r="AE300">
        <v>1.2991474431063043E-4</v>
      </c>
      <c r="AG300" t="s">
        <v>99</v>
      </c>
      <c r="AH300" t="s">
        <v>1165</v>
      </c>
      <c r="AI300">
        <v>0</v>
      </c>
    </row>
    <row r="301" spans="5:35" x14ac:dyDescent="0.45">
      <c r="E301" t="s">
        <v>534</v>
      </c>
      <c r="G301" t="s">
        <v>814</v>
      </c>
      <c r="I301" t="s">
        <v>249</v>
      </c>
      <c r="J301" t="s">
        <v>1166</v>
      </c>
      <c r="K301">
        <v>0</v>
      </c>
      <c r="L301" t="s">
        <v>251</v>
      </c>
      <c r="N301" t="s">
        <v>419</v>
      </c>
      <c r="O301" t="s">
        <v>1166</v>
      </c>
      <c r="P301">
        <v>2.523924050206E-4</v>
      </c>
      <c r="Q301" t="s">
        <v>251</v>
      </c>
      <c r="S301" t="s">
        <v>420</v>
      </c>
      <c r="T301" t="s">
        <v>1166</v>
      </c>
      <c r="U301">
        <v>1.5360246256200001E-4</v>
      </c>
      <c r="V301" t="s">
        <v>251</v>
      </c>
      <c r="X301">
        <v>1.1415525114155251E-4</v>
      </c>
      <c r="Y301">
        <v>1.6574265138519424E-5</v>
      </c>
      <c r="Z301" t="s">
        <v>1166</v>
      </c>
      <c r="AA301" t="s">
        <v>25</v>
      </c>
      <c r="AC301" t="s">
        <v>22</v>
      </c>
      <c r="AD301" t="s">
        <v>1166</v>
      </c>
      <c r="AE301">
        <v>1.2998026870564728E-4</v>
      </c>
      <c r="AG301" t="s">
        <v>99</v>
      </c>
      <c r="AH301" t="s">
        <v>1166</v>
      </c>
      <c r="AI301">
        <v>0</v>
      </c>
    </row>
    <row r="302" spans="5:35" x14ac:dyDescent="0.45">
      <c r="E302" t="s">
        <v>535</v>
      </c>
      <c r="G302" t="s">
        <v>814</v>
      </c>
      <c r="I302" t="s">
        <v>249</v>
      </c>
      <c r="J302" t="s">
        <v>1167</v>
      </c>
      <c r="K302">
        <v>0</v>
      </c>
      <c r="L302" t="s">
        <v>251</v>
      </c>
      <c r="N302" t="s">
        <v>419</v>
      </c>
      <c r="O302" t="s">
        <v>1167</v>
      </c>
      <c r="P302">
        <v>2.5569157415530002E-4</v>
      </c>
      <c r="Q302" t="s">
        <v>251</v>
      </c>
      <c r="S302" t="s">
        <v>420</v>
      </c>
      <c r="T302" t="s">
        <v>1167</v>
      </c>
      <c r="U302">
        <v>1.591645524577E-4</v>
      </c>
      <c r="V302" t="s">
        <v>251</v>
      </c>
      <c r="X302">
        <v>1.1415525114155251E-4</v>
      </c>
      <c r="Y302">
        <v>1.4585353321897093E-5</v>
      </c>
      <c r="Z302" t="s">
        <v>1167</v>
      </c>
      <c r="AA302" t="s">
        <v>25</v>
      </c>
      <c r="AC302" t="s">
        <v>22</v>
      </c>
      <c r="AD302" t="s">
        <v>1167</v>
      </c>
      <c r="AE302">
        <v>1.2998026870564728E-4</v>
      </c>
      <c r="AG302" t="s">
        <v>99</v>
      </c>
      <c r="AH302" t="s">
        <v>1167</v>
      </c>
      <c r="AI302">
        <v>0</v>
      </c>
    </row>
    <row r="303" spans="5:35" x14ac:dyDescent="0.45">
      <c r="E303" t="s">
        <v>536</v>
      </c>
      <c r="G303" t="s">
        <v>814</v>
      </c>
      <c r="I303" t="s">
        <v>249</v>
      </c>
      <c r="J303" t="s">
        <v>1168</v>
      </c>
      <c r="K303">
        <v>0</v>
      </c>
      <c r="L303" t="s">
        <v>251</v>
      </c>
      <c r="N303" t="s">
        <v>419</v>
      </c>
      <c r="O303" t="s">
        <v>1168</v>
      </c>
      <c r="P303">
        <v>2.5304480479629998E-4</v>
      </c>
      <c r="Q303" t="s">
        <v>251</v>
      </c>
      <c r="S303" t="s">
        <v>420</v>
      </c>
      <c r="T303" t="s">
        <v>1168</v>
      </c>
      <c r="U303">
        <v>1.671230496459E-4</v>
      </c>
      <c r="V303" t="s">
        <v>251</v>
      </c>
      <c r="X303">
        <v>1.1415525114155251E-4</v>
      </c>
      <c r="Y303">
        <v>2.1215059377304864E-5</v>
      </c>
      <c r="Z303" t="s">
        <v>1168</v>
      </c>
      <c r="AA303" t="s">
        <v>25</v>
      </c>
      <c r="AC303" t="s">
        <v>22</v>
      </c>
      <c r="AD303" t="s">
        <v>1168</v>
      </c>
      <c r="AE303">
        <v>1.2984326315243028E-4</v>
      </c>
      <c r="AG303" t="s">
        <v>99</v>
      </c>
      <c r="AH303" t="s">
        <v>1168</v>
      </c>
      <c r="AI303">
        <v>0</v>
      </c>
    </row>
    <row r="304" spans="5:35" x14ac:dyDescent="0.45">
      <c r="E304" t="s">
        <v>537</v>
      </c>
      <c r="G304" t="s">
        <v>814</v>
      </c>
      <c r="I304" t="s">
        <v>249</v>
      </c>
      <c r="J304" t="s">
        <v>1169</v>
      </c>
      <c r="K304">
        <v>0</v>
      </c>
      <c r="L304" t="s">
        <v>251</v>
      </c>
      <c r="N304" t="s">
        <v>419</v>
      </c>
      <c r="O304" t="s">
        <v>1169</v>
      </c>
      <c r="P304">
        <v>2.482646638311E-4</v>
      </c>
      <c r="Q304" t="s">
        <v>251</v>
      </c>
      <c r="S304" t="s">
        <v>420</v>
      </c>
      <c r="T304" t="s">
        <v>1169</v>
      </c>
      <c r="U304">
        <v>1.715509371765E-4</v>
      </c>
      <c r="V304" t="s">
        <v>251</v>
      </c>
      <c r="X304">
        <v>1.1415525114155251E-4</v>
      </c>
      <c r="Y304">
        <v>5.7678442682047593E-5</v>
      </c>
      <c r="Z304" t="s">
        <v>1169</v>
      </c>
      <c r="AA304" t="s">
        <v>25</v>
      </c>
      <c r="AC304" t="s">
        <v>22</v>
      </c>
      <c r="AD304" t="s">
        <v>1169</v>
      </c>
      <c r="AE304">
        <v>1.2997431194246387E-4</v>
      </c>
      <c r="AG304" t="s">
        <v>99</v>
      </c>
      <c r="AH304" t="s">
        <v>1169</v>
      </c>
      <c r="AI304">
        <v>0</v>
      </c>
    </row>
    <row r="305" spans="5:35" x14ac:dyDescent="0.45">
      <c r="E305" t="s">
        <v>538</v>
      </c>
      <c r="G305" t="s">
        <v>814</v>
      </c>
      <c r="I305" t="s">
        <v>249</v>
      </c>
      <c r="J305" t="s">
        <v>1170</v>
      </c>
      <c r="K305">
        <v>4.4889140950900199E-5</v>
      </c>
      <c r="L305" t="s">
        <v>251</v>
      </c>
      <c r="N305" t="s">
        <v>419</v>
      </c>
      <c r="O305" t="s">
        <v>1170</v>
      </c>
      <c r="P305">
        <v>2.40070792932E-4</v>
      </c>
      <c r="Q305" t="s">
        <v>251</v>
      </c>
      <c r="S305" t="s">
        <v>420</v>
      </c>
      <c r="T305" t="s">
        <v>1170</v>
      </c>
      <c r="U305">
        <v>1.7472732000129999E-4</v>
      </c>
      <c r="V305" t="s">
        <v>251</v>
      </c>
      <c r="X305">
        <v>1.1415525114155251E-4</v>
      </c>
      <c r="Y305">
        <v>1.6905750441289813E-4</v>
      </c>
      <c r="Z305" t="s">
        <v>1170</v>
      </c>
      <c r="AA305" t="s">
        <v>25</v>
      </c>
      <c r="AC305" t="s">
        <v>22</v>
      </c>
      <c r="AD305" t="s">
        <v>1170</v>
      </c>
      <c r="AE305">
        <v>1.3031384744391461E-4</v>
      </c>
      <c r="AG305" t="s">
        <v>99</v>
      </c>
      <c r="AH305" t="s">
        <v>1170</v>
      </c>
      <c r="AI305">
        <v>0</v>
      </c>
    </row>
    <row r="306" spans="5:35" x14ac:dyDescent="0.45">
      <c r="E306" t="s">
        <v>539</v>
      </c>
      <c r="G306" t="s">
        <v>814</v>
      </c>
      <c r="I306" t="s">
        <v>249</v>
      </c>
      <c r="J306" t="s">
        <v>1171</v>
      </c>
      <c r="K306">
        <v>1.8412409618130001E-4</v>
      </c>
      <c r="L306" t="s">
        <v>251</v>
      </c>
      <c r="N306" t="s">
        <v>419</v>
      </c>
      <c r="O306" t="s">
        <v>1171</v>
      </c>
      <c r="P306">
        <v>2.280112480073E-4</v>
      </c>
      <c r="Q306" t="s">
        <v>251</v>
      </c>
      <c r="S306" t="s">
        <v>420</v>
      </c>
      <c r="T306" t="s">
        <v>1171</v>
      </c>
      <c r="U306">
        <v>1.7728009904080001E-4</v>
      </c>
      <c r="V306" t="s">
        <v>251</v>
      </c>
      <c r="X306">
        <v>1.1415525114155251E-4</v>
      </c>
      <c r="Y306">
        <v>1.9060404909297337E-4</v>
      </c>
      <c r="Z306" t="s">
        <v>1171</v>
      </c>
      <c r="AA306" t="s">
        <v>25</v>
      </c>
      <c r="AC306" t="s">
        <v>22</v>
      </c>
      <c r="AD306" t="s">
        <v>1171</v>
      </c>
      <c r="AE306">
        <v>1.3112396723684972E-4</v>
      </c>
      <c r="AG306" t="s">
        <v>99</v>
      </c>
      <c r="AH306" t="s">
        <v>1171</v>
      </c>
      <c r="AI306">
        <v>0</v>
      </c>
    </row>
    <row r="307" spans="5:35" x14ac:dyDescent="0.45">
      <c r="E307" t="s">
        <v>540</v>
      </c>
      <c r="G307" t="s">
        <v>814</v>
      </c>
      <c r="I307" t="s">
        <v>249</v>
      </c>
      <c r="J307" t="s">
        <v>1172</v>
      </c>
      <c r="K307">
        <v>2.5389258056410002E-4</v>
      </c>
      <c r="L307" t="s">
        <v>251</v>
      </c>
      <c r="N307" t="s">
        <v>419</v>
      </c>
      <c r="O307" t="s">
        <v>1172</v>
      </c>
      <c r="P307">
        <v>2.3516218373739999E-4</v>
      </c>
      <c r="Q307" t="s">
        <v>251</v>
      </c>
      <c r="S307" t="s">
        <v>420</v>
      </c>
      <c r="T307" t="s">
        <v>1172</v>
      </c>
      <c r="U307">
        <v>1.7848559486650001E-4</v>
      </c>
      <c r="V307" t="s">
        <v>251</v>
      </c>
      <c r="X307">
        <v>1.1415525114155251E-4</v>
      </c>
      <c r="Y307">
        <v>1.4585353321897094E-4</v>
      </c>
      <c r="Z307" t="s">
        <v>1172</v>
      </c>
      <c r="AA307" t="s">
        <v>25</v>
      </c>
      <c r="AC307" t="s">
        <v>22</v>
      </c>
      <c r="AD307" t="s">
        <v>1172</v>
      </c>
      <c r="AE307">
        <v>1.3145158921193373E-4</v>
      </c>
      <c r="AG307" t="s">
        <v>99</v>
      </c>
      <c r="AH307" t="s">
        <v>1172</v>
      </c>
      <c r="AI307">
        <v>0</v>
      </c>
    </row>
    <row r="308" spans="5:35" x14ac:dyDescent="0.45">
      <c r="E308" t="s">
        <v>541</v>
      </c>
      <c r="G308" t="s">
        <v>814</v>
      </c>
      <c r="I308" t="s">
        <v>249</v>
      </c>
      <c r="J308" t="s">
        <v>1173</v>
      </c>
      <c r="K308">
        <v>2.8311240212379999E-4</v>
      </c>
      <c r="L308" t="s">
        <v>251</v>
      </c>
      <c r="N308" t="s">
        <v>419</v>
      </c>
      <c r="O308" t="s">
        <v>1173</v>
      </c>
      <c r="P308">
        <v>2.36554265482E-4</v>
      </c>
      <c r="Q308" t="s">
        <v>251</v>
      </c>
      <c r="S308" t="s">
        <v>420</v>
      </c>
      <c r="T308" t="s">
        <v>1173</v>
      </c>
      <c r="U308">
        <v>1.773526201074E-4</v>
      </c>
      <c r="V308" t="s">
        <v>251</v>
      </c>
      <c r="X308">
        <v>1.1415525114155251E-4</v>
      </c>
      <c r="Y308">
        <v>1.4452759200788939E-4</v>
      </c>
      <c r="Z308" t="s">
        <v>1173</v>
      </c>
      <c r="AA308" t="s">
        <v>25</v>
      </c>
      <c r="AC308" t="s">
        <v>22</v>
      </c>
      <c r="AD308" t="s">
        <v>1173</v>
      </c>
      <c r="AE308">
        <v>1.3238680103171913E-4</v>
      </c>
      <c r="AG308" t="s">
        <v>99</v>
      </c>
      <c r="AH308" t="s">
        <v>1173</v>
      </c>
      <c r="AI308">
        <v>0</v>
      </c>
    </row>
    <row r="309" spans="5:35" x14ac:dyDescent="0.45">
      <c r="E309" t="s">
        <v>542</v>
      </c>
      <c r="G309" t="s">
        <v>814</v>
      </c>
      <c r="I309" t="s">
        <v>249</v>
      </c>
      <c r="J309" t="s">
        <v>1174</v>
      </c>
      <c r="K309">
        <v>2.9856160714240003E-4</v>
      </c>
      <c r="L309" t="s">
        <v>251</v>
      </c>
      <c r="N309" t="s">
        <v>419</v>
      </c>
      <c r="O309" t="s">
        <v>1174</v>
      </c>
      <c r="P309">
        <v>2.418117477248E-4</v>
      </c>
      <c r="Q309" t="s">
        <v>251</v>
      </c>
      <c r="S309" t="s">
        <v>420</v>
      </c>
      <c r="T309" t="s">
        <v>1174</v>
      </c>
      <c r="U309">
        <v>1.7625413503E-4</v>
      </c>
      <c r="V309" t="s">
        <v>251</v>
      </c>
      <c r="X309">
        <v>1.1415525114155251E-4</v>
      </c>
      <c r="Y309">
        <v>1.408812536774151E-4</v>
      </c>
      <c r="Z309" t="s">
        <v>1174</v>
      </c>
      <c r="AA309" t="s">
        <v>25</v>
      </c>
      <c r="AC309" t="s">
        <v>22</v>
      </c>
      <c r="AD309" t="s">
        <v>1174</v>
      </c>
      <c r="AE309">
        <v>1.3137415129055028E-4</v>
      </c>
      <c r="AG309" t="s">
        <v>99</v>
      </c>
      <c r="AH309" t="s">
        <v>1174</v>
      </c>
      <c r="AI309">
        <v>0</v>
      </c>
    </row>
    <row r="310" spans="5:35" x14ac:dyDescent="0.45">
      <c r="E310" t="s">
        <v>543</v>
      </c>
      <c r="G310" t="s">
        <v>814</v>
      </c>
      <c r="I310" t="s">
        <v>249</v>
      </c>
      <c r="J310" t="s">
        <v>1175</v>
      </c>
      <c r="K310">
        <v>3.1763977802929999E-4</v>
      </c>
      <c r="L310" t="s">
        <v>251</v>
      </c>
      <c r="N310" t="s">
        <v>419</v>
      </c>
      <c r="O310" t="s">
        <v>1175</v>
      </c>
      <c r="P310">
        <v>2.485351427174E-4</v>
      </c>
      <c r="Q310" t="s">
        <v>251</v>
      </c>
      <c r="S310" t="s">
        <v>420</v>
      </c>
      <c r="T310" t="s">
        <v>1175</v>
      </c>
      <c r="U310">
        <v>1.7454170401550001E-4</v>
      </c>
      <c r="V310" t="s">
        <v>251</v>
      </c>
      <c r="X310">
        <v>1.1415525114155251E-4</v>
      </c>
      <c r="Y310">
        <v>1.4054976837464471E-4</v>
      </c>
      <c r="Z310" t="s">
        <v>1175</v>
      </c>
      <c r="AA310" t="s">
        <v>25</v>
      </c>
      <c r="AC310" t="s">
        <v>22</v>
      </c>
      <c r="AD310" t="s">
        <v>1175</v>
      </c>
      <c r="AE310">
        <v>1.2830046148794359E-4</v>
      </c>
      <c r="AG310" t="s">
        <v>99</v>
      </c>
      <c r="AH310" t="s">
        <v>1175</v>
      </c>
      <c r="AI310">
        <v>0</v>
      </c>
    </row>
    <row r="311" spans="5:35" x14ac:dyDescent="0.45">
      <c r="E311" t="s">
        <v>544</v>
      </c>
      <c r="G311" t="s">
        <v>814</v>
      </c>
      <c r="I311" t="s">
        <v>249</v>
      </c>
      <c r="J311" t="s">
        <v>1176</v>
      </c>
      <c r="K311">
        <v>3.3370764331769998E-4</v>
      </c>
      <c r="L311" t="s">
        <v>251</v>
      </c>
      <c r="N311" t="s">
        <v>419</v>
      </c>
      <c r="O311" t="s">
        <v>1176</v>
      </c>
      <c r="P311">
        <v>2.4895624962509999E-4</v>
      </c>
      <c r="Q311" t="s">
        <v>251</v>
      </c>
      <c r="S311" t="s">
        <v>420</v>
      </c>
      <c r="T311" t="s">
        <v>1176</v>
      </c>
      <c r="U311">
        <v>1.736912042774E-4</v>
      </c>
      <c r="V311" t="s">
        <v>251</v>
      </c>
      <c r="X311">
        <v>1.1415525114155251E-4</v>
      </c>
      <c r="Y311">
        <v>1.4253868019126702E-4</v>
      </c>
      <c r="Z311" t="s">
        <v>1176</v>
      </c>
      <c r="AA311" t="s">
        <v>25</v>
      </c>
      <c r="AC311" t="s">
        <v>22</v>
      </c>
      <c r="AD311" t="s">
        <v>1176</v>
      </c>
      <c r="AE311">
        <v>1.2435112749738505E-4</v>
      </c>
      <c r="AG311" t="s">
        <v>99</v>
      </c>
      <c r="AH311" t="s">
        <v>1176</v>
      </c>
      <c r="AI311">
        <v>0</v>
      </c>
    </row>
    <row r="312" spans="5:35" x14ac:dyDescent="0.45">
      <c r="E312" t="s">
        <v>545</v>
      </c>
      <c r="G312" t="s">
        <v>814</v>
      </c>
      <c r="I312" t="s">
        <v>249</v>
      </c>
      <c r="J312" t="s">
        <v>1177</v>
      </c>
      <c r="K312">
        <v>3.220774010033E-4</v>
      </c>
      <c r="L312" t="s">
        <v>251</v>
      </c>
      <c r="N312" t="s">
        <v>419</v>
      </c>
      <c r="O312" t="s">
        <v>1177</v>
      </c>
      <c r="P312">
        <v>2.5116313975480001E-4</v>
      </c>
      <c r="Q312" t="s">
        <v>251</v>
      </c>
      <c r="S312" t="s">
        <v>420</v>
      </c>
      <c r="T312" t="s">
        <v>1177</v>
      </c>
      <c r="U312">
        <v>1.735624153702E-4</v>
      </c>
      <c r="V312" t="s">
        <v>251</v>
      </c>
      <c r="X312">
        <v>1.1415525114155251E-4</v>
      </c>
      <c r="Y312">
        <v>1.4883690094390442E-4</v>
      </c>
      <c r="Z312" t="s">
        <v>1177</v>
      </c>
      <c r="AA312" t="s">
        <v>25</v>
      </c>
      <c r="AC312" t="s">
        <v>22</v>
      </c>
      <c r="AD312" t="s">
        <v>1177</v>
      </c>
      <c r="AE312">
        <v>1.1183001128599127E-4</v>
      </c>
      <c r="AG312" t="s">
        <v>99</v>
      </c>
      <c r="AH312" t="s">
        <v>1177</v>
      </c>
      <c r="AI312">
        <v>0</v>
      </c>
    </row>
    <row r="313" spans="5:35" x14ac:dyDescent="0.45">
      <c r="E313" t="s">
        <v>546</v>
      </c>
      <c r="G313" t="s">
        <v>814</v>
      </c>
      <c r="I313" t="s">
        <v>249</v>
      </c>
      <c r="J313" t="s">
        <v>1178</v>
      </c>
      <c r="K313">
        <v>3.0415900638710002E-4</v>
      </c>
      <c r="L313" t="s">
        <v>251</v>
      </c>
      <c r="N313" t="s">
        <v>419</v>
      </c>
      <c r="O313" t="s">
        <v>1178</v>
      </c>
      <c r="P313">
        <v>2.52329082799E-4</v>
      </c>
      <c r="Q313" t="s">
        <v>251</v>
      </c>
      <c r="S313" t="s">
        <v>420</v>
      </c>
      <c r="T313" t="s">
        <v>1178</v>
      </c>
      <c r="U313">
        <v>1.7402312297E-4</v>
      </c>
      <c r="V313" t="s">
        <v>251</v>
      </c>
      <c r="X313">
        <v>1.1415525114155251E-4</v>
      </c>
      <c r="Y313">
        <v>1.5049432745775637E-4</v>
      </c>
      <c r="Z313" t="s">
        <v>1178</v>
      </c>
      <c r="AA313" t="s">
        <v>25</v>
      </c>
      <c r="AC313" t="s">
        <v>22</v>
      </c>
      <c r="AD313" t="s">
        <v>1178</v>
      </c>
      <c r="AE313">
        <v>1.0455680343912551E-4</v>
      </c>
      <c r="AG313" t="s">
        <v>99</v>
      </c>
      <c r="AH313" t="s">
        <v>1178</v>
      </c>
      <c r="AI313">
        <v>0</v>
      </c>
    </row>
    <row r="314" spans="5:35" x14ac:dyDescent="0.45">
      <c r="E314" t="s">
        <v>547</v>
      </c>
      <c r="G314" t="s">
        <v>814</v>
      </c>
      <c r="I314" t="s">
        <v>249</v>
      </c>
      <c r="J314" t="s">
        <v>1179</v>
      </c>
      <c r="K314">
        <v>2.8760647941680002E-4</v>
      </c>
      <c r="L314" t="s">
        <v>251</v>
      </c>
      <c r="N314" t="s">
        <v>419</v>
      </c>
      <c r="O314" t="s">
        <v>1179</v>
      </c>
      <c r="P314">
        <v>2.5291185693890003E-4</v>
      </c>
      <c r="Q314" t="s">
        <v>251</v>
      </c>
      <c r="S314" t="s">
        <v>420</v>
      </c>
      <c r="T314" t="s">
        <v>1179</v>
      </c>
      <c r="U314">
        <v>1.737972906695E-4</v>
      </c>
      <c r="V314" t="s">
        <v>251</v>
      </c>
      <c r="X314">
        <v>1.1415525114155251E-4</v>
      </c>
      <c r="Y314">
        <v>1.7237235744060203E-4</v>
      </c>
      <c r="Z314" t="s">
        <v>1179</v>
      </c>
      <c r="AA314" t="s">
        <v>25</v>
      </c>
      <c r="AC314" t="s">
        <v>22</v>
      </c>
      <c r="AD314" t="s">
        <v>1179</v>
      </c>
      <c r="AE314">
        <v>8.8080396473989853E-5</v>
      </c>
      <c r="AG314" t="s">
        <v>99</v>
      </c>
      <c r="AH314" t="s">
        <v>1179</v>
      </c>
      <c r="AI314">
        <v>0</v>
      </c>
    </row>
    <row r="315" spans="5:35" x14ac:dyDescent="0.45">
      <c r="E315" t="s">
        <v>548</v>
      </c>
      <c r="G315" t="s">
        <v>814</v>
      </c>
      <c r="I315" t="s">
        <v>249</v>
      </c>
      <c r="J315" t="s">
        <v>1180</v>
      </c>
      <c r="K315">
        <v>2.6531558678480002E-4</v>
      </c>
      <c r="L315" t="s">
        <v>251</v>
      </c>
      <c r="N315" t="s">
        <v>419</v>
      </c>
      <c r="O315" t="s">
        <v>1180</v>
      </c>
      <c r="P315">
        <v>2.5173640861899998E-4</v>
      </c>
      <c r="Q315" t="s">
        <v>251</v>
      </c>
      <c r="S315" t="s">
        <v>420</v>
      </c>
      <c r="T315" t="s">
        <v>1180</v>
      </c>
      <c r="U315">
        <v>1.7502025254330001E-4</v>
      </c>
      <c r="V315" t="s">
        <v>251</v>
      </c>
      <c r="X315">
        <v>1.1415525114155251E-4</v>
      </c>
      <c r="Y315">
        <v>2.2209515285616027E-4</v>
      </c>
      <c r="Z315" t="s">
        <v>1180</v>
      </c>
      <c r="AA315" t="s">
        <v>25</v>
      </c>
      <c r="AC315" t="s">
        <v>22</v>
      </c>
      <c r="AD315" t="s">
        <v>1180</v>
      </c>
      <c r="AE315">
        <v>8.4244240983914886E-5</v>
      </c>
      <c r="AG315" t="s">
        <v>99</v>
      </c>
      <c r="AH315" t="s">
        <v>1180</v>
      </c>
      <c r="AI315">
        <v>0</v>
      </c>
    </row>
    <row r="316" spans="5:35" x14ac:dyDescent="0.45">
      <c r="E316" t="s">
        <v>549</v>
      </c>
      <c r="G316" t="s">
        <v>814</v>
      </c>
      <c r="I316" t="s">
        <v>249</v>
      </c>
      <c r="J316" t="s">
        <v>1181</v>
      </c>
      <c r="K316">
        <v>2.130299183723E-4</v>
      </c>
      <c r="L316" t="s">
        <v>251</v>
      </c>
      <c r="N316" t="s">
        <v>419</v>
      </c>
      <c r="O316" t="s">
        <v>1181</v>
      </c>
      <c r="P316">
        <v>2.4636790067639999E-4</v>
      </c>
      <c r="Q316" t="s">
        <v>251</v>
      </c>
      <c r="S316" t="s">
        <v>420</v>
      </c>
      <c r="T316" t="s">
        <v>1181</v>
      </c>
      <c r="U316">
        <v>1.7647419503900001E-4</v>
      </c>
      <c r="V316" t="s">
        <v>251</v>
      </c>
      <c r="X316">
        <v>1.1415525114155251E-4</v>
      </c>
      <c r="Y316">
        <v>2.2209515285616027E-4</v>
      </c>
      <c r="Z316" t="s">
        <v>1181</v>
      </c>
      <c r="AA316" t="s">
        <v>25</v>
      </c>
      <c r="AC316" t="s">
        <v>22</v>
      </c>
      <c r="AD316" t="s">
        <v>1181</v>
      </c>
      <c r="AE316">
        <v>8.0259166414256255E-5</v>
      </c>
      <c r="AG316" t="s">
        <v>99</v>
      </c>
      <c r="AH316" t="s">
        <v>1181</v>
      </c>
      <c r="AI316">
        <v>0</v>
      </c>
    </row>
    <row r="317" spans="5:35" x14ac:dyDescent="0.45">
      <c r="E317" t="s">
        <v>550</v>
      </c>
      <c r="G317" t="s">
        <v>814</v>
      </c>
      <c r="I317" t="s">
        <v>249</v>
      </c>
      <c r="J317" t="s">
        <v>1182</v>
      </c>
      <c r="K317">
        <v>9.4496314342162595E-5</v>
      </c>
      <c r="L317" t="s">
        <v>251</v>
      </c>
      <c r="N317" t="s">
        <v>419</v>
      </c>
      <c r="O317" t="s">
        <v>1182</v>
      </c>
      <c r="P317">
        <v>2.3029239233220001E-4</v>
      </c>
      <c r="Q317" t="s">
        <v>251</v>
      </c>
      <c r="S317" t="s">
        <v>420</v>
      </c>
      <c r="T317" t="s">
        <v>1182</v>
      </c>
      <c r="U317">
        <v>1.782573783624E-4</v>
      </c>
      <c r="V317" t="s">
        <v>251</v>
      </c>
      <c r="X317">
        <v>1.1415525114155251E-4</v>
      </c>
      <c r="Y317">
        <v>1.7237235744060203E-4</v>
      </c>
      <c r="Z317" t="s">
        <v>1182</v>
      </c>
      <c r="AA317" t="s">
        <v>25</v>
      </c>
      <c r="AC317" t="s">
        <v>22</v>
      </c>
      <c r="AD317" t="s">
        <v>1182</v>
      </c>
      <c r="AE317">
        <v>8.1474346103658889E-5</v>
      </c>
      <c r="AG317" t="s">
        <v>99</v>
      </c>
      <c r="AH317" t="s">
        <v>1182</v>
      </c>
      <c r="AI317">
        <v>0</v>
      </c>
    </row>
    <row r="318" spans="5:35" x14ac:dyDescent="0.45">
      <c r="E318" t="s">
        <v>551</v>
      </c>
      <c r="G318" t="s">
        <v>814</v>
      </c>
      <c r="I318" t="s">
        <v>249</v>
      </c>
      <c r="J318" t="s">
        <v>1183</v>
      </c>
      <c r="K318">
        <v>0</v>
      </c>
      <c r="L318" t="s">
        <v>251</v>
      </c>
      <c r="N318" t="s">
        <v>419</v>
      </c>
      <c r="O318" t="s">
        <v>1183</v>
      </c>
      <c r="P318">
        <v>2.231079517285E-4</v>
      </c>
      <c r="Q318" t="s">
        <v>251</v>
      </c>
      <c r="S318" t="s">
        <v>420</v>
      </c>
      <c r="T318" t="s">
        <v>1183</v>
      </c>
      <c r="U318">
        <v>1.8003537509460001E-4</v>
      </c>
      <c r="V318" t="s">
        <v>251</v>
      </c>
      <c r="X318">
        <v>1.1415525114155251E-4</v>
      </c>
      <c r="Y318">
        <v>1.5579809230208258E-4</v>
      </c>
      <c r="Z318" t="s">
        <v>1183</v>
      </c>
      <c r="AA318" t="s">
        <v>25</v>
      </c>
      <c r="AC318" t="s">
        <v>22</v>
      </c>
      <c r="AD318" t="s">
        <v>1183</v>
      </c>
      <c r="AE318">
        <v>8.2207027975210467E-5</v>
      </c>
      <c r="AG318" t="s">
        <v>99</v>
      </c>
      <c r="AH318" t="s">
        <v>1183</v>
      </c>
      <c r="AI318">
        <v>0</v>
      </c>
    </row>
    <row r="319" spans="5:35" x14ac:dyDescent="0.45">
      <c r="E319" t="s">
        <v>552</v>
      </c>
      <c r="G319" t="s">
        <v>814</v>
      </c>
      <c r="I319" t="s">
        <v>249</v>
      </c>
      <c r="J319" t="s">
        <v>1184</v>
      </c>
      <c r="K319">
        <v>0</v>
      </c>
      <c r="L319" t="s">
        <v>251</v>
      </c>
      <c r="N319" t="s">
        <v>419</v>
      </c>
      <c r="O319" t="s">
        <v>1184</v>
      </c>
      <c r="P319">
        <v>2.1894274108660001E-4</v>
      </c>
      <c r="Q319" t="s">
        <v>251</v>
      </c>
      <c r="S319" t="s">
        <v>420</v>
      </c>
      <c r="T319" t="s">
        <v>1184</v>
      </c>
      <c r="U319">
        <v>1.746434383443E-4</v>
      </c>
      <c r="V319" t="s">
        <v>251</v>
      </c>
      <c r="X319">
        <v>1.1415525114155251E-4</v>
      </c>
      <c r="Y319">
        <v>1.093901499142282E-4</v>
      </c>
      <c r="Z319" t="s">
        <v>1184</v>
      </c>
      <c r="AA319" t="s">
        <v>25</v>
      </c>
      <c r="AC319" t="s">
        <v>22</v>
      </c>
      <c r="AD319" t="s">
        <v>1184</v>
      </c>
      <c r="AE319">
        <v>9.6294772903824299E-5</v>
      </c>
      <c r="AG319" t="s">
        <v>99</v>
      </c>
      <c r="AH319" t="s">
        <v>1184</v>
      </c>
      <c r="AI319">
        <v>0</v>
      </c>
    </row>
    <row r="320" spans="5:35" x14ac:dyDescent="0.45">
      <c r="E320" t="s">
        <v>553</v>
      </c>
      <c r="G320" t="s">
        <v>814</v>
      </c>
      <c r="I320" t="s">
        <v>249</v>
      </c>
      <c r="J320" t="s">
        <v>1185</v>
      </c>
      <c r="K320">
        <v>0</v>
      </c>
      <c r="L320" t="s">
        <v>251</v>
      </c>
      <c r="N320" t="s">
        <v>419</v>
      </c>
      <c r="O320" t="s">
        <v>1185</v>
      </c>
      <c r="P320">
        <v>2.119913293562E-4</v>
      </c>
      <c r="Q320" t="s">
        <v>251</v>
      </c>
      <c r="S320" t="s">
        <v>420</v>
      </c>
      <c r="T320" t="s">
        <v>1185</v>
      </c>
      <c r="U320">
        <v>1.732919921084E-4</v>
      </c>
      <c r="V320" t="s">
        <v>251</v>
      </c>
      <c r="X320">
        <v>1.1415525114155251E-4</v>
      </c>
      <c r="Y320">
        <v>7.9556472664893237E-5</v>
      </c>
      <c r="Z320" t="s">
        <v>1185</v>
      </c>
      <c r="AA320" t="s">
        <v>25</v>
      </c>
      <c r="AC320" t="s">
        <v>22</v>
      </c>
      <c r="AD320" t="s">
        <v>1185</v>
      </c>
      <c r="AE320">
        <v>1.0979279827728684E-4</v>
      </c>
      <c r="AG320" t="s">
        <v>99</v>
      </c>
      <c r="AH320" t="s">
        <v>1185</v>
      </c>
      <c r="AI320">
        <v>0</v>
      </c>
    </row>
    <row r="321" spans="5:35" x14ac:dyDescent="0.45">
      <c r="E321" t="s">
        <v>554</v>
      </c>
      <c r="G321" t="s">
        <v>814</v>
      </c>
      <c r="I321" t="s">
        <v>249</v>
      </c>
      <c r="J321" t="s">
        <v>1186</v>
      </c>
      <c r="K321">
        <v>0</v>
      </c>
      <c r="L321" t="s">
        <v>251</v>
      </c>
      <c r="N321" t="s">
        <v>419</v>
      </c>
      <c r="O321" t="s">
        <v>1186</v>
      </c>
      <c r="P321">
        <v>1.988367593883E-4</v>
      </c>
      <c r="Q321" t="s">
        <v>251</v>
      </c>
      <c r="S321" t="s">
        <v>420</v>
      </c>
      <c r="T321" t="s">
        <v>1186</v>
      </c>
      <c r="U321">
        <v>1.7198316382929999E-4</v>
      </c>
      <c r="V321" t="s">
        <v>251</v>
      </c>
      <c r="X321">
        <v>1.1415525114155251E-4</v>
      </c>
      <c r="Y321">
        <v>5.6352501470966035E-5</v>
      </c>
      <c r="Z321" t="s">
        <v>1186</v>
      </c>
      <c r="AA321" t="s">
        <v>25</v>
      </c>
      <c r="AC321" t="s">
        <v>22</v>
      </c>
      <c r="AD321" t="s">
        <v>1186</v>
      </c>
      <c r="AE321">
        <v>1.1856711044635586E-4</v>
      </c>
      <c r="AG321" t="s">
        <v>99</v>
      </c>
      <c r="AH321" t="s">
        <v>1186</v>
      </c>
      <c r="AI321">
        <v>0</v>
      </c>
    </row>
    <row r="322" spans="5:35" x14ac:dyDescent="0.45">
      <c r="E322" t="s">
        <v>555</v>
      </c>
      <c r="G322" t="s">
        <v>814</v>
      </c>
      <c r="I322" t="s">
        <v>249</v>
      </c>
      <c r="J322" t="s">
        <v>1187</v>
      </c>
      <c r="K322">
        <v>0</v>
      </c>
      <c r="L322" t="s">
        <v>251</v>
      </c>
      <c r="N322" t="s">
        <v>419</v>
      </c>
      <c r="O322" t="s">
        <v>1187</v>
      </c>
      <c r="P322">
        <v>1.8173274602579999E-4</v>
      </c>
      <c r="Q322" t="s">
        <v>251</v>
      </c>
      <c r="S322" t="s">
        <v>420</v>
      </c>
      <c r="T322" t="s">
        <v>1187</v>
      </c>
      <c r="U322">
        <v>1.6783960246689999E-4</v>
      </c>
      <c r="V322" t="s">
        <v>251</v>
      </c>
      <c r="X322">
        <v>1.1415525114155251E-4</v>
      </c>
      <c r="Y322">
        <v>2.9833677249334962E-5</v>
      </c>
      <c r="Z322" t="s">
        <v>1187</v>
      </c>
      <c r="AA322" t="s">
        <v>25</v>
      </c>
      <c r="AC322" t="s">
        <v>22</v>
      </c>
      <c r="AD322" t="s">
        <v>1187</v>
      </c>
      <c r="AE322">
        <v>1.290331433594952E-4</v>
      </c>
      <c r="AG322" t="s">
        <v>99</v>
      </c>
      <c r="AH322" t="s">
        <v>1187</v>
      </c>
      <c r="AI322">
        <v>0</v>
      </c>
    </row>
    <row r="323" spans="5:35" x14ac:dyDescent="0.45">
      <c r="E323" t="s">
        <v>924</v>
      </c>
      <c r="G323" t="s">
        <v>816</v>
      </c>
      <c r="I323" t="s">
        <v>249</v>
      </c>
      <c r="J323" t="s">
        <v>1188</v>
      </c>
      <c r="K323">
        <v>0</v>
      </c>
      <c r="L323" t="s">
        <v>251</v>
      </c>
      <c r="N323" t="s">
        <v>419</v>
      </c>
      <c r="O323" t="s">
        <v>1188</v>
      </c>
      <c r="P323">
        <v>1.8219655887899999E-4</v>
      </c>
      <c r="Q323" t="s">
        <v>251</v>
      </c>
      <c r="S323" t="s">
        <v>420</v>
      </c>
      <c r="T323" t="s">
        <v>1188</v>
      </c>
      <c r="U323">
        <v>1.8630264643110001E-4</v>
      </c>
      <c r="V323" t="s">
        <v>251</v>
      </c>
      <c r="X323">
        <v>1.1415525114155251E-4</v>
      </c>
      <c r="Y323">
        <v>2.1546544680075254E-5</v>
      </c>
      <c r="Z323" t="s">
        <v>1188</v>
      </c>
      <c r="AA323" t="s">
        <v>25</v>
      </c>
      <c r="AC323" t="s">
        <v>22</v>
      </c>
      <c r="AD323" t="s">
        <v>1188</v>
      </c>
      <c r="AE323">
        <v>1.3155285418605064E-4</v>
      </c>
      <c r="AG323" t="s">
        <v>99</v>
      </c>
      <c r="AH323" t="s">
        <v>1188</v>
      </c>
      <c r="AI323">
        <v>0</v>
      </c>
    </row>
    <row r="324" spans="5:35" x14ac:dyDescent="0.45">
      <c r="E324" t="s">
        <v>925</v>
      </c>
      <c r="G324" t="s">
        <v>816</v>
      </c>
      <c r="I324" t="s">
        <v>249</v>
      </c>
      <c r="J324" t="s">
        <v>1189</v>
      </c>
      <c r="K324">
        <v>0</v>
      </c>
      <c r="L324" t="s">
        <v>251</v>
      </c>
      <c r="N324" t="s">
        <v>419</v>
      </c>
      <c r="O324" t="s">
        <v>1189</v>
      </c>
      <c r="P324">
        <v>1.9129651268640001E-4</v>
      </c>
      <c r="Q324" t="s">
        <v>251</v>
      </c>
      <c r="S324" t="s">
        <v>420</v>
      </c>
      <c r="T324" t="s">
        <v>1189</v>
      </c>
      <c r="U324">
        <v>1.856425376854E-4</v>
      </c>
      <c r="V324" t="s">
        <v>251</v>
      </c>
      <c r="X324">
        <v>1.1415525114155251E-4</v>
      </c>
      <c r="Y324">
        <v>1.4916838624667481E-5</v>
      </c>
      <c r="Z324" t="s">
        <v>1189</v>
      </c>
      <c r="AA324" t="s">
        <v>25</v>
      </c>
      <c r="AC324" t="s">
        <v>22</v>
      </c>
      <c r="AD324" t="s">
        <v>1189</v>
      </c>
      <c r="AE324">
        <v>1.2991474431063043E-4</v>
      </c>
      <c r="AG324" t="s">
        <v>99</v>
      </c>
      <c r="AH324" t="s">
        <v>1189</v>
      </c>
      <c r="AI324">
        <v>0</v>
      </c>
    </row>
    <row r="325" spans="5:35" x14ac:dyDescent="0.45">
      <c r="E325" t="s">
        <v>926</v>
      </c>
      <c r="G325" t="s">
        <v>816</v>
      </c>
      <c r="I325" t="s">
        <v>249</v>
      </c>
      <c r="J325" t="s">
        <v>1190</v>
      </c>
      <c r="K325">
        <v>0</v>
      </c>
      <c r="L325" t="s">
        <v>251</v>
      </c>
      <c r="N325" t="s">
        <v>419</v>
      </c>
      <c r="O325" t="s">
        <v>1190</v>
      </c>
      <c r="P325">
        <v>1.914411513659E-4</v>
      </c>
      <c r="Q325" t="s">
        <v>251</v>
      </c>
      <c r="S325" t="s">
        <v>420</v>
      </c>
      <c r="T325" t="s">
        <v>1190</v>
      </c>
      <c r="U325">
        <v>1.84425359559E-4</v>
      </c>
      <c r="V325" t="s">
        <v>251</v>
      </c>
      <c r="X325">
        <v>1.1415525114155251E-4</v>
      </c>
      <c r="Y325">
        <v>1.6574265138519424E-5</v>
      </c>
      <c r="Z325" t="s">
        <v>1190</v>
      </c>
      <c r="AA325" t="s">
        <v>25</v>
      </c>
      <c r="AC325" t="s">
        <v>22</v>
      </c>
      <c r="AD325" t="s">
        <v>1190</v>
      </c>
      <c r="AE325">
        <v>1.2998026870564728E-4</v>
      </c>
      <c r="AG325" t="s">
        <v>99</v>
      </c>
      <c r="AH325" t="s">
        <v>1190</v>
      </c>
      <c r="AI325">
        <v>0</v>
      </c>
    </row>
    <row r="326" spans="5:35" x14ac:dyDescent="0.45">
      <c r="E326" t="s">
        <v>927</v>
      </c>
      <c r="G326" t="s">
        <v>816</v>
      </c>
      <c r="I326" t="s">
        <v>249</v>
      </c>
      <c r="J326" t="s">
        <v>1191</v>
      </c>
      <c r="K326">
        <v>0</v>
      </c>
      <c r="L326" t="s">
        <v>251</v>
      </c>
      <c r="N326" t="s">
        <v>419</v>
      </c>
      <c r="O326" t="s">
        <v>1191</v>
      </c>
      <c r="P326">
        <v>1.863273371663E-4</v>
      </c>
      <c r="Q326" t="s">
        <v>251</v>
      </c>
      <c r="S326" t="s">
        <v>420</v>
      </c>
      <c r="T326" t="s">
        <v>1191</v>
      </c>
      <c r="U326">
        <v>1.821727764434E-4</v>
      </c>
      <c r="V326" t="s">
        <v>251</v>
      </c>
      <c r="X326">
        <v>1.1415525114155251E-4</v>
      </c>
      <c r="Y326">
        <v>1.4585353321897093E-5</v>
      </c>
      <c r="Z326" t="s">
        <v>1191</v>
      </c>
      <c r="AA326" t="s">
        <v>25</v>
      </c>
      <c r="AC326" t="s">
        <v>22</v>
      </c>
      <c r="AD326" t="s">
        <v>1191</v>
      </c>
      <c r="AE326">
        <v>1.2998026870564728E-4</v>
      </c>
      <c r="AG326" t="s">
        <v>99</v>
      </c>
      <c r="AH326" t="s">
        <v>1191</v>
      </c>
      <c r="AI326">
        <v>0</v>
      </c>
    </row>
    <row r="327" spans="5:35" x14ac:dyDescent="0.45">
      <c r="E327" t="s">
        <v>928</v>
      </c>
      <c r="G327" t="s">
        <v>816</v>
      </c>
      <c r="I327" t="s">
        <v>249</v>
      </c>
      <c r="J327" t="s">
        <v>1192</v>
      </c>
      <c r="K327">
        <v>0</v>
      </c>
      <c r="L327" t="s">
        <v>251</v>
      </c>
      <c r="N327" t="s">
        <v>419</v>
      </c>
      <c r="O327" t="s">
        <v>1192</v>
      </c>
      <c r="P327">
        <v>1.8568888636600001E-4</v>
      </c>
      <c r="Q327" t="s">
        <v>251</v>
      </c>
      <c r="S327" t="s">
        <v>420</v>
      </c>
      <c r="T327" t="s">
        <v>1192</v>
      </c>
      <c r="U327">
        <v>1.73945347801E-4</v>
      </c>
      <c r="V327" t="s">
        <v>251</v>
      </c>
      <c r="X327">
        <v>1.1415525114155251E-4</v>
      </c>
      <c r="Y327">
        <v>2.1215059377304864E-5</v>
      </c>
      <c r="Z327" t="s">
        <v>1192</v>
      </c>
      <c r="AA327" t="s">
        <v>25</v>
      </c>
      <c r="AC327" t="s">
        <v>22</v>
      </c>
      <c r="AD327" t="s">
        <v>1192</v>
      </c>
      <c r="AE327">
        <v>1.2948585736142953E-4</v>
      </c>
      <c r="AG327" t="s">
        <v>99</v>
      </c>
      <c r="AH327" t="s">
        <v>1192</v>
      </c>
      <c r="AI327">
        <v>0</v>
      </c>
    </row>
    <row r="328" spans="5:35" x14ac:dyDescent="0.45">
      <c r="E328" t="s">
        <v>929</v>
      </c>
      <c r="G328" t="s">
        <v>816</v>
      </c>
      <c r="I328" t="s">
        <v>249</v>
      </c>
      <c r="J328" t="s">
        <v>1193</v>
      </c>
      <c r="K328">
        <v>0</v>
      </c>
      <c r="L328" t="s">
        <v>251</v>
      </c>
      <c r="N328" t="s">
        <v>419</v>
      </c>
      <c r="O328" t="s">
        <v>1193</v>
      </c>
      <c r="P328">
        <v>1.7668949294289999E-4</v>
      </c>
      <c r="Q328" t="s">
        <v>251</v>
      </c>
      <c r="S328" t="s">
        <v>420</v>
      </c>
      <c r="T328" t="s">
        <v>1193</v>
      </c>
      <c r="U328">
        <v>1.5619946990710001E-4</v>
      </c>
      <c r="V328" t="s">
        <v>251</v>
      </c>
      <c r="X328">
        <v>1.1415525114155251E-4</v>
      </c>
      <c r="Y328">
        <v>5.7678442682047593E-5</v>
      </c>
      <c r="Z328" t="s">
        <v>1193</v>
      </c>
      <c r="AA328" t="s">
        <v>25</v>
      </c>
      <c r="AC328" t="s">
        <v>22</v>
      </c>
      <c r="AD328" t="s">
        <v>1193</v>
      </c>
      <c r="AE328">
        <v>1.2948585736142953E-4</v>
      </c>
      <c r="AG328" t="s">
        <v>99</v>
      </c>
      <c r="AH328" t="s">
        <v>1193</v>
      </c>
      <c r="AI328">
        <v>0</v>
      </c>
    </row>
    <row r="329" spans="5:35" x14ac:dyDescent="0.45">
      <c r="E329" t="s">
        <v>930</v>
      </c>
      <c r="G329" t="s">
        <v>816</v>
      </c>
      <c r="I329" t="s">
        <v>249</v>
      </c>
      <c r="J329" t="s">
        <v>1194</v>
      </c>
      <c r="K329">
        <v>5.8262666015641711E-5</v>
      </c>
      <c r="L329" t="s">
        <v>251</v>
      </c>
      <c r="N329" t="s">
        <v>419</v>
      </c>
      <c r="O329" t="s">
        <v>1194</v>
      </c>
      <c r="P329">
        <v>1.6776705807999999E-4</v>
      </c>
      <c r="Q329" t="s">
        <v>251</v>
      </c>
      <c r="S329" t="s">
        <v>420</v>
      </c>
      <c r="T329" t="s">
        <v>1194</v>
      </c>
      <c r="U329">
        <v>1.3729422695060001E-4</v>
      </c>
      <c r="V329" t="s">
        <v>251</v>
      </c>
      <c r="X329">
        <v>1.1415525114155251E-4</v>
      </c>
      <c r="Y329">
        <v>1.6905750441289813E-4</v>
      </c>
      <c r="Z329" t="s">
        <v>1194</v>
      </c>
      <c r="AA329" t="s">
        <v>25</v>
      </c>
      <c r="AC329" t="s">
        <v>22</v>
      </c>
      <c r="AD329" t="s">
        <v>1194</v>
      </c>
      <c r="AE329">
        <v>1.2970030083602998E-4</v>
      </c>
      <c r="AG329" t="s">
        <v>99</v>
      </c>
      <c r="AH329" t="s">
        <v>1194</v>
      </c>
      <c r="AI329">
        <v>0</v>
      </c>
    </row>
    <row r="330" spans="5:35" x14ac:dyDescent="0.45">
      <c r="E330" t="s">
        <v>931</v>
      </c>
      <c r="G330" t="s">
        <v>816</v>
      </c>
      <c r="I330" t="s">
        <v>249</v>
      </c>
      <c r="J330" t="s">
        <v>1195</v>
      </c>
      <c r="K330">
        <v>1.9731753578619999E-4</v>
      </c>
      <c r="L330" t="s">
        <v>251</v>
      </c>
      <c r="N330" t="s">
        <v>419</v>
      </c>
      <c r="O330" t="s">
        <v>1195</v>
      </c>
      <c r="P330">
        <v>1.6261463275369999E-4</v>
      </c>
      <c r="Q330" t="s">
        <v>251</v>
      </c>
      <c r="S330" t="s">
        <v>420</v>
      </c>
      <c r="T330" t="s">
        <v>1195</v>
      </c>
      <c r="U330">
        <v>1.2311583972669999E-4</v>
      </c>
      <c r="V330" t="s">
        <v>251</v>
      </c>
      <c r="X330">
        <v>1.1415525114155251E-4</v>
      </c>
      <c r="Y330">
        <v>1.9060404909297337E-4</v>
      </c>
      <c r="Z330" t="s">
        <v>1195</v>
      </c>
      <c r="AA330" t="s">
        <v>25</v>
      </c>
      <c r="AC330" t="s">
        <v>22</v>
      </c>
      <c r="AD330" t="s">
        <v>1195</v>
      </c>
      <c r="AE330">
        <v>1.3115970781594981E-4</v>
      </c>
      <c r="AG330" t="s">
        <v>99</v>
      </c>
      <c r="AH330" t="s">
        <v>1195</v>
      </c>
      <c r="AI330">
        <v>0</v>
      </c>
    </row>
    <row r="331" spans="5:35" x14ac:dyDescent="0.45">
      <c r="E331" t="s">
        <v>932</v>
      </c>
      <c r="G331" t="s">
        <v>816</v>
      </c>
      <c r="I331" t="s">
        <v>249</v>
      </c>
      <c r="J331" t="s">
        <v>1196</v>
      </c>
      <c r="K331">
        <v>2.657555069405E-4</v>
      </c>
      <c r="L331" t="s">
        <v>251</v>
      </c>
      <c r="N331" t="s">
        <v>419</v>
      </c>
      <c r="O331" t="s">
        <v>1196</v>
      </c>
      <c r="P331">
        <v>1.6557543408190001E-4</v>
      </c>
      <c r="Q331" t="s">
        <v>251</v>
      </c>
      <c r="S331" t="s">
        <v>420</v>
      </c>
      <c r="T331" t="s">
        <v>1196</v>
      </c>
      <c r="U331">
        <v>1.115611857815E-4</v>
      </c>
      <c r="V331" t="s">
        <v>251</v>
      </c>
      <c r="X331">
        <v>1.1415525114155251E-4</v>
      </c>
      <c r="Y331">
        <v>1.4585353321897094E-4</v>
      </c>
      <c r="Z331" t="s">
        <v>1196</v>
      </c>
      <c r="AA331" t="s">
        <v>25</v>
      </c>
      <c r="AC331" t="s">
        <v>22</v>
      </c>
      <c r="AD331" t="s">
        <v>1196</v>
      </c>
      <c r="AE331">
        <v>1.3149924331740053E-4</v>
      </c>
      <c r="AG331" t="s">
        <v>99</v>
      </c>
      <c r="AH331" t="s">
        <v>1196</v>
      </c>
      <c r="AI331">
        <v>0</v>
      </c>
    </row>
    <row r="332" spans="5:35" x14ac:dyDescent="0.45">
      <c r="E332" t="s">
        <v>933</v>
      </c>
      <c r="G332" t="s">
        <v>816</v>
      </c>
      <c r="I332" t="s">
        <v>249</v>
      </c>
      <c r="J332" t="s">
        <v>1197</v>
      </c>
      <c r="K332">
        <v>2.9376677547199997E-4</v>
      </c>
      <c r="L332" t="s">
        <v>251</v>
      </c>
      <c r="N332" t="s">
        <v>419</v>
      </c>
      <c r="O332" t="s">
        <v>1197</v>
      </c>
      <c r="P332">
        <v>1.741227882448E-4</v>
      </c>
      <c r="Q332" t="s">
        <v>251</v>
      </c>
      <c r="S332" t="s">
        <v>420</v>
      </c>
      <c r="T332" t="s">
        <v>1197</v>
      </c>
      <c r="U332">
        <v>1.02685047563E-4</v>
      </c>
      <c r="V332" t="s">
        <v>251</v>
      </c>
      <c r="X332">
        <v>1.1415525114155251E-4</v>
      </c>
      <c r="Y332">
        <v>1.4452759200788939E-4</v>
      </c>
      <c r="Z332" t="s">
        <v>1197</v>
      </c>
      <c r="AA332" t="s">
        <v>25</v>
      </c>
      <c r="AC332" t="s">
        <v>22</v>
      </c>
      <c r="AD332" t="s">
        <v>1197</v>
      </c>
      <c r="AE332">
        <v>1.324344551371859E-4</v>
      </c>
      <c r="AG332" t="s">
        <v>99</v>
      </c>
      <c r="AH332" t="s">
        <v>1197</v>
      </c>
      <c r="AI332">
        <v>0</v>
      </c>
    </row>
    <row r="333" spans="5:35" x14ac:dyDescent="0.45">
      <c r="E333" t="s">
        <v>934</v>
      </c>
      <c r="G333" t="s">
        <v>816</v>
      </c>
      <c r="I333" t="s">
        <v>249</v>
      </c>
      <c r="J333" t="s">
        <v>1198</v>
      </c>
      <c r="K333">
        <v>3.072856503976E-4</v>
      </c>
      <c r="L333" t="s">
        <v>251</v>
      </c>
      <c r="N333" t="s">
        <v>419</v>
      </c>
      <c r="O333" t="s">
        <v>1198</v>
      </c>
      <c r="P333">
        <v>2.0595028265489999E-4</v>
      </c>
      <c r="Q333" t="s">
        <v>251</v>
      </c>
      <c r="S333" t="s">
        <v>420</v>
      </c>
      <c r="T333" t="s">
        <v>1198</v>
      </c>
      <c r="U333">
        <v>1.018477892036E-4</v>
      </c>
      <c r="V333" t="s">
        <v>251</v>
      </c>
      <c r="X333">
        <v>1.1415525114155251E-4</v>
      </c>
      <c r="Y333">
        <v>1.408812536774151E-4</v>
      </c>
      <c r="Z333" t="s">
        <v>1198</v>
      </c>
      <c r="AA333" t="s">
        <v>25</v>
      </c>
      <c r="AC333" t="s">
        <v>22</v>
      </c>
      <c r="AD333" t="s">
        <v>1198</v>
      </c>
      <c r="AE333">
        <v>1.3110609694729966E-4</v>
      </c>
      <c r="AG333" t="s">
        <v>99</v>
      </c>
      <c r="AH333" t="s">
        <v>1198</v>
      </c>
      <c r="AI333">
        <v>0</v>
      </c>
    </row>
    <row r="334" spans="5:35" x14ac:dyDescent="0.45">
      <c r="E334" t="s">
        <v>935</v>
      </c>
      <c r="G334" t="s">
        <v>816</v>
      </c>
      <c r="I334" t="s">
        <v>249</v>
      </c>
      <c r="J334" t="s">
        <v>1199</v>
      </c>
      <c r="K334">
        <v>3.2454875530300002E-4</v>
      </c>
      <c r="L334" t="s">
        <v>251</v>
      </c>
      <c r="N334" t="s">
        <v>419</v>
      </c>
      <c r="O334" t="s">
        <v>1199</v>
      </c>
      <c r="P334">
        <v>2.385998666063E-4</v>
      </c>
      <c r="Q334" t="s">
        <v>251</v>
      </c>
      <c r="S334" t="s">
        <v>420</v>
      </c>
      <c r="T334" t="s">
        <v>1199</v>
      </c>
      <c r="U334">
        <v>1.044274806948E-4</v>
      </c>
      <c r="V334" t="s">
        <v>251</v>
      </c>
      <c r="X334">
        <v>1.1415525114155251E-4</v>
      </c>
      <c r="Y334">
        <v>1.4054976837464471E-4</v>
      </c>
      <c r="Z334" t="s">
        <v>1199</v>
      </c>
      <c r="AA334" t="s">
        <v>25</v>
      </c>
      <c r="AC334" t="s">
        <v>22</v>
      </c>
      <c r="AD334" t="s">
        <v>1199</v>
      </c>
      <c r="AE334">
        <v>1.2806219096060976E-4</v>
      </c>
      <c r="AG334" t="s">
        <v>99</v>
      </c>
      <c r="AH334" t="s">
        <v>1199</v>
      </c>
      <c r="AI334">
        <v>0</v>
      </c>
    </row>
    <row r="335" spans="5:35" x14ac:dyDescent="0.45">
      <c r="E335" t="s">
        <v>936</v>
      </c>
      <c r="G335" t="s">
        <v>816</v>
      </c>
      <c r="I335" t="s">
        <v>249</v>
      </c>
      <c r="J335" t="s">
        <v>1200</v>
      </c>
      <c r="K335">
        <v>3.4047736206799998E-4</v>
      </c>
      <c r="L335" t="s">
        <v>251</v>
      </c>
      <c r="N335" t="s">
        <v>419</v>
      </c>
      <c r="O335" t="s">
        <v>1200</v>
      </c>
      <c r="P335">
        <v>2.409868576051E-4</v>
      </c>
      <c r="Q335" t="s">
        <v>251</v>
      </c>
      <c r="S335" t="s">
        <v>420</v>
      </c>
      <c r="T335" t="s">
        <v>1200</v>
      </c>
      <c r="U335">
        <v>9.2836781814732559E-5</v>
      </c>
      <c r="V335" t="s">
        <v>251</v>
      </c>
      <c r="X335">
        <v>1.1415525114155251E-4</v>
      </c>
      <c r="Y335">
        <v>1.4253868019126702E-4</v>
      </c>
      <c r="Z335" t="s">
        <v>1200</v>
      </c>
      <c r="AA335" t="s">
        <v>25</v>
      </c>
      <c r="AC335" t="s">
        <v>22</v>
      </c>
      <c r="AD335" t="s">
        <v>1200</v>
      </c>
      <c r="AE335">
        <v>1.2411285697005122E-4</v>
      </c>
      <c r="AG335" t="s">
        <v>99</v>
      </c>
      <c r="AH335" t="s">
        <v>1200</v>
      </c>
      <c r="AI335">
        <v>0</v>
      </c>
    </row>
    <row r="336" spans="5:35" x14ac:dyDescent="0.45">
      <c r="E336" t="s">
        <v>937</v>
      </c>
      <c r="G336" t="s">
        <v>816</v>
      </c>
      <c r="I336" t="s">
        <v>249</v>
      </c>
      <c r="J336" t="s">
        <v>1201</v>
      </c>
      <c r="K336">
        <v>3.2735046282629998E-4</v>
      </c>
      <c r="L336" t="s">
        <v>251</v>
      </c>
      <c r="N336" t="s">
        <v>419</v>
      </c>
      <c r="O336" t="s">
        <v>1201</v>
      </c>
      <c r="P336">
        <v>2.359605659372E-4</v>
      </c>
      <c r="Q336" t="s">
        <v>251</v>
      </c>
      <c r="S336" t="s">
        <v>420</v>
      </c>
      <c r="T336" t="s">
        <v>1201</v>
      </c>
      <c r="U336">
        <v>8.8608408676878054E-5</v>
      </c>
      <c r="V336" t="s">
        <v>251</v>
      </c>
      <c r="X336">
        <v>1.1415525114155251E-4</v>
      </c>
      <c r="Y336">
        <v>1.4883690094390442E-4</v>
      </c>
      <c r="Z336" t="s">
        <v>1201</v>
      </c>
      <c r="AA336" t="s">
        <v>25</v>
      </c>
      <c r="AC336" t="s">
        <v>22</v>
      </c>
      <c r="AD336" t="s">
        <v>1201</v>
      </c>
      <c r="AE336">
        <v>1.1124029173084E-4</v>
      </c>
      <c r="AG336" t="s">
        <v>99</v>
      </c>
      <c r="AH336" t="s">
        <v>1201</v>
      </c>
      <c r="AI336">
        <v>0</v>
      </c>
    </row>
    <row r="337" spans="5:35" x14ac:dyDescent="0.45">
      <c r="E337" t="s">
        <v>938</v>
      </c>
      <c r="G337" t="s">
        <v>816</v>
      </c>
      <c r="I337" t="s">
        <v>249</v>
      </c>
      <c r="J337" t="s">
        <v>1202</v>
      </c>
      <c r="K337">
        <v>3.1123859559760002E-4</v>
      </c>
      <c r="L337" t="s">
        <v>251</v>
      </c>
      <c r="N337" t="s">
        <v>419</v>
      </c>
      <c r="O337" t="s">
        <v>1202</v>
      </c>
      <c r="P337">
        <v>2.2848667511440001E-4</v>
      </c>
      <c r="Q337" t="s">
        <v>251</v>
      </c>
      <c r="S337" t="s">
        <v>420</v>
      </c>
      <c r="T337" t="s">
        <v>1202</v>
      </c>
      <c r="U337">
        <v>9.1182505960756062E-5</v>
      </c>
      <c r="V337" t="s">
        <v>251</v>
      </c>
      <c r="X337">
        <v>1.1415525114155251E-4</v>
      </c>
      <c r="Y337">
        <v>1.5049432745775637E-4</v>
      </c>
      <c r="Z337" t="s">
        <v>1202</v>
      </c>
      <c r="AA337" t="s">
        <v>25</v>
      </c>
      <c r="AC337" t="s">
        <v>22</v>
      </c>
      <c r="AD337" t="s">
        <v>1202</v>
      </c>
      <c r="AE337">
        <v>1.0576602636534482E-4</v>
      </c>
      <c r="AG337" t="s">
        <v>99</v>
      </c>
      <c r="AH337" t="s">
        <v>1202</v>
      </c>
      <c r="AI337">
        <v>0</v>
      </c>
    </row>
    <row r="338" spans="5:35" x14ac:dyDescent="0.45">
      <c r="E338" t="s">
        <v>939</v>
      </c>
      <c r="G338" t="s">
        <v>816</v>
      </c>
      <c r="I338" t="s">
        <v>249</v>
      </c>
      <c r="J338" t="s">
        <v>1203</v>
      </c>
      <c r="K338">
        <v>2.9539449883559998E-4</v>
      </c>
      <c r="L338" t="s">
        <v>251</v>
      </c>
      <c r="N338" t="s">
        <v>419</v>
      </c>
      <c r="O338" t="s">
        <v>1203</v>
      </c>
      <c r="P338">
        <v>2.2604887794090001E-4</v>
      </c>
      <c r="Q338" t="s">
        <v>251</v>
      </c>
      <c r="S338" t="s">
        <v>420</v>
      </c>
      <c r="T338" t="s">
        <v>1203</v>
      </c>
      <c r="U338">
        <v>9.4440480287186362E-5</v>
      </c>
      <c r="V338" t="s">
        <v>251</v>
      </c>
      <c r="X338">
        <v>1.1415525114155251E-4</v>
      </c>
      <c r="Y338">
        <v>1.7237235744060203E-4</v>
      </c>
      <c r="Z338" t="s">
        <v>1203</v>
      </c>
      <c r="AA338" t="s">
        <v>25</v>
      </c>
      <c r="AC338" t="s">
        <v>22</v>
      </c>
      <c r="AD338" t="s">
        <v>1203</v>
      </c>
      <c r="AE338">
        <v>9.0063998614044139E-5</v>
      </c>
      <c r="AG338" t="s">
        <v>99</v>
      </c>
      <c r="AH338" t="s">
        <v>1203</v>
      </c>
      <c r="AI338">
        <v>0</v>
      </c>
    </row>
    <row r="339" spans="5:35" x14ac:dyDescent="0.45">
      <c r="E339" t="s">
        <v>940</v>
      </c>
      <c r="G339" t="s">
        <v>816</v>
      </c>
      <c r="I339" t="s">
        <v>249</v>
      </c>
      <c r="J339" t="s">
        <v>1204</v>
      </c>
      <c r="K339">
        <v>2.6493231668940002E-4</v>
      </c>
      <c r="L339" t="s">
        <v>251</v>
      </c>
      <c r="N339" t="s">
        <v>419</v>
      </c>
      <c r="O339" t="s">
        <v>1204</v>
      </c>
      <c r="P339">
        <v>2.2303351567329999E-4</v>
      </c>
      <c r="Q339" t="s">
        <v>251</v>
      </c>
      <c r="S339" t="s">
        <v>420</v>
      </c>
      <c r="T339" t="s">
        <v>1204</v>
      </c>
      <c r="U339">
        <v>1.120979148148E-4</v>
      </c>
      <c r="V339" t="s">
        <v>251</v>
      </c>
      <c r="X339">
        <v>1.1415525114155251E-4</v>
      </c>
      <c r="Y339">
        <v>2.2209515285616027E-4</v>
      </c>
      <c r="Z339" t="s">
        <v>1204</v>
      </c>
      <c r="AA339" t="s">
        <v>25</v>
      </c>
      <c r="AC339" t="s">
        <v>22</v>
      </c>
      <c r="AD339" t="s">
        <v>1204</v>
      </c>
      <c r="AE339">
        <v>8.3249461532296053E-5</v>
      </c>
      <c r="AG339" t="s">
        <v>99</v>
      </c>
      <c r="AH339" t="s">
        <v>1204</v>
      </c>
      <c r="AI339">
        <v>0</v>
      </c>
    </row>
    <row r="340" spans="5:35" x14ac:dyDescent="0.45">
      <c r="E340" t="s">
        <v>941</v>
      </c>
      <c r="G340" t="s">
        <v>816</v>
      </c>
      <c r="I340" t="s">
        <v>249</v>
      </c>
      <c r="J340" t="s">
        <v>1205</v>
      </c>
      <c r="K340">
        <v>2.11191344271E-4</v>
      </c>
      <c r="L340" t="s">
        <v>251</v>
      </c>
      <c r="N340" t="s">
        <v>419</v>
      </c>
      <c r="O340" t="s">
        <v>1205</v>
      </c>
      <c r="P340">
        <v>2.0741448880470001E-4</v>
      </c>
      <c r="Q340" t="s">
        <v>251</v>
      </c>
      <c r="S340" t="s">
        <v>420</v>
      </c>
      <c r="T340" t="s">
        <v>1205</v>
      </c>
      <c r="U340">
        <v>1.217776706618E-4</v>
      </c>
      <c r="V340" t="s">
        <v>251</v>
      </c>
      <c r="X340">
        <v>1.1415525114155251E-4</v>
      </c>
      <c r="Y340">
        <v>2.2209515285616027E-4</v>
      </c>
      <c r="Z340" t="s">
        <v>1205</v>
      </c>
      <c r="AA340" t="s">
        <v>25</v>
      </c>
      <c r="AC340" t="s">
        <v>22</v>
      </c>
      <c r="AD340" t="s">
        <v>1205</v>
      </c>
      <c r="AE340">
        <v>7.9169078751703889E-5</v>
      </c>
      <c r="AG340" t="s">
        <v>99</v>
      </c>
      <c r="AH340" t="s">
        <v>1205</v>
      </c>
      <c r="AI340">
        <v>0</v>
      </c>
    </row>
    <row r="341" spans="5:35" x14ac:dyDescent="0.45">
      <c r="E341" t="s">
        <v>942</v>
      </c>
      <c r="G341" t="s">
        <v>816</v>
      </c>
      <c r="I341" t="s">
        <v>249</v>
      </c>
      <c r="J341" t="s">
        <v>1206</v>
      </c>
      <c r="K341">
        <v>8.5118112516982636E-5</v>
      </c>
      <c r="L341" t="s">
        <v>251</v>
      </c>
      <c r="N341" t="s">
        <v>419</v>
      </c>
      <c r="O341" t="s">
        <v>1206</v>
      </c>
      <c r="P341">
        <v>1.9362901254770001E-4</v>
      </c>
      <c r="Q341" t="s">
        <v>251</v>
      </c>
      <c r="S341" t="s">
        <v>420</v>
      </c>
      <c r="T341" t="s">
        <v>1206</v>
      </c>
      <c r="U341">
        <v>1.185006396777E-4</v>
      </c>
      <c r="V341" t="s">
        <v>251</v>
      </c>
      <c r="X341">
        <v>1.1415525114155251E-4</v>
      </c>
      <c r="Y341">
        <v>1.7237235744060203E-4</v>
      </c>
      <c r="Z341" t="s">
        <v>1206</v>
      </c>
      <c r="AA341" t="s">
        <v>25</v>
      </c>
      <c r="AC341" t="s">
        <v>22</v>
      </c>
      <c r="AD341" t="s">
        <v>1206</v>
      </c>
      <c r="AE341">
        <v>7.9675403622288314E-5</v>
      </c>
      <c r="AG341" t="s">
        <v>99</v>
      </c>
      <c r="AH341" t="s">
        <v>1206</v>
      </c>
      <c r="AI341">
        <v>0</v>
      </c>
    </row>
    <row r="342" spans="5:35" x14ac:dyDescent="0.45">
      <c r="E342" t="s">
        <v>943</v>
      </c>
      <c r="G342" t="s">
        <v>816</v>
      </c>
      <c r="I342" t="s">
        <v>249</v>
      </c>
      <c r="J342" t="s">
        <v>1207</v>
      </c>
      <c r="K342">
        <v>0</v>
      </c>
      <c r="L342" t="s">
        <v>251</v>
      </c>
      <c r="N342" t="s">
        <v>419</v>
      </c>
      <c r="O342" t="s">
        <v>1207</v>
      </c>
      <c r="P342">
        <v>1.906499114103E-4</v>
      </c>
      <c r="Q342" t="s">
        <v>251</v>
      </c>
      <c r="S342" t="s">
        <v>420</v>
      </c>
      <c r="T342" t="s">
        <v>1207</v>
      </c>
      <c r="U342">
        <v>1.1279069880350001E-4</v>
      </c>
      <c r="V342" t="s">
        <v>251</v>
      </c>
      <c r="X342">
        <v>1.1415525114155251E-4</v>
      </c>
      <c r="Y342">
        <v>1.5579809230208258E-4</v>
      </c>
      <c r="Z342" t="s">
        <v>1207</v>
      </c>
      <c r="AA342" t="s">
        <v>25</v>
      </c>
      <c r="AC342" t="s">
        <v>22</v>
      </c>
      <c r="AD342" t="s">
        <v>1207</v>
      </c>
      <c r="AE342">
        <v>8.1462432577292183E-5</v>
      </c>
      <c r="AG342" t="s">
        <v>99</v>
      </c>
      <c r="AH342" t="s">
        <v>1207</v>
      </c>
      <c r="AI342">
        <v>0</v>
      </c>
    </row>
    <row r="343" spans="5:35" x14ac:dyDescent="0.45">
      <c r="E343" t="s">
        <v>944</v>
      </c>
      <c r="G343" t="s">
        <v>816</v>
      </c>
      <c r="I343" t="s">
        <v>249</v>
      </c>
      <c r="J343" t="s">
        <v>1208</v>
      </c>
      <c r="K343">
        <v>0</v>
      </c>
      <c r="L343" t="s">
        <v>251</v>
      </c>
      <c r="N343" t="s">
        <v>419</v>
      </c>
      <c r="O343" t="s">
        <v>1208</v>
      </c>
      <c r="P343">
        <v>1.9772312165279999E-4</v>
      </c>
      <c r="Q343" t="s">
        <v>251</v>
      </c>
      <c r="S343" t="s">
        <v>420</v>
      </c>
      <c r="T343" t="s">
        <v>1208</v>
      </c>
      <c r="U343">
        <v>1.2283911261829999E-4</v>
      </c>
      <c r="V343" t="s">
        <v>251</v>
      </c>
      <c r="X343">
        <v>1.1415525114155251E-4</v>
      </c>
      <c r="Y343">
        <v>1.093901499142282E-4</v>
      </c>
      <c r="Z343" t="s">
        <v>1208</v>
      </c>
      <c r="AA343" t="s">
        <v>25</v>
      </c>
      <c r="AC343" t="s">
        <v>22</v>
      </c>
      <c r="AD343" t="s">
        <v>1208</v>
      </c>
      <c r="AE343">
        <v>9.2923244942050344E-5</v>
      </c>
      <c r="AG343" t="s">
        <v>99</v>
      </c>
      <c r="AH343" t="s">
        <v>1208</v>
      </c>
      <c r="AI343">
        <v>0</v>
      </c>
    </row>
    <row r="344" spans="5:35" x14ac:dyDescent="0.45">
      <c r="E344" t="s">
        <v>945</v>
      </c>
      <c r="G344" t="s">
        <v>816</v>
      </c>
      <c r="I344" t="s">
        <v>249</v>
      </c>
      <c r="J344" t="s">
        <v>1209</v>
      </c>
      <c r="K344">
        <v>0</v>
      </c>
      <c r="L344" t="s">
        <v>251</v>
      </c>
      <c r="N344" t="s">
        <v>419</v>
      </c>
      <c r="O344" t="s">
        <v>1209</v>
      </c>
      <c r="P344">
        <v>2.1147367806700001E-4</v>
      </c>
      <c r="Q344" t="s">
        <v>251</v>
      </c>
      <c r="S344" t="s">
        <v>420</v>
      </c>
      <c r="T344" t="s">
        <v>1209</v>
      </c>
      <c r="U344">
        <v>1.3222754627220001E-4</v>
      </c>
      <c r="V344" t="s">
        <v>251</v>
      </c>
      <c r="X344">
        <v>1.1415525114155251E-4</v>
      </c>
      <c r="Y344">
        <v>7.9556472664893237E-5</v>
      </c>
      <c r="Z344" t="s">
        <v>1209</v>
      </c>
      <c r="AA344" t="s">
        <v>25</v>
      </c>
      <c r="AC344" t="s">
        <v>22</v>
      </c>
      <c r="AD344" t="s">
        <v>1209</v>
      </c>
      <c r="AE344">
        <v>1.0679058963288039E-4</v>
      </c>
      <c r="AG344" t="s">
        <v>99</v>
      </c>
      <c r="AH344" t="s">
        <v>1209</v>
      </c>
      <c r="AI344">
        <v>0</v>
      </c>
    </row>
    <row r="345" spans="5:35" x14ac:dyDescent="0.45">
      <c r="E345" t="s">
        <v>946</v>
      </c>
      <c r="G345" t="s">
        <v>816</v>
      </c>
      <c r="I345" t="s">
        <v>249</v>
      </c>
      <c r="J345" t="s">
        <v>1210</v>
      </c>
      <c r="K345">
        <v>0</v>
      </c>
      <c r="L345" t="s">
        <v>251</v>
      </c>
      <c r="N345" t="s">
        <v>419</v>
      </c>
      <c r="O345" t="s">
        <v>1210</v>
      </c>
      <c r="P345">
        <v>2.2300668261329999E-4</v>
      </c>
      <c r="Q345" t="s">
        <v>251</v>
      </c>
      <c r="S345" t="s">
        <v>420</v>
      </c>
      <c r="T345" t="s">
        <v>1210</v>
      </c>
      <c r="U345">
        <v>1.4158805117969999E-4</v>
      </c>
      <c r="V345" t="s">
        <v>251</v>
      </c>
      <c r="X345">
        <v>1.1415525114155251E-4</v>
      </c>
      <c r="Y345">
        <v>5.6352501470966035E-5</v>
      </c>
      <c r="Z345" t="s">
        <v>1210</v>
      </c>
      <c r="AA345" t="s">
        <v>25</v>
      </c>
      <c r="AC345" t="s">
        <v>22</v>
      </c>
      <c r="AD345" t="s">
        <v>1210</v>
      </c>
      <c r="AE345">
        <v>1.1953210608205797E-4</v>
      </c>
      <c r="AG345" t="s">
        <v>99</v>
      </c>
      <c r="AH345" t="s">
        <v>1210</v>
      </c>
      <c r="AI345">
        <v>0</v>
      </c>
    </row>
    <row r="346" spans="5:35" x14ac:dyDescent="0.45">
      <c r="E346" t="s">
        <v>947</v>
      </c>
      <c r="G346" t="s">
        <v>816</v>
      </c>
      <c r="I346" t="s">
        <v>249</v>
      </c>
      <c r="J346" t="s">
        <v>1211</v>
      </c>
      <c r="K346">
        <v>0</v>
      </c>
      <c r="L346" t="s">
        <v>251</v>
      </c>
      <c r="N346" t="s">
        <v>419</v>
      </c>
      <c r="O346" t="s">
        <v>1211</v>
      </c>
      <c r="P346">
        <v>2.2793869997519999E-4</v>
      </c>
      <c r="Q346" t="s">
        <v>251</v>
      </c>
      <c r="S346" t="s">
        <v>420</v>
      </c>
      <c r="T346" t="s">
        <v>1211</v>
      </c>
      <c r="U346">
        <v>1.432977025236E-4</v>
      </c>
      <c r="V346" t="s">
        <v>251</v>
      </c>
      <c r="X346">
        <v>1.1415525114155251E-4</v>
      </c>
      <c r="Y346">
        <v>2.9833677249334962E-5</v>
      </c>
      <c r="Z346" t="s">
        <v>1211</v>
      </c>
      <c r="AA346" t="s">
        <v>25</v>
      </c>
      <c r="AC346" t="s">
        <v>22</v>
      </c>
      <c r="AD346" t="s">
        <v>1211</v>
      </c>
      <c r="AE346">
        <v>1.2946203030869609E-4</v>
      </c>
      <c r="AG346" t="s">
        <v>99</v>
      </c>
      <c r="AH346" t="s">
        <v>1211</v>
      </c>
      <c r="AI346">
        <v>0</v>
      </c>
    </row>
    <row r="347" spans="5:35" x14ac:dyDescent="0.45">
      <c r="E347" t="s">
        <v>556</v>
      </c>
      <c r="G347" t="s">
        <v>818</v>
      </c>
      <c r="I347" t="s">
        <v>249</v>
      </c>
      <c r="J347" t="s">
        <v>395</v>
      </c>
      <c r="K347">
        <v>0</v>
      </c>
      <c r="L347" t="s">
        <v>251</v>
      </c>
      <c r="N347" t="s">
        <v>419</v>
      </c>
      <c r="O347" t="s">
        <v>395</v>
      </c>
      <c r="P347">
        <v>2.8009218587349234E-2</v>
      </c>
      <c r="Q347" t="s">
        <v>251</v>
      </c>
      <c r="S347" t="s">
        <v>420</v>
      </c>
      <c r="T347" t="s">
        <v>395</v>
      </c>
      <c r="U347">
        <v>2.3831769191877E-2</v>
      </c>
      <c r="V347" t="s">
        <v>251</v>
      </c>
      <c r="X347">
        <v>1.9178082191780823E-2</v>
      </c>
      <c r="Y347">
        <v>4.1024621070863279E-3</v>
      </c>
      <c r="Z347" t="s">
        <v>395</v>
      </c>
      <c r="AA347" t="s">
        <v>25</v>
      </c>
      <c r="AC347" t="s">
        <v>22</v>
      </c>
      <c r="AD347" t="s">
        <v>395</v>
      </c>
      <c r="AE347">
        <v>2.0948278289087151E-2</v>
      </c>
      <c r="AG347" t="s">
        <v>99</v>
      </c>
      <c r="AH347" t="s">
        <v>395</v>
      </c>
      <c r="AI347">
        <v>4.8630844165905129E-2</v>
      </c>
    </row>
    <row r="348" spans="5:35" x14ac:dyDescent="0.45">
      <c r="E348" t="s">
        <v>557</v>
      </c>
      <c r="G348" t="s">
        <v>818</v>
      </c>
      <c r="I348" t="s">
        <v>249</v>
      </c>
      <c r="J348" t="s">
        <v>396</v>
      </c>
      <c r="K348">
        <v>2.4628404205602598E-3</v>
      </c>
      <c r="L348" t="s">
        <v>251</v>
      </c>
      <c r="N348" t="s">
        <v>419</v>
      </c>
      <c r="O348" t="s">
        <v>396</v>
      </c>
      <c r="P348">
        <v>4.2561248655039637E-3</v>
      </c>
      <c r="Q348" t="s">
        <v>251</v>
      </c>
      <c r="S348" t="s">
        <v>420</v>
      </c>
      <c r="T348" t="s">
        <v>396</v>
      </c>
      <c r="U348">
        <v>3.8447900256316533E-3</v>
      </c>
      <c r="V348" t="s">
        <v>251</v>
      </c>
      <c r="X348">
        <v>3.1963470319634705E-3</v>
      </c>
      <c r="Y348">
        <v>4.7336101235611484E-3</v>
      </c>
      <c r="Z348" t="s">
        <v>396</v>
      </c>
      <c r="AA348" t="s">
        <v>25</v>
      </c>
      <c r="AC348" t="s">
        <v>22</v>
      </c>
      <c r="AD348" t="s">
        <v>396</v>
      </c>
      <c r="AE348">
        <v>3.5267638809507985E-3</v>
      </c>
      <c r="AG348" t="s">
        <v>99</v>
      </c>
      <c r="AH348" t="s">
        <v>396</v>
      </c>
      <c r="AI348">
        <v>4.2937584265207329E-2</v>
      </c>
    </row>
    <row r="349" spans="5:35" x14ac:dyDescent="0.45">
      <c r="E349" t="s">
        <v>558</v>
      </c>
      <c r="G349" t="s">
        <v>818</v>
      </c>
      <c r="I349" t="s">
        <v>249</v>
      </c>
      <c r="J349" t="s">
        <v>397</v>
      </c>
      <c r="K349">
        <v>6.2651125984265997E-3</v>
      </c>
      <c r="L349" t="s">
        <v>251</v>
      </c>
      <c r="N349" t="s">
        <v>419</v>
      </c>
      <c r="O349" t="s">
        <v>397</v>
      </c>
      <c r="P349">
        <v>3.6796631690930795E-3</v>
      </c>
      <c r="Q349" t="s">
        <v>251</v>
      </c>
      <c r="S349" t="s">
        <v>420</v>
      </c>
      <c r="T349" t="s">
        <v>397</v>
      </c>
      <c r="U349">
        <v>3.8686985430957032E-3</v>
      </c>
      <c r="V349" t="s">
        <v>251</v>
      </c>
      <c r="X349">
        <v>3.1963470319634705E-3</v>
      </c>
      <c r="Y349">
        <v>5.3369133746032542E-3</v>
      </c>
      <c r="Z349" t="s">
        <v>397</v>
      </c>
      <c r="AA349" t="s">
        <v>25</v>
      </c>
      <c r="AC349" t="s">
        <v>22</v>
      </c>
      <c r="AD349" t="s">
        <v>397</v>
      </c>
      <c r="AE349">
        <v>3.5424420816493659E-3</v>
      </c>
      <c r="AG349" t="s">
        <v>99</v>
      </c>
      <c r="AH349" t="s">
        <v>397</v>
      </c>
      <c r="AI349">
        <v>3.7116695396391064E-2</v>
      </c>
    </row>
    <row r="350" spans="5:35" x14ac:dyDescent="0.45">
      <c r="E350" t="s">
        <v>559</v>
      </c>
      <c r="G350" t="s">
        <v>818</v>
      </c>
      <c r="I350" t="s">
        <v>249</v>
      </c>
      <c r="J350" t="s">
        <v>398</v>
      </c>
      <c r="K350">
        <v>5.3288295911910602E-2</v>
      </c>
      <c r="L350" t="s">
        <v>251</v>
      </c>
      <c r="N350" t="s">
        <v>419</v>
      </c>
      <c r="O350" t="s">
        <v>398</v>
      </c>
      <c r="P350">
        <v>1.7590770398817814E-2</v>
      </c>
      <c r="Q350" t="s">
        <v>251</v>
      </c>
      <c r="S350" t="s">
        <v>420</v>
      </c>
      <c r="T350" t="s">
        <v>398</v>
      </c>
      <c r="U350">
        <v>2.3467413083034943E-2</v>
      </c>
      <c r="V350" t="s">
        <v>251</v>
      </c>
      <c r="X350">
        <v>1.9178082191780823E-2</v>
      </c>
      <c r="Y350">
        <v>2.4169256395594564E-2</v>
      </c>
      <c r="Z350" t="s">
        <v>398</v>
      </c>
      <c r="AA350" t="s">
        <v>25</v>
      </c>
      <c r="AC350" t="s">
        <v>22</v>
      </c>
      <c r="AD350" t="s">
        <v>398</v>
      </c>
      <c r="AE350">
        <v>1.9962410155190617E-2</v>
      </c>
      <c r="AG350" t="s">
        <v>99</v>
      </c>
      <c r="AH350" t="s">
        <v>398</v>
      </c>
      <c r="AI350">
        <v>8.8269522743042561E-2</v>
      </c>
    </row>
    <row r="351" spans="5:35" x14ac:dyDescent="0.45">
      <c r="E351" t="s">
        <v>560</v>
      </c>
      <c r="G351" t="s">
        <v>818</v>
      </c>
      <c r="I351" t="s">
        <v>249</v>
      </c>
      <c r="J351" t="s">
        <v>399</v>
      </c>
      <c r="K351">
        <v>2.4365926307903001E-2</v>
      </c>
      <c r="L351" t="s">
        <v>251</v>
      </c>
      <c r="N351" t="s">
        <v>419</v>
      </c>
      <c r="O351" t="s">
        <v>399</v>
      </c>
      <c r="P351">
        <v>8.3420767253032779E-3</v>
      </c>
      <c r="Q351" t="s">
        <v>251</v>
      </c>
      <c r="S351" t="s">
        <v>420</v>
      </c>
      <c r="T351" t="s">
        <v>399</v>
      </c>
      <c r="U351">
        <v>1.2148936997037035E-2</v>
      </c>
      <c r="V351" t="s">
        <v>251</v>
      </c>
      <c r="X351">
        <v>9.5890410958904115E-3</v>
      </c>
      <c r="Y351">
        <v>1.5258931457126519E-2</v>
      </c>
      <c r="Z351" t="s">
        <v>399</v>
      </c>
      <c r="AA351" t="s">
        <v>25</v>
      </c>
      <c r="AC351" t="s">
        <v>22</v>
      </c>
      <c r="AD351" t="s">
        <v>399</v>
      </c>
      <c r="AE351">
        <v>7.0864713329243309E-3</v>
      </c>
      <c r="AG351" t="s">
        <v>99</v>
      </c>
      <c r="AH351" t="s">
        <v>399</v>
      </c>
      <c r="AI351">
        <v>0.14103504482477591</v>
      </c>
    </row>
    <row r="352" spans="5:35" x14ac:dyDescent="0.45">
      <c r="E352" t="s">
        <v>561</v>
      </c>
      <c r="G352" t="s">
        <v>818</v>
      </c>
      <c r="I352" t="s">
        <v>249</v>
      </c>
      <c r="J352" t="s">
        <v>400</v>
      </c>
      <c r="K352">
        <v>6.0528116000066997E-3</v>
      </c>
      <c r="L352" t="s">
        <v>251</v>
      </c>
      <c r="N352" t="s">
        <v>419</v>
      </c>
      <c r="O352" t="s">
        <v>400</v>
      </c>
      <c r="P352">
        <v>2.8548172060802344E-3</v>
      </c>
      <c r="Q352" t="s">
        <v>251</v>
      </c>
      <c r="S352" t="s">
        <v>420</v>
      </c>
      <c r="T352" t="s">
        <v>400</v>
      </c>
      <c r="U352">
        <v>3.98978928802285E-3</v>
      </c>
      <c r="V352" t="s">
        <v>251</v>
      </c>
      <c r="X352">
        <v>3.1963470319634705E-3</v>
      </c>
      <c r="Y352">
        <v>6.2186642799724884E-3</v>
      </c>
      <c r="Z352" t="s">
        <v>400</v>
      </c>
      <c r="AA352" t="s">
        <v>25</v>
      </c>
      <c r="AC352" t="s">
        <v>22</v>
      </c>
      <c r="AD352" t="s">
        <v>400</v>
      </c>
      <c r="AE352">
        <v>2.2084070964494278E-3</v>
      </c>
      <c r="AG352" t="s">
        <v>99</v>
      </c>
      <c r="AH352" t="s">
        <v>400</v>
      </c>
      <c r="AI352">
        <v>1.4007067800377637E-2</v>
      </c>
    </row>
    <row r="353" spans="5:35" x14ac:dyDescent="0.45">
      <c r="E353" t="s">
        <v>562</v>
      </c>
      <c r="G353" t="s">
        <v>818</v>
      </c>
      <c r="I353" t="s">
        <v>249</v>
      </c>
      <c r="J353" t="s">
        <v>401</v>
      </c>
      <c r="K353">
        <v>2.9879448701916802E-3</v>
      </c>
      <c r="L353" t="s">
        <v>251</v>
      </c>
      <c r="N353" t="s">
        <v>419</v>
      </c>
      <c r="O353" t="s">
        <v>401</v>
      </c>
      <c r="P353">
        <v>2.8434721619620181E-3</v>
      </c>
      <c r="Q353" t="s">
        <v>251</v>
      </c>
      <c r="S353" t="s">
        <v>420</v>
      </c>
      <c r="T353" t="s">
        <v>401</v>
      </c>
      <c r="U353">
        <v>3.9366052576606317E-3</v>
      </c>
      <c r="V353" t="s">
        <v>251</v>
      </c>
      <c r="X353">
        <v>3.1963470319634705E-3</v>
      </c>
      <c r="Y353">
        <v>4.8264260083368555E-3</v>
      </c>
      <c r="Z353" t="s">
        <v>401</v>
      </c>
      <c r="AA353" t="s">
        <v>25</v>
      </c>
      <c r="AC353" t="s">
        <v>22</v>
      </c>
      <c r="AD353" t="s">
        <v>401</v>
      </c>
      <c r="AE353">
        <v>2.2279095391117029E-3</v>
      </c>
      <c r="AG353" t="s">
        <v>99</v>
      </c>
      <c r="AH353" t="s">
        <v>401</v>
      </c>
      <c r="AI353">
        <v>1.4151731235978016E-2</v>
      </c>
    </row>
    <row r="354" spans="5:35" x14ac:dyDescent="0.45">
      <c r="E354" t="s">
        <v>563</v>
      </c>
      <c r="G354" t="s">
        <v>818</v>
      </c>
      <c r="I354" t="s">
        <v>249</v>
      </c>
      <c r="J354" t="s">
        <v>402</v>
      </c>
      <c r="K354">
        <v>0</v>
      </c>
      <c r="L354" t="s">
        <v>251</v>
      </c>
      <c r="N354" t="s">
        <v>419</v>
      </c>
      <c r="O354" t="s">
        <v>402</v>
      </c>
      <c r="P354">
        <v>1.9368053774940781E-2</v>
      </c>
      <c r="Q354" t="s">
        <v>251</v>
      </c>
      <c r="S354" t="s">
        <v>420</v>
      </c>
      <c r="T354" t="s">
        <v>402</v>
      </c>
      <c r="U354">
        <v>1.9362340286106918E-2</v>
      </c>
      <c r="V354" t="s">
        <v>251</v>
      </c>
      <c r="X354">
        <v>1.5981735159817351E-2</v>
      </c>
      <c r="Y354">
        <v>1.2066065020842141E-2</v>
      </c>
      <c r="Z354" t="s">
        <v>402</v>
      </c>
      <c r="AA354" t="s">
        <v>25</v>
      </c>
      <c r="AC354" t="s">
        <v>22</v>
      </c>
      <c r="AD354" t="s">
        <v>402</v>
      </c>
      <c r="AE354">
        <v>1.5311730153569233E-2</v>
      </c>
      <c r="AG354" t="s">
        <v>99</v>
      </c>
      <c r="AH354" t="s">
        <v>402</v>
      </c>
      <c r="AI354">
        <v>0.13960439695913274</v>
      </c>
    </row>
    <row r="355" spans="5:35" x14ac:dyDescent="0.45">
      <c r="E355" t="s">
        <v>564</v>
      </c>
      <c r="G355" t="s">
        <v>818</v>
      </c>
      <c r="I355" t="s">
        <v>249</v>
      </c>
      <c r="J355" t="s">
        <v>1212</v>
      </c>
      <c r="K355">
        <v>0</v>
      </c>
      <c r="L355" t="s">
        <v>251</v>
      </c>
      <c r="N355" t="s">
        <v>419</v>
      </c>
      <c r="O355" t="s">
        <v>1212</v>
      </c>
      <c r="P355">
        <v>1.9726814869350001E-4</v>
      </c>
      <c r="Q355" t="s">
        <v>251</v>
      </c>
      <c r="S355" t="s">
        <v>420</v>
      </c>
      <c r="T355" t="s">
        <v>1212</v>
      </c>
      <c r="U355">
        <v>1.113180607461E-4</v>
      </c>
      <c r="V355" t="s">
        <v>251</v>
      </c>
      <c r="X355">
        <v>1.1415525114155251E-4</v>
      </c>
      <c r="Y355">
        <v>2.1546544680075254E-5</v>
      </c>
      <c r="Z355" t="s">
        <v>1212</v>
      </c>
      <c r="AA355" t="s">
        <v>25</v>
      </c>
      <c r="AC355" t="s">
        <v>22</v>
      </c>
      <c r="AD355" t="s">
        <v>1212</v>
      </c>
      <c r="AE355">
        <v>1.3124843697950308E-4</v>
      </c>
      <c r="AG355" t="s">
        <v>99</v>
      </c>
      <c r="AH355" t="s">
        <v>1212</v>
      </c>
      <c r="AI355">
        <v>0</v>
      </c>
    </row>
    <row r="356" spans="5:35" x14ac:dyDescent="0.45">
      <c r="E356" t="s">
        <v>565</v>
      </c>
      <c r="G356" t="s">
        <v>818</v>
      </c>
      <c r="I356" t="s">
        <v>249</v>
      </c>
      <c r="J356" t="s">
        <v>1213</v>
      </c>
      <c r="K356">
        <v>0</v>
      </c>
      <c r="L356" t="s">
        <v>251</v>
      </c>
      <c r="N356" t="s">
        <v>419</v>
      </c>
      <c r="O356" t="s">
        <v>1213</v>
      </c>
      <c r="P356">
        <v>2.004786769665E-4</v>
      </c>
      <c r="Q356" t="s">
        <v>251</v>
      </c>
      <c r="S356" t="s">
        <v>420</v>
      </c>
      <c r="T356" t="s">
        <v>1213</v>
      </c>
      <c r="U356">
        <v>1.113451470971E-4</v>
      </c>
      <c r="V356" t="s">
        <v>251</v>
      </c>
      <c r="X356">
        <v>1.1415525114155251E-4</v>
      </c>
      <c r="Y356">
        <v>1.4916838624667481E-5</v>
      </c>
      <c r="Z356" t="s">
        <v>1213</v>
      </c>
      <c r="AA356" t="s">
        <v>25</v>
      </c>
      <c r="AC356" t="s">
        <v>22</v>
      </c>
      <c r="AD356" t="s">
        <v>1213</v>
      </c>
      <c r="AE356">
        <v>1.324636166689057E-4</v>
      </c>
      <c r="AG356" t="s">
        <v>99</v>
      </c>
      <c r="AH356" t="s">
        <v>1213</v>
      </c>
      <c r="AI356">
        <v>0</v>
      </c>
    </row>
    <row r="357" spans="5:35" x14ac:dyDescent="0.45">
      <c r="E357" t="s">
        <v>566</v>
      </c>
      <c r="G357" t="s">
        <v>818</v>
      </c>
      <c r="I357" t="s">
        <v>249</v>
      </c>
      <c r="J357" t="s">
        <v>1214</v>
      </c>
      <c r="K357">
        <v>0</v>
      </c>
      <c r="L357" t="s">
        <v>251</v>
      </c>
      <c r="N357" t="s">
        <v>419</v>
      </c>
      <c r="O357" t="s">
        <v>1214</v>
      </c>
      <c r="P357">
        <v>1.992158373105E-4</v>
      </c>
      <c r="Q357" t="s">
        <v>251</v>
      </c>
      <c r="S357" t="s">
        <v>420</v>
      </c>
      <c r="T357" t="s">
        <v>1214</v>
      </c>
      <c r="U357">
        <v>1.132564378473E-4</v>
      </c>
      <c r="V357" t="s">
        <v>251</v>
      </c>
      <c r="X357">
        <v>1.1415525114155251E-4</v>
      </c>
      <c r="Y357">
        <v>1.6574265138519424E-5</v>
      </c>
      <c r="Z357" t="s">
        <v>1214</v>
      </c>
      <c r="AA357" t="s">
        <v>25</v>
      </c>
      <c r="AC357" t="s">
        <v>22</v>
      </c>
      <c r="AD357" t="s">
        <v>1214</v>
      </c>
      <c r="AE357">
        <v>1.324636166689057E-4</v>
      </c>
      <c r="AG357" t="s">
        <v>99</v>
      </c>
      <c r="AH357" t="s">
        <v>1214</v>
      </c>
      <c r="AI357">
        <v>0</v>
      </c>
    </row>
    <row r="358" spans="5:35" x14ac:dyDescent="0.45">
      <c r="E358" t="s">
        <v>567</v>
      </c>
      <c r="G358" t="s">
        <v>818</v>
      </c>
      <c r="I358" t="s">
        <v>249</v>
      </c>
      <c r="J358" t="s">
        <v>1215</v>
      </c>
      <c r="K358">
        <v>0</v>
      </c>
      <c r="L358" t="s">
        <v>251</v>
      </c>
      <c r="N358" t="s">
        <v>419</v>
      </c>
      <c r="O358" t="s">
        <v>1215</v>
      </c>
      <c r="P358">
        <v>1.947129371836E-4</v>
      </c>
      <c r="Q358" t="s">
        <v>251</v>
      </c>
      <c r="S358" t="s">
        <v>420</v>
      </c>
      <c r="T358" t="s">
        <v>1215</v>
      </c>
      <c r="U358">
        <v>1.190112724953E-4</v>
      </c>
      <c r="V358" t="s">
        <v>251</v>
      </c>
      <c r="X358">
        <v>1.1415525114155251E-4</v>
      </c>
      <c r="Y358">
        <v>1.4585353321897093E-5</v>
      </c>
      <c r="Z358" t="s">
        <v>1215</v>
      </c>
      <c r="AA358" t="s">
        <v>25</v>
      </c>
      <c r="AC358" t="s">
        <v>22</v>
      </c>
      <c r="AD358" t="s">
        <v>1215</v>
      </c>
      <c r="AE358">
        <v>1.324636166689057E-4</v>
      </c>
      <c r="AG358" t="s">
        <v>99</v>
      </c>
      <c r="AH358" t="s">
        <v>1215</v>
      </c>
      <c r="AI358">
        <v>0</v>
      </c>
    </row>
    <row r="359" spans="5:35" x14ac:dyDescent="0.45">
      <c r="E359" t="s">
        <v>568</v>
      </c>
      <c r="G359" t="s">
        <v>818</v>
      </c>
      <c r="I359" t="s">
        <v>249</v>
      </c>
      <c r="J359" t="s">
        <v>1216</v>
      </c>
      <c r="K359">
        <v>0</v>
      </c>
      <c r="L359" t="s">
        <v>251</v>
      </c>
      <c r="N359" t="s">
        <v>419</v>
      </c>
      <c r="O359" t="s">
        <v>1216</v>
      </c>
      <c r="P359">
        <v>1.922556569718E-4</v>
      </c>
      <c r="Q359" t="s">
        <v>251</v>
      </c>
      <c r="S359" t="s">
        <v>420</v>
      </c>
      <c r="T359" t="s">
        <v>1216</v>
      </c>
      <c r="U359">
        <v>1.2600969567780001E-4</v>
      </c>
      <c r="V359" t="s">
        <v>251</v>
      </c>
      <c r="X359">
        <v>1.1415525114155251E-4</v>
      </c>
      <c r="Y359">
        <v>2.1215059377304864E-5</v>
      </c>
      <c r="Z359" t="s">
        <v>1216</v>
      </c>
      <c r="AA359" t="s">
        <v>25</v>
      </c>
      <c r="AC359" t="s">
        <v>22</v>
      </c>
      <c r="AD359" t="s">
        <v>1216</v>
      </c>
      <c r="AE359">
        <v>1.331665147245406E-4</v>
      </c>
      <c r="AG359" t="s">
        <v>99</v>
      </c>
      <c r="AH359" t="s">
        <v>1216</v>
      </c>
      <c r="AI359">
        <v>0</v>
      </c>
    </row>
    <row r="360" spans="5:35" x14ac:dyDescent="0.45">
      <c r="E360" t="s">
        <v>569</v>
      </c>
      <c r="G360" t="s">
        <v>818</v>
      </c>
      <c r="I360" t="s">
        <v>249</v>
      </c>
      <c r="J360" t="s">
        <v>1217</v>
      </c>
      <c r="K360">
        <v>0</v>
      </c>
      <c r="L360" t="s">
        <v>251</v>
      </c>
      <c r="N360" t="s">
        <v>419</v>
      </c>
      <c r="O360" t="s">
        <v>1217</v>
      </c>
      <c r="P360">
        <v>1.9053930337660001E-4</v>
      </c>
      <c r="Q360" t="s">
        <v>251</v>
      </c>
      <c r="S360" t="s">
        <v>420</v>
      </c>
      <c r="T360" t="s">
        <v>1217</v>
      </c>
      <c r="U360">
        <v>1.2938379265989999E-4</v>
      </c>
      <c r="V360" t="s">
        <v>251</v>
      </c>
      <c r="X360">
        <v>1.1415525114155251E-4</v>
      </c>
      <c r="Y360">
        <v>5.7678442682047593E-5</v>
      </c>
      <c r="Z360" t="s">
        <v>1217</v>
      </c>
      <c r="AA360" t="s">
        <v>25</v>
      </c>
      <c r="AC360" t="s">
        <v>22</v>
      </c>
      <c r="AD360" t="s">
        <v>1217</v>
      </c>
      <c r="AE360">
        <v>1.3338095819914105E-4</v>
      </c>
      <c r="AG360" t="s">
        <v>99</v>
      </c>
      <c r="AH360" t="s">
        <v>1217</v>
      </c>
      <c r="AI360">
        <v>0</v>
      </c>
    </row>
    <row r="361" spans="5:35" x14ac:dyDescent="0.45">
      <c r="E361" t="s">
        <v>570</v>
      </c>
      <c r="G361" t="s">
        <v>818</v>
      </c>
      <c r="I361" t="s">
        <v>249</v>
      </c>
      <c r="J361" t="s">
        <v>1218</v>
      </c>
      <c r="K361">
        <v>7.4348673582869088E-5</v>
      </c>
      <c r="L361" t="s">
        <v>251</v>
      </c>
      <c r="N361" t="s">
        <v>419</v>
      </c>
      <c r="O361" t="s">
        <v>1218</v>
      </c>
      <c r="P361">
        <v>1.8684592714730001E-4</v>
      </c>
      <c r="Q361" t="s">
        <v>251</v>
      </c>
      <c r="S361" t="s">
        <v>420</v>
      </c>
      <c r="T361" t="s">
        <v>1218</v>
      </c>
      <c r="U361">
        <v>1.2780945929139999E-4</v>
      </c>
      <c r="V361" t="s">
        <v>251</v>
      </c>
      <c r="X361">
        <v>1.1415525114155251E-4</v>
      </c>
      <c r="Y361">
        <v>1.6905750441289813E-4</v>
      </c>
      <c r="Z361" t="s">
        <v>1218</v>
      </c>
      <c r="AA361" t="s">
        <v>25</v>
      </c>
      <c r="AC361" t="s">
        <v>22</v>
      </c>
      <c r="AD361" t="s">
        <v>1218</v>
      </c>
      <c r="AE361">
        <v>1.3352392051554134E-4</v>
      </c>
      <c r="AG361" t="s">
        <v>99</v>
      </c>
      <c r="AH361" t="s">
        <v>1218</v>
      </c>
      <c r="AI361">
        <v>0</v>
      </c>
    </row>
    <row r="362" spans="5:35" x14ac:dyDescent="0.45">
      <c r="E362" t="s">
        <v>571</v>
      </c>
      <c r="G362" t="s">
        <v>818</v>
      </c>
      <c r="I362" t="s">
        <v>249</v>
      </c>
      <c r="J362" t="s">
        <v>1219</v>
      </c>
      <c r="K362">
        <v>2.309398557656E-4</v>
      </c>
      <c r="L362" t="s">
        <v>251</v>
      </c>
      <c r="N362" t="s">
        <v>419</v>
      </c>
      <c r="O362" t="s">
        <v>1219</v>
      </c>
      <c r="P362">
        <v>1.8310268605919999E-4</v>
      </c>
      <c r="Q362" t="s">
        <v>251</v>
      </c>
      <c r="S362" t="s">
        <v>420</v>
      </c>
      <c r="T362" t="s">
        <v>1219</v>
      </c>
      <c r="U362">
        <v>1.3387290956599999E-4</v>
      </c>
      <c r="V362" t="s">
        <v>251</v>
      </c>
      <c r="X362">
        <v>1.1415525114155251E-4</v>
      </c>
      <c r="Y362">
        <v>1.9060404909297337E-4</v>
      </c>
      <c r="Z362" t="s">
        <v>1219</v>
      </c>
      <c r="AA362" t="s">
        <v>25</v>
      </c>
      <c r="AC362" t="s">
        <v>22</v>
      </c>
      <c r="AD362" t="s">
        <v>1219</v>
      </c>
      <c r="AE362">
        <v>1.3226108672067193E-4</v>
      </c>
      <c r="AG362" t="s">
        <v>99</v>
      </c>
      <c r="AH362" t="s">
        <v>1219</v>
      </c>
      <c r="AI362">
        <v>0</v>
      </c>
    </row>
    <row r="363" spans="5:35" x14ac:dyDescent="0.45">
      <c r="E363" t="s">
        <v>572</v>
      </c>
      <c r="G363" t="s">
        <v>818</v>
      </c>
      <c r="I363" t="s">
        <v>249</v>
      </c>
      <c r="J363" t="s">
        <v>1220</v>
      </c>
      <c r="K363">
        <v>2.8847297193129999E-4</v>
      </c>
      <c r="L363" t="s">
        <v>251</v>
      </c>
      <c r="N363" t="s">
        <v>419</v>
      </c>
      <c r="O363" t="s">
        <v>1220</v>
      </c>
      <c r="P363">
        <v>1.879512161965E-4</v>
      </c>
      <c r="Q363" t="s">
        <v>251</v>
      </c>
      <c r="S363" t="s">
        <v>420</v>
      </c>
      <c r="T363" t="s">
        <v>1220</v>
      </c>
      <c r="U363">
        <v>1.5498995219969999E-4</v>
      </c>
      <c r="V363" t="s">
        <v>251</v>
      </c>
      <c r="X363">
        <v>1.1415525114155251E-4</v>
      </c>
      <c r="Y363">
        <v>1.4585353321897094E-4</v>
      </c>
      <c r="Z363" t="s">
        <v>1220</v>
      </c>
      <c r="AA363" t="s">
        <v>25</v>
      </c>
      <c r="AC363" t="s">
        <v>22</v>
      </c>
      <c r="AD363" t="s">
        <v>1220</v>
      </c>
      <c r="AE363">
        <v>1.3319629854045728E-4</v>
      </c>
      <c r="AG363" t="s">
        <v>99</v>
      </c>
      <c r="AH363" t="s">
        <v>1220</v>
      </c>
      <c r="AI363">
        <v>0</v>
      </c>
    </row>
    <row r="364" spans="5:35" x14ac:dyDescent="0.45">
      <c r="E364" t="s">
        <v>573</v>
      </c>
      <c r="G364" t="s">
        <v>818</v>
      </c>
      <c r="I364" t="s">
        <v>249</v>
      </c>
      <c r="J364" t="s">
        <v>1221</v>
      </c>
      <c r="K364">
        <v>3.0949833799940002E-4</v>
      </c>
      <c r="L364" t="s">
        <v>251</v>
      </c>
      <c r="N364" t="s">
        <v>419</v>
      </c>
      <c r="O364" t="s">
        <v>1221</v>
      </c>
      <c r="P364">
        <v>1.957668586156E-4</v>
      </c>
      <c r="Q364" t="s">
        <v>251</v>
      </c>
      <c r="S364" t="s">
        <v>420</v>
      </c>
      <c r="T364" t="s">
        <v>1221</v>
      </c>
      <c r="U364">
        <v>1.4443228018009999E-4</v>
      </c>
      <c r="V364" t="s">
        <v>251</v>
      </c>
      <c r="X364">
        <v>1.1415525114155251E-4</v>
      </c>
      <c r="Y364">
        <v>1.4452759200788939E-4</v>
      </c>
      <c r="Z364" t="s">
        <v>1221</v>
      </c>
      <c r="AA364" t="s">
        <v>25</v>
      </c>
      <c r="AC364" t="s">
        <v>22</v>
      </c>
      <c r="AD364" t="s">
        <v>1221</v>
      </c>
      <c r="AE364">
        <v>1.3208834058835492E-4</v>
      </c>
      <c r="AG364" t="s">
        <v>99</v>
      </c>
      <c r="AH364" t="s">
        <v>1221</v>
      </c>
      <c r="AI364">
        <v>0</v>
      </c>
    </row>
    <row r="365" spans="5:35" x14ac:dyDescent="0.45">
      <c r="E365" t="s">
        <v>574</v>
      </c>
      <c r="G365" t="s">
        <v>818</v>
      </c>
      <c r="I365" t="s">
        <v>249</v>
      </c>
      <c r="J365" t="s">
        <v>1222</v>
      </c>
      <c r="K365">
        <v>3.2063394331650002E-4</v>
      </c>
      <c r="L365" t="s">
        <v>251</v>
      </c>
      <c r="N365" t="s">
        <v>419</v>
      </c>
      <c r="O365" t="s">
        <v>1222</v>
      </c>
      <c r="P365">
        <v>1.9278454209210001E-4</v>
      </c>
      <c r="Q365" t="s">
        <v>251</v>
      </c>
      <c r="S365" t="s">
        <v>420</v>
      </c>
      <c r="T365" t="s">
        <v>1222</v>
      </c>
      <c r="U365">
        <v>1.595528432296E-4</v>
      </c>
      <c r="V365" t="s">
        <v>251</v>
      </c>
      <c r="X365">
        <v>1.1415525114155251E-4</v>
      </c>
      <c r="Y365">
        <v>1.408812536774151E-4</v>
      </c>
      <c r="Z365" t="s">
        <v>1222</v>
      </c>
      <c r="AA365" t="s">
        <v>25</v>
      </c>
      <c r="AC365" t="s">
        <v>22</v>
      </c>
      <c r="AD365" t="s">
        <v>1222</v>
      </c>
      <c r="AE365">
        <v>1.282760121510133E-4</v>
      </c>
      <c r="AG365" t="s">
        <v>99</v>
      </c>
      <c r="AH365" t="s">
        <v>1222</v>
      </c>
      <c r="AI365">
        <v>0</v>
      </c>
    </row>
    <row r="366" spans="5:35" x14ac:dyDescent="0.45">
      <c r="E366" t="s">
        <v>575</v>
      </c>
      <c r="G366" t="s">
        <v>818</v>
      </c>
      <c r="I366" t="s">
        <v>249</v>
      </c>
      <c r="J366" t="s">
        <v>1223</v>
      </c>
      <c r="K366">
        <v>3.3506804642290003E-4</v>
      </c>
      <c r="L366" t="s">
        <v>251</v>
      </c>
      <c r="N366" t="s">
        <v>419</v>
      </c>
      <c r="O366" t="s">
        <v>1223</v>
      </c>
      <c r="P366">
        <v>1.880939696949E-4</v>
      </c>
      <c r="Q366" t="s">
        <v>251</v>
      </c>
      <c r="S366" t="s">
        <v>420</v>
      </c>
      <c r="T366" t="s">
        <v>1223</v>
      </c>
      <c r="U366">
        <v>1.7872215876990001E-4</v>
      </c>
      <c r="V366" t="s">
        <v>251</v>
      </c>
      <c r="X366">
        <v>1.1415525114155251E-4</v>
      </c>
      <c r="Y366">
        <v>1.4054976837464471E-4</v>
      </c>
      <c r="Z366" t="s">
        <v>1223</v>
      </c>
      <c r="AA366" t="s">
        <v>25</v>
      </c>
      <c r="AC366" t="s">
        <v>22</v>
      </c>
      <c r="AD366" t="s">
        <v>1223</v>
      </c>
      <c r="AE366">
        <v>1.2432667816045476E-4</v>
      </c>
      <c r="AG366" t="s">
        <v>99</v>
      </c>
      <c r="AH366" t="s">
        <v>1223</v>
      </c>
      <c r="AI366">
        <v>0</v>
      </c>
    </row>
    <row r="367" spans="5:35" x14ac:dyDescent="0.45">
      <c r="E367" t="s">
        <v>576</v>
      </c>
      <c r="G367" t="s">
        <v>818</v>
      </c>
      <c r="I367" t="s">
        <v>249</v>
      </c>
      <c r="J367" t="s">
        <v>1224</v>
      </c>
      <c r="K367">
        <v>3.4475874030559999E-4</v>
      </c>
      <c r="L367" t="s">
        <v>251</v>
      </c>
      <c r="N367" t="s">
        <v>419</v>
      </c>
      <c r="O367" t="s">
        <v>1224</v>
      </c>
      <c r="P367">
        <v>1.7630923238229999E-4</v>
      </c>
      <c r="Q367" t="s">
        <v>251</v>
      </c>
      <c r="S367" t="s">
        <v>420</v>
      </c>
      <c r="T367" t="s">
        <v>1224</v>
      </c>
      <c r="U367">
        <v>1.839718415771E-4</v>
      </c>
      <c r="V367" t="s">
        <v>251</v>
      </c>
      <c r="X367">
        <v>1.1415525114155251E-4</v>
      </c>
      <c r="Y367">
        <v>1.4253868019126702E-4</v>
      </c>
      <c r="Z367" t="s">
        <v>1224</v>
      </c>
      <c r="AA367" t="s">
        <v>25</v>
      </c>
      <c r="AC367" t="s">
        <v>22</v>
      </c>
      <c r="AD367" t="s">
        <v>1224</v>
      </c>
      <c r="AE367">
        <v>1.116387725799273E-4</v>
      </c>
      <c r="AG367" t="s">
        <v>99</v>
      </c>
      <c r="AH367" t="s">
        <v>1224</v>
      </c>
      <c r="AI367">
        <v>0</v>
      </c>
    </row>
    <row r="368" spans="5:35" x14ac:dyDescent="0.45">
      <c r="E368" t="s">
        <v>577</v>
      </c>
      <c r="G368" t="s">
        <v>818</v>
      </c>
      <c r="I368" t="s">
        <v>249</v>
      </c>
      <c r="J368" t="s">
        <v>1225</v>
      </c>
      <c r="K368">
        <v>3.3381837098430002E-4</v>
      </c>
      <c r="L368" t="s">
        <v>251</v>
      </c>
      <c r="N368" t="s">
        <v>419</v>
      </c>
      <c r="O368" t="s">
        <v>1225</v>
      </c>
      <c r="P368">
        <v>1.669833651087E-4</v>
      </c>
      <c r="Q368" t="s">
        <v>251</v>
      </c>
      <c r="S368" t="s">
        <v>420</v>
      </c>
      <c r="T368" t="s">
        <v>1225</v>
      </c>
      <c r="U368">
        <v>1.8373175198470001E-4</v>
      </c>
      <c r="V368" t="s">
        <v>251</v>
      </c>
      <c r="X368">
        <v>1.1415525114155251E-4</v>
      </c>
      <c r="Y368">
        <v>1.4883690094390442E-4</v>
      </c>
      <c r="Z368" t="s">
        <v>1225</v>
      </c>
      <c r="AA368" t="s">
        <v>25</v>
      </c>
      <c r="AC368" t="s">
        <v>22</v>
      </c>
      <c r="AD368" t="s">
        <v>1225</v>
      </c>
      <c r="AE368">
        <v>1.0462170554994544E-4</v>
      </c>
      <c r="AG368" t="s">
        <v>99</v>
      </c>
      <c r="AH368" t="s">
        <v>1225</v>
      </c>
      <c r="AI368">
        <v>0</v>
      </c>
    </row>
    <row r="369" spans="5:35" x14ac:dyDescent="0.45">
      <c r="E369" t="s">
        <v>578</v>
      </c>
      <c r="G369" t="s">
        <v>818</v>
      </c>
      <c r="I369" t="s">
        <v>249</v>
      </c>
      <c r="J369" t="s">
        <v>1226</v>
      </c>
      <c r="K369">
        <v>3.169889306526E-4</v>
      </c>
      <c r="L369" t="s">
        <v>251</v>
      </c>
      <c r="N369" t="s">
        <v>419</v>
      </c>
      <c r="O369" t="s">
        <v>1226</v>
      </c>
      <c r="P369">
        <v>1.680069173489E-4</v>
      </c>
      <c r="Q369" t="s">
        <v>251</v>
      </c>
      <c r="S369" t="s">
        <v>420</v>
      </c>
      <c r="T369" t="s">
        <v>1226</v>
      </c>
      <c r="U369">
        <v>1.845105418579E-4</v>
      </c>
      <c r="V369" t="s">
        <v>251</v>
      </c>
      <c r="X369">
        <v>1.1415525114155251E-4</v>
      </c>
      <c r="Y369">
        <v>1.5049432745775637E-4</v>
      </c>
      <c r="Z369" t="s">
        <v>1226</v>
      </c>
      <c r="AA369" t="s">
        <v>25</v>
      </c>
      <c r="AC369" t="s">
        <v>22</v>
      </c>
      <c r="AD369" t="s">
        <v>1226</v>
      </c>
      <c r="AE369">
        <v>8.7936811873392645E-5</v>
      </c>
      <c r="AG369" t="s">
        <v>99</v>
      </c>
      <c r="AH369" t="s">
        <v>1226</v>
      </c>
      <c r="AI369">
        <v>0</v>
      </c>
    </row>
    <row r="370" spans="5:35" x14ac:dyDescent="0.45">
      <c r="E370" t="s">
        <v>579</v>
      </c>
      <c r="G370" t="s">
        <v>818</v>
      </c>
      <c r="I370" t="s">
        <v>249</v>
      </c>
      <c r="J370" t="s">
        <v>1227</v>
      </c>
      <c r="K370">
        <v>3.0233056066889999E-4</v>
      </c>
      <c r="L370" t="s">
        <v>251</v>
      </c>
      <c r="N370" t="s">
        <v>419</v>
      </c>
      <c r="O370" t="s">
        <v>1227</v>
      </c>
      <c r="P370">
        <v>1.681681370895E-4</v>
      </c>
      <c r="Q370" t="s">
        <v>251</v>
      </c>
      <c r="S370" t="s">
        <v>420</v>
      </c>
      <c r="T370" t="s">
        <v>1227</v>
      </c>
      <c r="U370">
        <v>1.8394206695500001E-4</v>
      </c>
      <c r="V370" t="s">
        <v>251</v>
      </c>
      <c r="X370">
        <v>1.1415525114155251E-4</v>
      </c>
      <c r="Y370">
        <v>1.7237235744060203E-4</v>
      </c>
      <c r="Z370" t="s">
        <v>1227</v>
      </c>
      <c r="AA370" t="s">
        <v>25</v>
      </c>
      <c r="AC370" t="s">
        <v>22</v>
      </c>
      <c r="AD370" t="s">
        <v>1227</v>
      </c>
      <c r="AE370">
        <v>8.4011304935567471E-5</v>
      </c>
      <c r="AG370" t="s">
        <v>99</v>
      </c>
      <c r="AH370" t="s">
        <v>1227</v>
      </c>
      <c r="AI370">
        <v>0</v>
      </c>
    </row>
    <row r="371" spans="5:35" x14ac:dyDescent="0.45">
      <c r="E371" t="s">
        <v>240</v>
      </c>
      <c r="G371" t="s">
        <v>152</v>
      </c>
      <c r="I371" t="s">
        <v>249</v>
      </c>
      <c r="J371" t="s">
        <v>1228</v>
      </c>
      <c r="K371">
        <v>2.8177385497930001E-4</v>
      </c>
      <c r="L371" t="s">
        <v>251</v>
      </c>
      <c r="N371" t="s">
        <v>419</v>
      </c>
      <c r="O371" t="s">
        <v>1228</v>
      </c>
      <c r="P371">
        <v>1.7097672295499999E-4</v>
      </c>
      <c r="Q371" t="s">
        <v>251</v>
      </c>
      <c r="S371" t="s">
        <v>420</v>
      </c>
      <c r="T371" t="s">
        <v>1228</v>
      </c>
      <c r="U371">
        <v>1.839062775867E-4</v>
      </c>
      <c r="V371" t="s">
        <v>251</v>
      </c>
      <c r="X371">
        <v>1.1415525114155251E-4</v>
      </c>
      <c r="Y371">
        <v>2.2209515285616027E-4</v>
      </c>
      <c r="Z371" t="s">
        <v>1228</v>
      </c>
      <c r="AA371" t="s">
        <v>25</v>
      </c>
      <c r="AC371" t="s">
        <v>22</v>
      </c>
      <c r="AD371" t="s">
        <v>1228</v>
      </c>
      <c r="AE371">
        <v>7.9883268049508527E-5</v>
      </c>
      <c r="AG371" t="s">
        <v>99</v>
      </c>
      <c r="AH371" t="s">
        <v>1228</v>
      </c>
      <c r="AI371">
        <v>0</v>
      </c>
    </row>
    <row r="372" spans="5:35" x14ac:dyDescent="0.45">
      <c r="E372" t="s">
        <v>241</v>
      </c>
      <c r="G372" t="s">
        <v>152</v>
      </c>
      <c r="I372" t="s">
        <v>249</v>
      </c>
      <c r="J372" t="s">
        <v>1229</v>
      </c>
      <c r="K372">
        <v>2.343607697329E-4</v>
      </c>
      <c r="L372" t="s">
        <v>251</v>
      </c>
      <c r="N372" t="s">
        <v>419</v>
      </c>
      <c r="O372" t="s">
        <v>1229</v>
      </c>
      <c r="P372">
        <v>1.708345323384E-4</v>
      </c>
      <c r="Q372" t="s">
        <v>251</v>
      </c>
      <c r="S372" t="s">
        <v>420</v>
      </c>
      <c r="T372" t="s">
        <v>1229</v>
      </c>
      <c r="U372">
        <v>1.8443944441709999E-4</v>
      </c>
      <c r="V372" t="s">
        <v>251</v>
      </c>
      <c r="X372">
        <v>1.1415525114155251E-4</v>
      </c>
      <c r="Y372">
        <v>2.2209515285616027E-4</v>
      </c>
      <c r="Z372" t="s">
        <v>1229</v>
      </c>
      <c r="AA372" t="s">
        <v>25</v>
      </c>
      <c r="AC372" t="s">
        <v>22</v>
      </c>
      <c r="AD372" t="s">
        <v>1229</v>
      </c>
      <c r="AE372">
        <v>8.0592122868326736E-5</v>
      </c>
      <c r="AG372" t="s">
        <v>99</v>
      </c>
      <c r="AH372" t="s">
        <v>1229</v>
      </c>
      <c r="AI372">
        <v>0</v>
      </c>
    </row>
    <row r="373" spans="5:35" x14ac:dyDescent="0.45">
      <c r="E373" t="s">
        <v>242</v>
      </c>
      <c r="G373" t="s">
        <v>152</v>
      </c>
      <c r="I373" t="s">
        <v>249</v>
      </c>
      <c r="J373" t="s">
        <v>1230</v>
      </c>
      <c r="K373">
        <v>1.147055632997E-4</v>
      </c>
      <c r="L373" t="s">
        <v>251</v>
      </c>
      <c r="N373" t="s">
        <v>419</v>
      </c>
      <c r="O373" t="s">
        <v>1230</v>
      </c>
      <c r="P373">
        <v>1.749740635245E-4</v>
      </c>
      <c r="Q373" t="s">
        <v>251</v>
      </c>
      <c r="S373" t="s">
        <v>420</v>
      </c>
      <c r="T373" t="s">
        <v>1230</v>
      </c>
      <c r="U373">
        <v>1.8441888164490001E-4</v>
      </c>
      <c r="V373" t="s">
        <v>251</v>
      </c>
      <c r="X373">
        <v>1.1415525114155251E-4</v>
      </c>
      <c r="Y373">
        <v>1.7237235744060203E-4</v>
      </c>
      <c r="Z373" t="s">
        <v>1230</v>
      </c>
      <c r="AA373" t="s">
        <v>25</v>
      </c>
      <c r="AC373" t="s">
        <v>22</v>
      </c>
      <c r="AD373" t="s">
        <v>1230</v>
      </c>
      <c r="AE373">
        <v>8.1533291451295451E-5</v>
      </c>
      <c r="AG373" t="s">
        <v>99</v>
      </c>
      <c r="AH373" t="s">
        <v>1230</v>
      </c>
      <c r="AI373">
        <v>0</v>
      </c>
    </row>
    <row r="374" spans="5:35" x14ac:dyDescent="0.45">
      <c r="E374" t="s">
        <v>243</v>
      </c>
      <c r="G374" t="s">
        <v>152</v>
      </c>
      <c r="I374" t="s">
        <v>249</v>
      </c>
      <c r="J374" t="s">
        <v>1231</v>
      </c>
      <c r="K374">
        <v>0</v>
      </c>
      <c r="L374" t="s">
        <v>251</v>
      </c>
      <c r="N374" t="s">
        <v>419</v>
      </c>
      <c r="O374" t="s">
        <v>1231</v>
      </c>
      <c r="P374">
        <v>1.9059805973150001E-4</v>
      </c>
      <c r="Q374" t="s">
        <v>251</v>
      </c>
      <c r="S374" t="s">
        <v>420</v>
      </c>
      <c r="T374" t="s">
        <v>1231</v>
      </c>
      <c r="U374">
        <v>1.8462045616390001E-4</v>
      </c>
      <c r="V374" t="s">
        <v>251</v>
      </c>
      <c r="X374">
        <v>1.1415525114155251E-4</v>
      </c>
      <c r="Y374">
        <v>1.5579809230208258E-4</v>
      </c>
      <c r="Z374" t="s">
        <v>1231</v>
      </c>
      <c r="AA374" t="s">
        <v>25</v>
      </c>
      <c r="AC374" t="s">
        <v>22</v>
      </c>
      <c r="AD374" t="s">
        <v>1231</v>
      </c>
      <c r="AE374">
        <v>9.3375336659787741E-5</v>
      </c>
      <c r="AG374" t="s">
        <v>99</v>
      </c>
      <c r="AH374" t="s">
        <v>1231</v>
      </c>
      <c r="AI374">
        <v>0</v>
      </c>
    </row>
    <row r="375" spans="5:35" x14ac:dyDescent="0.45">
      <c r="E375" t="s">
        <v>244</v>
      </c>
      <c r="G375" t="s">
        <v>152</v>
      </c>
      <c r="I375" t="s">
        <v>249</v>
      </c>
      <c r="J375" t="s">
        <v>1232</v>
      </c>
      <c r="K375">
        <v>0</v>
      </c>
      <c r="L375" t="s">
        <v>251</v>
      </c>
      <c r="N375" t="s">
        <v>419</v>
      </c>
      <c r="O375" t="s">
        <v>1232</v>
      </c>
      <c r="P375">
        <v>1.9634061078629999E-4</v>
      </c>
      <c r="Q375" t="s">
        <v>251</v>
      </c>
      <c r="S375" t="s">
        <v>420</v>
      </c>
      <c r="T375" t="s">
        <v>1232</v>
      </c>
      <c r="U375">
        <v>1.8421239707139999E-4</v>
      </c>
      <c r="V375" t="s">
        <v>251</v>
      </c>
      <c r="X375">
        <v>1.1415525114155251E-4</v>
      </c>
      <c r="Y375">
        <v>1.093901499142282E-4</v>
      </c>
      <c r="Z375" t="s">
        <v>1232</v>
      </c>
      <c r="AA375" t="s">
        <v>25</v>
      </c>
      <c r="AC375" t="s">
        <v>22</v>
      </c>
      <c r="AD375" t="s">
        <v>1232</v>
      </c>
      <c r="AE375">
        <v>1.0909523470063845E-4</v>
      </c>
      <c r="AG375" t="s">
        <v>99</v>
      </c>
      <c r="AH375" t="s">
        <v>1232</v>
      </c>
      <c r="AI375">
        <v>0</v>
      </c>
    </row>
    <row r="376" spans="5:35" x14ac:dyDescent="0.45">
      <c r="E376" t="s">
        <v>245</v>
      </c>
      <c r="G376" t="s">
        <v>152</v>
      </c>
      <c r="I376" t="s">
        <v>249</v>
      </c>
      <c r="J376" t="s">
        <v>1233</v>
      </c>
      <c r="K376">
        <v>0</v>
      </c>
      <c r="L376" t="s">
        <v>251</v>
      </c>
      <c r="N376" t="s">
        <v>419</v>
      </c>
      <c r="O376" t="s">
        <v>1233</v>
      </c>
      <c r="P376">
        <v>2.0243691014960001E-4</v>
      </c>
      <c r="Q376" t="s">
        <v>251</v>
      </c>
      <c r="S376" t="s">
        <v>420</v>
      </c>
      <c r="T376" t="s">
        <v>1233</v>
      </c>
      <c r="U376">
        <v>1.834541741121E-4</v>
      </c>
      <c r="V376" t="s">
        <v>251</v>
      </c>
      <c r="X376">
        <v>1.1415525114155251E-4</v>
      </c>
      <c r="Y376">
        <v>7.9556472664893237E-5</v>
      </c>
      <c r="Z376" t="s">
        <v>1233</v>
      </c>
      <c r="AA376" t="s">
        <v>25</v>
      </c>
      <c r="AC376" t="s">
        <v>22</v>
      </c>
      <c r="AD376" t="s">
        <v>1233</v>
      </c>
      <c r="AE376">
        <v>1.2190823230801619E-4</v>
      </c>
      <c r="AG376" t="s">
        <v>99</v>
      </c>
      <c r="AH376" t="s">
        <v>1233</v>
      </c>
      <c r="AI376">
        <v>0</v>
      </c>
    </row>
    <row r="377" spans="5:35" x14ac:dyDescent="0.45">
      <c r="E377" t="s">
        <v>246</v>
      </c>
      <c r="G377" t="s">
        <v>152</v>
      </c>
      <c r="I377" t="s">
        <v>249</v>
      </c>
      <c r="J377" t="s">
        <v>1234</v>
      </c>
      <c r="K377">
        <v>0</v>
      </c>
      <c r="L377" t="s">
        <v>251</v>
      </c>
      <c r="N377" t="s">
        <v>419</v>
      </c>
      <c r="O377" t="s">
        <v>1234</v>
      </c>
      <c r="P377">
        <v>2.077111464238E-4</v>
      </c>
      <c r="Q377" t="s">
        <v>251</v>
      </c>
      <c r="S377" t="s">
        <v>420</v>
      </c>
      <c r="T377" t="s">
        <v>1234</v>
      </c>
      <c r="U377">
        <v>1.8384360958560001E-4</v>
      </c>
      <c r="V377" t="s">
        <v>251</v>
      </c>
      <c r="X377">
        <v>1.1415525114155251E-4</v>
      </c>
      <c r="Y377">
        <v>5.6352501470966035E-5</v>
      </c>
      <c r="Z377" t="s">
        <v>1234</v>
      </c>
      <c r="AA377" t="s">
        <v>25</v>
      </c>
      <c r="AC377" t="s">
        <v>22</v>
      </c>
      <c r="AD377" t="s">
        <v>1234</v>
      </c>
      <c r="AE377">
        <v>1.3098633939943587E-4</v>
      </c>
      <c r="AG377" t="s">
        <v>99</v>
      </c>
      <c r="AH377" t="s">
        <v>1234</v>
      </c>
      <c r="AI377">
        <v>0</v>
      </c>
    </row>
    <row r="378" spans="5:35" x14ac:dyDescent="0.45">
      <c r="E378" t="s">
        <v>247</v>
      </c>
      <c r="G378" t="s">
        <v>152</v>
      </c>
      <c r="I378" t="s">
        <v>249</v>
      </c>
      <c r="J378" t="s">
        <v>1235</v>
      </c>
      <c r="K378">
        <v>0</v>
      </c>
      <c r="L378" t="s">
        <v>251</v>
      </c>
      <c r="N378" t="s">
        <v>419</v>
      </c>
      <c r="O378" t="s">
        <v>1235</v>
      </c>
      <c r="P378">
        <v>2.1030176522579999E-4</v>
      </c>
      <c r="Q378" t="s">
        <v>251</v>
      </c>
      <c r="S378" t="s">
        <v>420</v>
      </c>
      <c r="T378" t="s">
        <v>1235</v>
      </c>
      <c r="U378">
        <v>1.84443100233E-4</v>
      </c>
      <c r="V378" t="s">
        <v>251</v>
      </c>
      <c r="X378">
        <v>1.1415525114155251E-4</v>
      </c>
      <c r="Y378">
        <v>2.9833677249334962E-5</v>
      </c>
      <c r="Z378" t="s">
        <v>1235</v>
      </c>
      <c r="AA378" t="s">
        <v>25</v>
      </c>
      <c r="AC378" t="s">
        <v>22</v>
      </c>
      <c r="AD378" t="s">
        <v>1235</v>
      </c>
      <c r="AE378">
        <v>1.3171306450780409E-4</v>
      </c>
      <c r="AG378" t="s">
        <v>99</v>
      </c>
      <c r="AH378" t="s">
        <v>1235</v>
      </c>
      <c r="AI378">
        <v>0</v>
      </c>
    </row>
    <row r="379" spans="5:35" x14ac:dyDescent="0.45">
      <c r="I379" t="s">
        <v>249</v>
      </c>
      <c r="J379" t="s">
        <v>1236</v>
      </c>
      <c r="K379">
        <v>0</v>
      </c>
      <c r="L379" t="s">
        <v>251</v>
      </c>
      <c r="N379" t="s">
        <v>419</v>
      </c>
      <c r="O379" t="s">
        <v>1236</v>
      </c>
      <c r="P379">
        <v>1.4099298543840001E-4</v>
      </c>
      <c r="Q379" t="s">
        <v>251</v>
      </c>
      <c r="S379" t="s">
        <v>420</v>
      </c>
      <c r="T379" t="s">
        <v>1236</v>
      </c>
      <c r="U379">
        <v>1.081220446152E-4</v>
      </c>
      <c r="V379" t="s">
        <v>251</v>
      </c>
      <c r="X379">
        <v>1.1415525114155251E-4</v>
      </c>
      <c r="Y379">
        <v>2.1546544680075254E-5</v>
      </c>
      <c r="Z379" t="s">
        <v>1236</v>
      </c>
      <c r="AA379" t="s">
        <v>25</v>
      </c>
      <c r="AC379" t="s">
        <v>22</v>
      </c>
      <c r="AD379" t="s">
        <v>1236</v>
      </c>
      <c r="AE379">
        <v>1.0533056036876364E-4</v>
      </c>
      <c r="AG379" t="s">
        <v>99</v>
      </c>
      <c r="AH379" t="s">
        <v>1236</v>
      </c>
      <c r="AI379">
        <v>0</v>
      </c>
    </row>
    <row r="380" spans="5:35" x14ac:dyDescent="0.45">
      <c r="I380" t="s">
        <v>249</v>
      </c>
      <c r="J380" t="s">
        <v>1237</v>
      </c>
      <c r="K380">
        <v>0</v>
      </c>
      <c r="L380" t="s">
        <v>251</v>
      </c>
      <c r="N380" t="s">
        <v>419</v>
      </c>
      <c r="O380" t="s">
        <v>1237</v>
      </c>
      <c r="P380">
        <v>1.4397250883930001E-4</v>
      </c>
      <c r="Q380" t="s">
        <v>251</v>
      </c>
      <c r="S380" t="s">
        <v>420</v>
      </c>
      <c r="T380" t="s">
        <v>1237</v>
      </c>
      <c r="U380">
        <v>1.10720756099E-4</v>
      </c>
      <c r="V380" t="s">
        <v>251</v>
      </c>
      <c r="X380">
        <v>1.1415525114155251E-4</v>
      </c>
      <c r="Y380">
        <v>1.4916838624667481E-5</v>
      </c>
      <c r="Z380" t="s">
        <v>1237</v>
      </c>
      <c r="AA380" t="s">
        <v>25</v>
      </c>
      <c r="AC380" t="s">
        <v>22</v>
      </c>
      <c r="AD380" t="s">
        <v>1237</v>
      </c>
      <c r="AE380">
        <v>1.0430004033804474E-4</v>
      </c>
      <c r="AG380" t="s">
        <v>99</v>
      </c>
      <c r="AH380" t="s">
        <v>1237</v>
      </c>
      <c r="AI380">
        <v>0</v>
      </c>
    </row>
    <row r="381" spans="5:35" x14ac:dyDescent="0.45">
      <c r="I381" t="s">
        <v>249</v>
      </c>
      <c r="J381" t="s">
        <v>1238</v>
      </c>
      <c r="K381">
        <v>0</v>
      </c>
      <c r="L381" t="s">
        <v>251</v>
      </c>
      <c r="N381" t="s">
        <v>419</v>
      </c>
      <c r="O381" t="s">
        <v>1238</v>
      </c>
      <c r="P381">
        <v>1.509188721365E-4</v>
      </c>
      <c r="Q381" t="s">
        <v>251</v>
      </c>
      <c r="S381" t="s">
        <v>420</v>
      </c>
      <c r="T381" t="s">
        <v>1238</v>
      </c>
      <c r="U381">
        <v>1.121113158765E-4</v>
      </c>
      <c r="V381" t="s">
        <v>251</v>
      </c>
      <c r="X381">
        <v>1.1415525114155251E-4</v>
      </c>
      <c r="Y381">
        <v>1.6574265138519424E-5</v>
      </c>
      <c r="Z381" t="s">
        <v>1238</v>
      </c>
      <c r="AA381" t="s">
        <v>25</v>
      </c>
      <c r="AC381" t="s">
        <v>22</v>
      </c>
      <c r="AD381" t="s">
        <v>1238</v>
      </c>
      <c r="AE381">
        <v>1.0430004033804474E-4</v>
      </c>
      <c r="AG381" t="s">
        <v>99</v>
      </c>
      <c r="AH381" t="s">
        <v>1238</v>
      </c>
      <c r="AI381">
        <v>0</v>
      </c>
    </row>
    <row r="382" spans="5:35" x14ac:dyDescent="0.45">
      <c r="I382" t="s">
        <v>249</v>
      </c>
      <c r="J382" t="s">
        <v>1239</v>
      </c>
      <c r="K382">
        <v>0</v>
      </c>
      <c r="L382" t="s">
        <v>251</v>
      </c>
      <c r="N382" t="s">
        <v>419</v>
      </c>
      <c r="O382" t="s">
        <v>1239</v>
      </c>
      <c r="P382">
        <v>1.6503653625029999E-4</v>
      </c>
      <c r="Q382" t="s">
        <v>251</v>
      </c>
      <c r="S382" t="s">
        <v>420</v>
      </c>
      <c r="T382" t="s">
        <v>1239</v>
      </c>
      <c r="U382">
        <v>1.1383898844499999E-4</v>
      </c>
      <c r="V382" t="s">
        <v>251</v>
      </c>
      <c r="X382">
        <v>1.1415525114155251E-4</v>
      </c>
      <c r="Y382">
        <v>1.4585353321897093E-5</v>
      </c>
      <c r="Z382" t="s">
        <v>1239</v>
      </c>
      <c r="AA382" t="s">
        <v>25</v>
      </c>
      <c r="AC382" t="s">
        <v>22</v>
      </c>
      <c r="AD382" t="s">
        <v>1239</v>
      </c>
      <c r="AE382">
        <v>1.0367458020379336E-4</v>
      </c>
      <c r="AG382" t="s">
        <v>99</v>
      </c>
      <c r="AH382" t="s">
        <v>1239</v>
      </c>
      <c r="AI382">
        <v>0</v>
      </c>
    </row>
    <row r="383" spans="5:35" x14ac:dyDescent="0.45">
      <c r="I383" t="s">
        <v>249</v>
      </c>
      <c r="J383" t="s">
        <v>1240</v>
      </c>
      <c r="K383">
        <v>0</v>
      </c>
      <c r="L383" t="s">
        <v>251</v>
      </c>
      <c r="N383" t="s">
        <v>419</v>
      </c>
      <c r="O383" t="s">
        <v>1240</v>
      </c>
      <c r="P383">
        <v>1.7606747495009999E-4</v>
      </c>
      <c r="Q383" t="s">
        <v>251</v>
      </c>
      <c r="S383" t="s">
        <v>420</v>
      </c>
      <c r="T383" t="s">
        <v>1240</v>
      </c>
      <c r="U383">
        <v>1.198622339461E-4</v>
      </c>
      <c r="V383" t="s">
        <v>251</v>
      </c>
      <c r="X383">
        <v>1.1415525114155251E-4</v>
      </c>
      <c r="Y383">
        <v>2.1215059377304864E-5</v>
      </c>
      <c r="Z383" t="s">
        <v>1240</v>
      </c>
      <c r="AA383" t="s">
        <v>25</v>
      </c>
      <c r="AC383" t="s">
        <v>22</v>
      </c>
      <c r="AD383" t="s">
        <v>1240</v>
      </c>
      <c r="AE383">
        <v>1.0439534854897827E-4</v>
      </c>
      <c r="AG383" t="s">
        <v>99</v>
      </c>
      <c r="AH383" t="s">
        <v>1240</v>
      </c>
      <c r="AI383">
        <v>0</v>
      </c>
    </row>
    <row r="384" spans="5:35" x14ac:dyDescent="0.45">
      <c r="I384" t="s">
        <v>249</v>
      </c>
      <c r="J384" t="s">
        <v>1241</v>
      </c>
      <c r="K384">
        <v>0</v>
      </c>
      <c r="L384" t="s">
        <v>251</v>
      </c>
      <c r="N384" t="s">
        <v>419</v>
      </c>
      <c r="O384" t="s">
        <v>1241</v>
      </c>
      <c r="P384">
        <v>2.005025477999E-4</v>
      </c>
      <c r="Q384" t="s">
        <v>251</v>
      </c>
      <c r="S384" t="s">
        <v>420</v>
      </c>
      <c r="T384" t="s">
        <v>1241</v>
      </c>
      <c r="U384">
        <v>1.3104223335399999E-4</v>
      </c>
      <c r="V384" t="s">
        <v>251</v>
      </c>
      <c r="X384">
        <v>1.1415525114155251E-4</v>
      </c>
      <c r="Y384">
        <v>5.7678442682047593E-5</v>
      </c>
      <c r="Z384" t="s">
        <v>1241</v>
      </c>
      <c r="AA384" t="s">
        <v>25</v>
      </c>
      <c r="AC384" t="s">
        <v>22</v>
      </c>
      <c r="AD384" t="s">
        <v>1241</v>
      </c>
      <c r="AE384">
        <v>1.0550926326426401E-4</v>
      </c>
      <c r="AG384" t="s">
        <v>99</v>
      </c>
      <c r="AH384" t="s">
        <v>1241</v>
      </c>
      <c r="AI384">
        <v>0</v>
      </c>
    </row>
    <row r="385" spans="9:35" x14ac:dyDescent="0.45">
      <c r="I385" t="s">
        <v>249</v>
      </c>
      <c r="J385" t="s">
        <v>1242</v>
      </c>
      <c r="K385">
        <v>8.1652005966351203E-5</v>
      </c>
      <c r="L385" t="s">
        <v>251</v>
      </c>
      <c r="N385" t="s">
        <v>419</v>
      </c>
      <c r="O385" t="s">
        <v>1242</v>
      </c>
      <c r="P385">
        <v>2.2644012320629999E-4</v>
      </c>
      <c r="Q385" t="s">
        <v>251</v>
      </c>
      <c r="S385" t="s">
        <v>420</v>
      </c>
      <c r="T385" t="s">
        <v>1242</v>
      </c>
      <c r="U385">
        <v>1.437203884628E-4</v>
      </c>
      <c r="V385" t="s">
        <v>251</v>
      </c>
      <c r="X385">
        <v>1.1415525114155251E-4</v>
      </c>
      <c r="Y385">
        <v>1.6905750441289813E-4</v>
      </c>
      <c r="Z385" t="s">
        <v>1242</v>
      </c>
      <c r="AA385" t="s">
        <v>25</v>
      </c>
      <c r="AC385" t="s">
        <v>22</v>
      </c>
      <c r="AD385" t="s">
        <v>1242</v>
      </c>
      <c r="AE385">
        <v>1.072069407715177E-4</v>
      </c>
      <c r="AG385" t="s">
        <v>99</v>
      </c>
      <c r="AH385" t="s">
        <v>1242</v>
      </c>
      <c r="AI385">
        <v>0</v>
      </c>
    </row>
    <row r="386" spans="9:35" x14ac:dyDescent="0.45">
      <c r="I386" t="s">
        <v>249</v>
      </c>
      <c r="J386" t="s">
        <v>1243</v>
      </c>
      <c r="K386">
        <v>2.171968715536E-4</v>
      </c>
      <c r="L386" t="s">
        <v>251</v>
      </c>
      <c r="N386" t="s">
        <v>419</v>
      </c>
      <c r="O386" t="s">
        <v>1243</v>
      </c>
      <c r="P386">
        <v>2.4429541562860001E-4</v>
      </c>
      <c r="Q386" t="s">
        <v>251</v>
      </c>
      <c r="S386" t="s">
        <v>420</v>
      </c>
      <c r="T386" t="s">
        <v>1243</v>
      </c>
      <c r="U386">
        <v>1.6070129938469999E-4</v>
      </c>
      <c r="V386" t="s">
        <v>251</v>
      </c>
      <c r="X386">
        <v>1.1415525114155251E-4</v>
      </c>
      <c r="Y386">
        <v>1.9060404909297337E-4</v>
      </c>
      <c r="Z386" t="s">
        <v>1243</v>
      </c>
      <c r="AA386" t="s">
        <v>25</v>
      </c>
      <c r="AC386" t="s">
        <v>22</v>
      </c>
      <c r="AD386" t="s">
        <v>1243</v>
      </c>
      <c r="AE386">
        <v>1.0983387333537337E-4</v>
      </c>
      <c r="AG386" t="s">
        <v>99</v>
      </c>
      <c r="AH386" t="s">
        <v>1243</v>
      </c>
      <c r="AI386">
        <v>0</v>
      </c>
    </row>
    <row r="387" spans="9:35" x14ac:dyDescent="0.45">
      <c r="I387" t="s">
        <v>249</v>
      </c>
      <c r="J387" t="s">
        <v>1244</v>
      </c>
      <c r="K387">
        <v>2.7951037670679999E-4</v>
      </c>
      <c r="L387" t="s">
        <v>251</v>
      </c>
      <c r="N387" t="s">
        <v>419</v>
      </c>
      <c r="O387" t="s">
        <v>1244</v>
      </c>
      <c r="P387">
        <v>2.460835552649E-4</v>
      </c>
      <c r="Q387" t="s">
        <v>251</v>
      </c>
      <c r="S387" t="s">
        <v>420</v>
      </c>
      <c r="T387" t="s">
        <v>1244</v>
      </c>
      <c r="U387">
        <v>1.7202787921530001E-4</v>
      </c>
      <c r="V387" t="s">
        <v>251</v>
      </c>
      <c r="X387">
        <v>1.1415525114155251E-4</v>
      </c>
      <c r="Y387">
        <v>1.4585353321897094E-4</v>
      </c>
      <c r="Z387" t="s">
        <v>1244</v>
      </c>
      <c r="AA387" t="s">
        <v>25</v>
      </c>
      <c r="AC387" t="s">
        <v>22</v>
      </c>
      <c r="AD387" t="s">
        <v>1244</v>
      </c>
      <c r="AE387">
        <v>1.1030445762685773E-4</v>
      </c>
      <c r="AG387" t="s">
        <v>99</v>
      </c>
      <c r="AH387" t="s">
        <v>1244</v>
      </c>
      <c r="AI387">
        <v>0</v>
      </c>
    </row>
    <row r="388" spans="9:35" x14ac:dyDescent="0.45">
      <c r="I388" t="s">
        <v>249</v>
      </c>
      <c r="J388" t="s">
        <v>1245</v>
      </c>
      <c r="K388">
        <v>3.0871138691539998E-4</v>
      </c>
      <c r="L388" t="s">
        <v>251</v>
      </c>
      <c r="N388" t="s">
        <v>419</v>
      </c>
      <c r="O388" t="s">
        <v>1245</v>
      </c>
      <c r="P388">
        <v>2.384656385136E-4</v>
      </c>
      <c r="Q388" t="s">
        <v>251</v>
      </c>
      <c r="S388" t="s">
        <v>420</v>
      </c>
      <c r="T388" t="s">
        <v>1245</v>
      </c>
      <c r="U388">
        <v>1.8041760787399999E-4</v>
      </c>
      <c r="V388" t="s">
        <v>251</v>
      </c>
      <c r="X388">
        <v>1.1415525114155251E-4</v>
      </c>
      <c r="Y388">
        <v>1.4452759200788939E-4</v>
      </c>
      <c r="Z388" t="s">
        <v>1245</v>
      </c>
      <c r="AA388" t="s">
        <v>25</v>
      </c>
      <c r="AC388" t="s">
        <v>22</v>
      </c>
      <c r="AD388" t="s">
        <v>1245</v>
      </c>
      <c r="AE388">
        <v>1.1004831680997384E-4</v>
      </c>
      <c r="AG388" t="s">
        <v>99</v>
      </c>
      <c r="AH388" t="s">
        <v>1245</v>
      </c>
      <c r="AI388">
        <v>0</v>
      </c>
    </row>
    <row r="389" spans="9:35" x14ac:dyDescent="0.45">
      <c r="I389" t="s">
        <v>249</v>
      </c>
      <c r="J389" t="s">
        <v>1246</v>
      </c>
      <c r="K389">
        <v>3.2389124689379998E-4</v>
      </c>
      <c r="L389" t="s">
        <v>251</v>
      </c>
      <c r="N389" t="s">
        <v>419</v>
      </c>
      <c r="O389" t="s">
        <v>1246</v>
      </c>
      <c r="P389">
        <v>2.3562968530330001E-4</v>
      </c>
      <c r="Q389" t="s">
        <v>251</v>
      </c>
      <c r="S389" t="s">
        <v>420</v>
      </c>
      <c r="T389" t="s">
        <v>1246</v>
      </c>
      <c r="U389">
        <v>1.856438757595E-4</v>
      </c>
      <c r="V389" t="s">
        <v>251</v>
      </c>
      <c r="X389">
        <v>1.1415525114155251E-4</v>
      </c>
      <c r="Y389">
        <v>1.408812536774151E-4</v>
      </c>
      <c r="Z389" t="s">
        <v>1246</v>
      </c>
      <c r="AA389" t="s">
        <v>25</v>
      </c>
      <c r="AC389" t="s">
        <v>22</v>
      </c>
      <c r="AD389" t="s">
        <v>1246</v>
      </c>
      <c r="AE389">
        <v>1.0790983882715254E-4</v>
      </c>
      <c r="AG389" t="s">
        <v>99</v>
      </c>
      <c r="AH389" t="s">
        <v>1246</v>
      </c>
      <c r="AI389">
        <v>0</v>
      </c>
    </row>
    <row r="390" spans="9:35" x14ac:dyDescent="0.45">
      <c r="I390" t="s">
        <v>249</v>
      </c>
      <c r="J390" t="s">
        <v>1247</v>
      </c>
      <c r="K390">
        <v>3.346751393607E-4</v>
      </c>
      <c r="L390" t="s">
        <v>251</v>
      </c>
      <c r="N390" t="s">
        <v>419</v>
      </c>
      <c r="O390" t="s">
        <v>1247</v>
      </c>
      <c r="P390">
        <v>2.322790825418E-4</v>
      </c>
      <c r="Q390" t="s">
        <v>251</v>
      </c>
      <c r="S390" t="s">
        <v>420</v>
      </c>
      <c r="T390" t="s">
        <v>1247</v>
      </c>
      <c r="U390">
        <v>1.8613201272310001E-4</v>
      </c>
      <c r="V390" t="s">
        <v>251</v>
      </c>
      <c r="X390">
        <v>1.1415525114155251E-4</v>
      </c>
      <c r="Y390">
        <v>1.4054976837464471E-4</v>
      </c>
      <c r="Z390" t="s">
        <v>1247</v>
      </c>
      <c r="AA390" t="s">
        <v>25</v>
      </c>
      <c r="AC390" t="s">
        <v>22</v>
      </c>
      <c r="AD390" t="s">
        <v>1247</v>
      </c>
      <c r="AE390">
        <v>1.0572370673886448E-4</v>
      </c>
      <c r="AG390" t="s">
        <v>99</v>
      </c>
      <c r="AH390" t="s">
        <v>1247</v>
      </c>
      <c r="AI390">
        <v>0</v>
      </c>
    </row>
    <row r="391" spans="9:35" x14ac:dyDescent="0.45">
      <c r="I391" t="s">
        <v>249</v>
      </c>
      <c r="J391" t="s">
        <v>1248</v>
      </c>
      <c r="K391">
        <v>3.4430263471560001E-4</v>
      </c>
      <c r="L391" t="s">
        <v>251</v>
      </c>
      <c r="N391" t="s">
        <v>419</v>
      </c>
      <c r="O391" t="s">
        <v>1248</v>
      </c>
      <c r="P391">
        <v>2.247159668606E-4</v>
      </c>
      <c r="Q391" t="s">
        <v>251</v>
      </c>
      <c r="S391" t="s">
        <v>420</v>
      </c>
      <c r="T391" t="s">
        <v>1248</v>
      </c>
      <c r="U391">
        <v>1.863571272756E-4</v>
      </c>
      <c r="V391" t="s">
        <v>251</v>
      </c>
      <c r="X391">
        <v>1.1415525114155251E-4</v>
      </c>
      <c r="Y391">
        <v>1.4253868019126702E-4</v>
      </c>
      <c r="Z391" t="s">
        <v>1248</v>
      </c>
      <c r="AA391" t="s">
        <v>25</v>
      </c>
      <c r="AC391" t="s">
        <v>22</v>
      </c>
      <c r="AD391" t="s">
        <v>1248</v>
      </c>
      <c r="AE391">
        <v>1.0036261987385286E-4</v>
      </c>
      <c r="AG391" t="s">
        <v>99</v>
      </c>
      <c r="AH391" t="s">
        <v>1248</v>
      </c>
      <c r="AI391">
        <v>0</v>
      </c>
    </row>
    <row r="392" spans="9:35" x14ac:dyDescent="0.45">
      <c r="I392" t="s">
        <v>249</v>
      </c>
      <c r="J392" t="s">
        <v>1249</v>
      </c>
      <c r="K392">
        <v>3.3414338985870003E-4</v>
      </c>
      <c r="L392" t="s">
        <v>251</v>
      </c>
      <c r="N392" t="s">
        <v>419</v>
      </c>
      <c r="O392" t="s">
        <v>1249</v>
      </c>
      <c r="P392">
        <v>2.189474446973E-4</v>
      </c>
      <c r="Q392" t="s">
        <v>251</v>
      </c>
      <c r="S392" t="s">
        <v>420</v>
      </c>
      <c r="T392" t="s">
        <v>1249</v>
      </c>
      <c r="U392">
        <v>1.870020359463E-4</v>
      </c>
      <c r="V392" t="s">
        <v>251</v>
      </c>
      <c r="X392">
        <v>1.1415525114155251E-4</v>
      </c>
      <c r="Y392">
        <v>1.4883690094390442E-4</v>
      </c>
      <c r="Z392" t="s">
        <v>1249</v>
      </c>
      <c r="AA392" t="s">
        <v>25</v>
      </c>
      <c r="AC392" t="s">
        <v>22</v>
      </c>
      <c r="AD392" t="s">
        <v>1249</v>
      </c>
      <c r="AE392">
        <v>9.6967264859345524E-5</v>
      </c>
      <c r="AG392" t="s">
        <v>99</v>
      </c>
      <c r="AH392" t="s">
        <v>1249</v>
      </c>
      <c r="AI392">
        <v>0</v>
      </c>
    </row>
    <row r="393" spans="9:35" x14ac:dyDescent="0.45">
      <c r="I393" t="s">
        <v>249</v>
      </c>
      <c r="J393" t="s">
        <v>1250</v>
      </c>
      <c r="K393">
        <v>3.2116705817429998E-4</v>
      </c>
      <c r="L393" t="s">
        <v>251</v>
      </c>
      <c r="N393" t="s">
        <v>419</v>
      </c>
      <c r="O393" t="s">
        <v>1250</v>
      </c>
      <c r="P393">
        <v>2.151555413088E-4</v>
      </c>
      <c r="Q393" t="s">
        <v>251</v>
      </c>
      <c r="S393" t="s">
        <v>420</v>
      </c>
      <c r="T393" t="s">
        <v>1250</v>
      </c>
      <c r="U393">
        <v>1.8724995346649999E-4</v>
      </c>
      <c r="V393" t="s">
        <v>251</v>
      </c>
      <c r="X393">
        <v>1.1415525114155251E-4</v>
      </c>
      <c r="Y393">
        <v>1.5049432745775637E-4</v>
      </c>
      <c r="Z393" t="s">
        <v>1250</v>
      </c>
      <c r="AA393" t="s">
        <v>25</v>
      </c>
      <c r="AC393" t="s">
        <v>22</v>
      </c>
      <c r="AD393" t="s">
        <v>1250</v>
      </c>
      <c r="AE393">
        <v>8.7936811873392631E-5</v>
      </c>
      <c r="AG393" t="s">
        <v>99</v>
      </c>
      <c r="AH393" t="s">
        <v>1250</v>
      </c>
      <c r="AI393">
        <v>0</v>
      </c>
    </row>
    <row r="394" spans="9:35" x14ac:dyDescent="0.45">
      <c r="I394" t="s">
        <v>249</v>
      </c>
      <c r="J394" t="s">
        <v>1251</v>
      </c>
      <c r="K394">
        <v>3.0890748012410001E-4</v>
      </c>
      <c r="L394" t="s">
        <v>251</v>
      </c>
      <c r="N394" t="s">
        <v>419</v>
      </c>
      <c r="O394" t="s">
        <v>1251</v>
      </c>
      <c r="P394">
        <v>2.1648374275700001E-4</v>
      </c>
      <c r="Q394" t="s">
        <v>251</v>
      </c>
      <c r="S394" t="s">
        <v>420</v>
      </c>
      <c r="T394" t="s">
        <v>1251</v>
      </c>
      <c r="U394">
        <v>1.8724729559369999E-4</v>
      </c>
      <c r="V394" t="s">
        <v>251</v>
      </c>
      <c r="X394">
        <v>1.1415525114155251E-4</v>
      </c>
      <c r="Y394">
        <v>1.7237235744060203E-4</v>
      </c>
      <c r="Z394" t="s">
        <v>1251</v>
      </c>
      <c r="AA394" t="s">
        <v>25</v>
      </c>
      <c r="AC394" t="s">
        <v>22</v>
      </c>
      <c r="AD394" t="s">
        <v>1251</v>
      </c>
      <c r="AE394">
        <v>8.4011304935567471E-5</v>
      </c>
      <c r="AG394" t="s">
        <v>99</v>
      </c>
      <c r="AH394" t="s">
        <v>1251</v>
      </c>
      <c r="AI394">
        <v>0</v>
      </c>
    </row>
    <row r="395" spans="9:35" x14ac:dyDescent="0.45">
      <c r="I395" t="s">
        <v>249</v>
      </c>
      <c r="J395" t="s">
        <v>1252</v>
      </c>
      <c r="K395">
        <v>2.86474908637E-4</v>
      </c>
      <c r="L395" t="s">
        <v>251</v>
      </c>
      <c r="N395" t="s">
        <v>419</v>
      </c>
      <c r="O395" t="s">
        <v>1252</v>
      </c>
      <c r="P395">
        <v>2.1756188212749999E-4</v>
      </c>
      <c r="Q395" t="s">
        <v>251</v>
      </c>
      <c r="S395" t="s">
        <v>420</v>
      </c>
      <c r="T395" t="s">
        <v>1252</v>
      </c>
      <c r="U395">
        <v>1.8699727428420001E-4</v>
      </c>
      <c r="V395" t="s">
        <v>251</v>
      </c>
      <c r="X395">
        <v>1.1415525114155251E-4</v>
      </c>
      <c r="Y395">
        <v>2.2209515285616027E-4</v>
      </c>
      <c r="Z395" t="s">
        <v>1252</v>
      </c>
      <c r="AA395" t="s">
        <v>25</v>
      </c>
      <c r="AC395" t="s">
        <v>22</v>
      </c>
      <c r="AD395" t="s">
        <v>1252</v>
      </c>
      <c r="AE395">
        <v>7.9883268049508527E-5</v>
      </c>
      <c r="AG395" t="s">
        <v>99</v>
      </c>
      <c r="AH395" t="s">
        <v>1252</v>
      </c>
      <c r="AI395">
        <v>0</v>
      </c>
    </row>
    <row r="396" spans="9:35" x14ac:dyDescent="0.45">
      <c r="I396" t="s">
        <v>249</v>
      </c>
      <c r="J396" t="s">
        <v>1253</v>
      </c>
      <c r="K396">
        <v>2.3589489261489999E-4</v>
      </c>
      <c r="L396" t="s">
        <v>251</v>
      </c>
      <c r="N396" t="s">
        <v>419</v>
      </c>
      <c r="O396" t="s">
        <v>1253</v>
      </c>
      <c r="P396">
        <v>2.2048764370530001E-4</v>
      </c>
      <c r="Q396" t="s">
        <v>251</v>
      </c>
      <c r="S396" t="s">
        <v>420</v>
      </c>
      <c r="T396" t="s">
        <v>1253</v>
      </c>
      <c r="U396">
        <v>1.8709150004079999E-4</v>
      </c>
      <c r="V396" t="s">
        <v>251</v>
      </c>
      <c r="X396">
        <v>1.1415525114155251E-4</v>
      </c>
      <c r="Y396">
        <v>2.2209515285616027E-4</v>
      </c>
      <c r="Z396" t="s">
        <v>1253</v>
      </c>
      <c r="AA396" t="s">
        <v>25</v>
      </c>
      <c r="AC396" t="s">
        <v>22</v>
      </c>
      <c r="AD396" t="s">
        <v>1253</v>
      </c>
      <c r="AE396">
        <v>8.0592122868326723E-5</v>
      </c>
      <c r="AG396" t="s">
        <v>99</v>
      </c>
      <c r="AH396" t="s">
        <v>1253</v>
      </c>
      <c r="AI396">
        <v>0</v>
      </c>
    </row>
    <row r="397" spans="9:35" x14ac:dyDescent="0.45">
      <c r="I397" t="s">
        <v>249</v>
      </c>
      <c r="J397" t="s">
        <v>1254</v>
      </c>
      <c r="K397">
        <v>1.181687901451E-4</v>
      </c>
      <c r="L397" t="s">
        <v>251</v>
      </c>
      <c r="N397" t="s">
        <v>419</v>
      </c>
      <c r="O397" t="s">
        <v>1254</v>
      </c>
      <c r="P397">
        <v>2.1354363161769999E-4</v>
      </c>
      <c r="Q397" t="s">
        <v>251</v>
      </c>
      <c r="S397" t="s">
        <v>420</v>
      </c>
      <c r="T397" t="s">
        <v>1254</v>
      </c>
      <c r="U397">
        <v>1.869810129056E-4</v>
      </c>
      <c r="V397" t="s">
        <v>251</v>
      </c>
      <c r="X397">
        <v>1.1415525114155251E-4</v>
      </c>
      <c r="Y397">
        <v>1.7237235744060203E-4</v>
      </c>
      <c r="Z397" t="s">
        <v>1254</v>
      </c>
      <c r="AA397" t="s">
        <v>25</v>
      </c>
      <c r="AC397" t="s">
        <v>22</v>
      </c>
      <c r="AD397" t="s">
        <v>1254</v>
      </c>
      <c r="AE397">
        <v>8.1533291451295437E-5</v>
      </c>
      <c r="AG397" t="s">
        <v>99</v>
      </c>
      <c r="AH397" t="s">
        <v>1254</v>
      </c>
      <c r="AI397">
        <v>0</v>
      </c>
    </row>
    <row r="398" spans="9:35" x14ac:dyDescent="0.45">
      <c r="I398" t="s">
        <v>249</v>
      </c>
      <c r="J398" t="s">
        <v>1255</v>
      </c>
      <c r="K398">
        <v>0</v>
      </c>
      <c r="L398" t="s">
        <v>251</v>
      </c>
      <c r="N398" t="s">
        <v>419</v>
      </c>
      <c r="O398" t="s">
        <v>1255</v>
      </c>
      <c r="P398">
        <v>2.1908061626389999E-4</v>
      </c>
      <c r="Q398" t="s">
        <v>251</v>
      </c>
      <c r="S398" t="s">
        <v>420</v>
      </c>
      <c r="T398" t="s">
        <v>1255</v>
      </c>
      <c r="U398">
        <v>1.8691511308350001E-4</v>
      </c>
      <c r="V398" t="s">
        <v>251</v>
      </c>
      <c r="X398">
        <v>1.1415525114155251E-4</v>
      </c>
      <c r="Y398">
        <v>1.5579809230208258E-4</v>
      </c>
      <c r="Z398" t="s">
        <v>1255</v>
      </c>
      <c r="AA398" t="s">
        <v>25</v>
      </c>
      <c r="AC398" t="s">
        <v>22</v>
      </c>
      <c r="AD398" t="s">
        <v>1255</v>
      </c>
      <c r="AE398">
        <v>9.3375336659787741E-5</v>
      </c>
      <c r="AG398" t="s">
        <v>99</v>
      </c>
      <c r="AH398" t="s">
        <v>1255</v>
      </c>
      <c r="AI398">
        <v>0</v>
      </c>
    </row>
    <row r="399" spans="9:35" x14ac:dyDescent="0.45">
      <c r="I399" t="s">
        <v>249</v>
      </c>
      <c r="J399" t="s">
        <v>1256</v>
      </c>
      <c r="K399">
        <v>0</v>
      </c>
      <c r="L399" t="s">
        <v>251</v>
      </c>
      <c r="N399" t="s">
        <v>419</v>
      </c>
      <c r="O399" t="s">
        <v>1256</v>
      </c>
      <c r="P399">
        <v>2.2657908994560001E-4</v>
      </c>
      <c r="Q399" t="s">
        <v>251</v>
      </c>
      <c r="S399" t="s">
        <v>420</v>
      </c>
      <c r="T399" t="s">
        <v>1256</v>
      </c>
      <c r="U399">
        <v>1.8658992411499999E-4</v>
      </c>
      <c r="V399" t="s">
        <v>251</v>
      </c>
      <c r="X399">
        <v>1.1415525114155251E-4</v>
      </c>
      <c r="Y399">
        <v>1.093901499142282E-4</v>
      </c>
      <c r="Z399" t="s">
        <v>1256</v>
      </c>
      <c r="AA399" t="s">
        <v>25</v>
      </c>
      <c r="AC399" t="s">
        <v>22</v>
      </c>
      <c r="AD399" t="s">
        <v>1256</v>
      </c>
      <c r="AE399">
        <v>1.0909523470063845E-4</v>
      </c>
      <c r="AG399" t="s">
        <v>99</v>
      </c>
      <c r="AH399" t="s">
        <v>1256</v>
      </c>
      <c r="AI399">
        <v>0</v>
      </c>
    </row>
    <row r="400" spans="9:35" x14ac:dyDescent="0.45">
      <c r="I400" t="s">
        <v>249</v>
      </c>
      <c r="J400" t="s">
        <v>1257</v>
      </c>
      <c r="K400">
        <v>0</v>
      </c>
      <c r="L400" t="s">
        <v>251</v>
      </c>
      <c r="N400" t="s">
        <v>419</v>
      </c>
      <c r="O400" t="s">
        <v>1257</v>
      </c>
      <c r="P400">
        <v>2.3011478752580001E-4</v>
      </c>
      <c r="Q400" t="s">
        <v>251</v>
      </c>
      <c r="S400" t="s">
        <v>420</v>
      </c>
      <c r="T400" t="s">
        <v>1257</v>
      </c>
      <c r="U400">
        <v>1.8569261607319999E-4</v>
      </c>
      <c r="V400" t="s">
        <v>251</v>
      </c>
      <c r="X400">
        <v>1.1415525114155251E-4</v>
      </c>
      <c r="Y400">
        <v>7.9556472664893237E-5</v>
      </c>
      <c r="Z400" t="s">
        <v>1257</v>
      </c>
      <c r="AA400" t="s">
        <v>25</v>
      </c>
      <c r="AC400" t="s">
        <v>22</v>
      </c>
      <c r="AD400" t="s">
        <v>1257</v>
      </c>
      <c r="AE400">
        <v>1.2190823230801619E-4</v>
      </c>
      <c r="AG400" t="s">
        <v>99</v>
      </c>
      <c r="AH400" t="s">
        <v>1257</v>
      </c>
      <c r="AI400">
        <v>0</v>
      </c>
    </row>
    <row r="401" spans="9:35" x14ac:dyDescent="0.45">
      <c r="I401" t="s">
        <v>249</v>
      </c>
      <c r="J401" t="s">
        <v>1258</v>
      </c>
      <c r="K401">
        <v>0</v>
      </c>
      <c r="L401" t="s">
        <v>251</v>
      </c>
      <c r="N401" t="s">
        <v>419</v>
      </c>
      <c r="O401" t="s">
        <v>1258</v>
      </c>
      <c r="P401">
        <v>2.280804991661E-4</v>
      </c>
      <c r="Q401" t="s">
        <v>251</v>
      </c>
      <c r="S401" t="s">
        <v>420</v>
      </c>
      <c r="T401" t="s">
        <v>1258</v>
      </c>
      <c r="U401">
        <v>1.8516376592960001E-4</v>
      </c>
      <c r="V401" t="s">
        <v>251</v>
      </c>
      <c r="X401">
        <v>1.1415525114155251E-4</v>
      </c>
      <c r="Y401">
        <v>5.6352501470966035E-5</v>
      </c>
      <c r="Z401" t="s">
        <v>1258</v>
      </c>
      <c r="AA401" t="s">
        <v>25</v>
      </c>
      <c r="AC401" t="s">
        <v>22</v>
      </c>
      <c r="AD401" t="s">
        <v>1258</v>
      </c>
      <c r="AE401">
        <v>1.3227300024703861E-4</v>
      </c>
      <c r="AG401" t="s">
        <v>99</v>
      </c>
      <c r="AH401" t="s">
        <v>1258</v>
      </c>
      <c r="AI401">
        <v>0</v>
      </c>
    </row>
    <row r="402" spans="9:35" x14ac:dyDescent="0.45">
      <c r="I402" t="s">
        <v>249</v>
      </c>
      <c r="J402" t="s">
        <v>1259</v>
      </c>
      <c r="K402">
        <v>0</v>
      </c>
      <c r="L402" t="s">
        <v>251</v>
      </c>
      <c r="N402" t="s">
        <v>419</v>
      </c>
      <c r="O402" t="s">
        <v>1259</v>
      </c>
      <c r="P402">
        <v>2.2747557201230001E-4</v>
      </c>
      <c r="Q402" t="s">
        <v>251</v>
      </c>
      <c r="S402" t="s">
        <v>420</v>
      </c>
      <c r="T402" t="s">
        <v>1259</v>
      </c>
      <c r="U402">
        <v>1.8459832988830001E-4</v>
      </c>
      <c r="V402" t="s">
        <v>251</v>
      </c>
      <c r="X402">
        <v>1.1415525114155251E-4</v>
      </c>
      <c r="Y402">
        <v>2.9833677249334962E-5</v>
      </c>
      <c r="Z402" t="s">
        <v>1259</v>
      </c>
      <c r="AA402" t="s">
        <v>25</v>
      </c>
      <c r="AC402" t="s">
        <v>22</v>
      </c>
      <c r="AD402" t="s">
        <v>1259</v>
      </c>
      <c r="AE402">
        <v>1.3280315217035644E-4</v>
      </c>
      <c r="AG402" t="s">
        <v>99</v>
      </c>
      <c r="AH402" t="s">
        <v>1259</v>
      </c>
      <c r="AI402">
        <v>0</v>
      </c>
    </row>
    <row r="403" spans="9:35" x14ac:dyDescent="0.45">
      <c r="I403" t="s">
        <v>249</v>
      </c>
      <c r="J403" t="s">
        <v>1260</v>
      </c>
      <c r="K403">
        <v>0</v>
      </c>
      <c r="L403" t="s">
        <v>251</v>
      </c>
      <c r="N403" t="s">
        <v>419</v>
      </c>
      <c r="O403" t="s">
        <v>1260</v>
      </c>
      <c r="P403">
        <v>2.2616209512680001E-4</v>
      </c>
      <c r="Q403" t="s">
        <v>251</v>
      </c>
      <c r="S403" t="s">
        <v>420</v>
      </c>
      <c r="T403" t="s">
        <v>1260</v>
      </c>
      <c r="U403">
        <v>1.82989157032E-4</v>
      </c>
      <c r="V403" t="s">
        <v>251</v>
      </c>
      <c r="X403">
        <v>1.1415525114155251E-4</v>
      </c>
      <c r="Y403">
        <v>2.1546544680075254E-5</v>
      </c>
      <c r="Z403" t="s">
        <v>1260</v>
      </c>
      <c r="AA403" t="s">
        <v>25</v>
      </c>
      <c r="AC403" t="s">
        <v>22</v>
      </c>
      <c r="AD403" t="s">
        <v>1260</v>
      </c>
      <c r="AE403">
        <v>1.3098038263625249E-4</v>
      </c>
      <c r="AG403" t="s">
        <v>99</v>
      </c>
      <c r="AH403" t="s">
        <v>1260</v>
      </c>
      <c r="AI403">
        <v>0</v>
      </c>
    </row>
    <row r="404" spans="9:35" x14ac:dyDescent="0.45">
      <c r="I404" t="s">
        <v>249</v>
      </c>
      <c r="J404" t="s">
        <v>1261</v>
      </c>
      <c r="K404">
        <v>0</v>
      </c>
      <c r="L404" t="s">
        <v>251</v>
      </c>
      <c r="N404" t="s">
        <v>419</v>
      </c>
      <c r="O404" t="s">
        <v>1261</v>
      </c>
      <c r="P404">
        <v>2.439124925032E-4</v>
      </c>
      <c r="Q404" t="s">
        <v>251</v>
      </c>
      <c r="S404" t="s">
        <v>420</v>
      </c>
      <c r="T404" t="s">
        <v>1261</v>
      </c>
      <c r="U404">
        <v>1.8640107153859999E-4</v>
      </c>
      <c r="V404" t="s">
        <v>251</v>
      </c>
      <c r="X404">
        <v>1.1415525114155251E-4</v>
      </c>
      <c r="Y404">
        <v>1.4916838624667481E-5</v>
      </c>
      <c r="Z404" t="s">
        <v>1261</v>
      </c>
      <c r="AA404" t="s">
        <v>25</v>
      </c>
      <c r="AC404" t="s">
        <v>22</v>
      </c>
      <c r="AD404" t="s">
        <v>1261</v>
      </c>
      <c r="AE404">
        <v>1.312246099267697E-4</v>
      </c>
      <c r="AG404" t="s">
        <v>99</v>
      </c>
      <c r="AH404" t="s">
        <v>1261</v>
      </c>
      <c r="AI404">
        <v>0</v>
      </c>
    </row>
    <row r="405" spans="9:35" x14ac:dyDescent="0.45">
      <c r="I405" t="s">
        <v>249</v>
      </c>
      <c r="J405" t="s">
        <v>1262</v>
      </c>
      <c r="K405">
        <v>0</v>
      </c>
      <c r="L405" t="s">
        <v>251</v>
      </c>
      <c r="N405" t="s">
        <v>419</v>
      </c>
      <c r="O405" t="s">
        <v>1262</v>
      </c>
      <c r="P405">
        <v>2.4664376704309999E-4</v>
      </c>
      <c r="Q405" t="s">
        <v>251</v>
      </c>
      <c r="S405" t="s">
        <v>420</v>
      </c>
      <c r="T405" t="s">
        <v>1262</v>
      </c>
      <c r="U405">
        <v>1.8664704507459999E-4</v>
      </c>
      <c r="V405" t="s">
        <v>251</v>
      </c>
      <c r="X405">
        <v>1.1415525114155251E-4</v>
      </c>
      <c r="Y405">
        <v>1.6574265138519424E-5</v>
      </c>
      <c r="Z405" t="s">
        <v>1262</v>
      </c>
      <c r="AA405" t="s">
        <v>25</v>
      </c>
      <c r="AC405" t="s">
        <v>22</v>
      </c>
      <c r="AD405" t="s">
        <v>1262</v>
      </c>
      <c r="AE405">
        <v>1.312246099267697E-4</v>
      </c>
      <c r="AG405" t="s">
        <v>99</v>
      </c>
      <c r="AH405" t="s">
        <v>1262</v>
      </c>
      <c r="AI405">
        <v>0</v>
      </c>
    </row>
    <row r="406" spans="9:35" x14ac:dyDescent="0.45">
      <c r="I406" t="s">
        <v>249</v>
      </c>
      <c r="J406" t="s">
        <v>1263</v>
      </c>
      <c r="K406">
        <v>0</v>
      </c>
      <c r="L406" t="s">
        <v>251</v>
      </c>
      <c r="N406" t="s">
        <v>419</v>
      </c>
      <c r="O406" t="s">
        <v>1263</v>
      </c>
      <c r="P406">
        <v>2.4477544604489999E-4</v>
      </c>
      <c r="Q406" t="s">
        <v>251</v>
      </c>
      <c r="S406" t="s">
        <v>420</v>
      </c>
      <c r="T406" t="s">
        <v>1263</v>
      </c>
      <c r="U406">
        <v>1.8707433348359999E-4</v>
      </c>
      <c r="V406" t="s">
        <v>251</v>
      </c>
      <c r="X406">
        <v>1.1415525114155251E-4</v>
      </c>
      <c r="Y406">
        <v>1.4585353321897093E-5</v>
      </c>
      <c r="Z406" t="s">
        <v>1263</v>
      </c>
      <c r="AA406" t="s">
        <v>25</v>
      </c>
      <c r="AC406" t="s">
        <v>22</v>
      </c>
      <c r="AD406" t="s">
        <v>1263</v>
      </c>
      <c r="AE406">
        <v>1.3121865316358634E-4</v>
      </c>
      <c r="AG406" t="s">
        <v>99</v>
      </c>
      <c r="AH406" t="s">
        <v>1263</v>
      </c>
      <c r="AI406">
        <v>0</v>
      </c>
    </row>
    <row r="407" spans="9:35" x14ac:dyDescent="0.45">
      <c r="I407" t="s">
        <v>249</v>
      </c>
      <c r="J407" t="s">
        <v>1264</v>
      </c>
      <c r="K407">
        <v>0</v>
      </c>
      <c r="L407" t="s">
        <v>251</v>
      </c>
      <c r="N407" t="s">
        <v>419</v>
      </c>
      <c r="O407" t="s">
        <v>1264</v>
      </c>
      <c r="P407">
        <v>2.4378887800529999E-4</v>
      </c>
      <c r="Q407" t="s">
        <v>251</v>
      </c>
      <c r="S407" t="s">
        <v>420</v>
      </c>
      <c r="T407" t="s">
        <v>1264</v>
      </c>
      <c r="U407">
        <v>1.872494568652E-4</v>
      </c>
      <c r="V407" t="s">
        <v>251</v>
      </c>
      <c r="X407">
        <v>1.1415525114155251E-4</v>
      </c>
      <c r="Y407">
        <v>2.1215059377304864E-5</v>
      </c>
      <c r="Z407" t="s">
        <v>1264</v>
      </c>
      <c r="AA407" t="s">
        <v>25</v>
      </c>
      <c r="AC407" t="s">
        <v>22</v>
      </c>
      <c r="AD407" t="s">
        <v>1264</v>
      </c>
      <c r="AE407">
        <v>1.3129013432178652E-4</v>
      </c>
      <c r="AG407" t="s">
        <v>99</v>
      </c>
      <c r="AH407" t="s">
        <v>1264</v>
      </c>
      <c r="AI407">
        <v>0</v>
      </c>
    </row>
    <row r="408" spans="9:35" x14ac:dyDescent="0.45">
      <c r="I408" t="s">
        <v>249</v>
      </c>
      <c r="J408" t="s">
        <v>1265</v>
      </c>
      <c r="K408">
        <v>0</v>
      </c>
      <c r="L408" t="s">
        <v>251</v>
      </c>
      <c r="N408" t="s">
        <v>419</v>
      </c>
      <c r="O408" t="s">
        <v>1265</v>
      </c>
      <c r="P408">
        <v>2.385168922187E-4</v>
      </c>
      <c r="Q408" t="s">
        <v>251</v>
      </c>
      <c r="S408" t="s">
        <v>420</v>
      </c>
      <c r="T408" t="s">
        <v>1265</v>
      </c>
      <c r="U408">
        <v>1.6618120514909999E-4</v>
      </c>
      <c r="V408" t="s">
        <v>251</v>
      </c>
      <c r="X408">
        <v>1.1415525114155251E-4</v>
      </c>
      <c r="Y408">
        <v>5.7678442682047593E-5</v>
      </c>
      <c r="Z408" t="s">
        <v>1265</v>
      </c>
      <c r="AA408" t="s">
        <v>25</v>
      </c>
      <c r="AC408" t="s">
        <v>22</v>
      </c>
      <c r="AD408" t="s">
        <v>1265</v>
      </c>
      <c r="AE408">
        <v>1.3146883721728688E-4</v>
      </c>
      <c r="AG408" t="s">
        <v>99</v>
      </c>
      <c r="AH408" t="s">
        <v>1265</v>
      </c>
      <c r="AI408">
        <v>0</v>
      </c>
    </row>
    <row r="409" spans="9:35" x14ac:dyDescent="0.45">
      <c r="I409" t="s">
        <v>249</v>
      </c>
      <c r="J409" t="s">
        <v>1266</v>
      </c>
      <c r="K409">
        <v>1.281248481556E-4</v>
      </c>
      <c r="L409" t="s">
        <v>251</v>
      </c>
      <c r="N409" t="s">
        <v>419</v>
      </c>
      <c r="O409" t="s">
        <v>1266</v>
      </c>
      <c r="P409">
        <v>2.203724412071E-4</v>
      </c>
      <c r="Q409" t="s">
        <v>251</v>
      </c>
      <c r="S409" t="s">
        <v>420</v>
      </c>
      <c r="T409" t="s">
        <v>1266</v>
      </c>
      <c r="U409">
        <v>1.5305716070650001E-4</v>
      </c>
      <c r="V409" t="s">
        <v>251</v>
      </c>
      <c r="X409">
        <v>1.1415525114155251E-4</v>
      </c>
      <c r="Y409">
        <v>1.6905750441289813E-4</v>
      </c>
      <c r="Z409" t="s">
        <v>1266</v>
      </c>
      <c r="AA409" t="s">
        <v>25</v>
      </c>
      <c r="AC409" t="s">
        <v>22</v>
      </c>
      <c r="AD409" t="s">
        <v>1266</v>
      </c>
      <c r="AE409">
        <v>1.3231469758932202E-4</v>
      </c>
      <c r="AG409" t="s">
        <v>99</v>
      </c>
      <c r="AH409" t="s">
        <v>1266</v>
      </c>
      <c r="AI409">
        <v>0</v>
      </c>
    </row>
    <row r="410" spans="9:35" x14ac:dyDescent="0.45">
      <c r="I410" t="s">
        <v>249</v>
      </c>
      <c r="J410" t="s">
        <v>1267</v>
      </c>
      <c r="K410">
        <v>2.5230781675359998E-4</v>
      </c>
      <c r="L410" t="s">
        <v>251</v>
      </c>
      <c r="N410" t="s">
        <v>419</v>
      </c>
      <c r="O410" t="s">
        <v>1267</v>
      </c>
      <c r="P410">
        <v>2.3285300437049999E-4</v>
      </c>
      <c r="Q410" t="s">
        <v>251</v>
      </c>
      <c r="S410" t="s">
        <v>420</v>
      </c>
      <c r="T410" t="s">
        <v>1267</v>
      </c>
      <c r="U410">
        <v>1.6524513937669999E-4</v>
      </c>
      <c r="V410" t="s">
        <v>251</v>
      </c>
      <c r="X410">
        <v>1.1415525114155251E-4</v>
      </c>
      <c r="Y410">
        <v>1.9060404909297337E-4</v>
      </c>
      <c r="Z410" t="s">
        <v>1267</v>
      </c>
      <c r="AA410" t="s">
        <v>25</v>
      </c>
      <c r="AC410" t="s">
        <v>22</v>
      </c>
      <c r="AD410" t="s">
        <v>1267</v>
      </c>
      <c r="AE410">
        <v>1.3189772416648783E-4</v>
      </c>
      <c r="AG410" t="s">
        <v>99</v>
      </c>
      <c r="AH410" t="s">
        <v>1267</v>
      </c>
      <c r="AI410">
        <v>0</v>
      </c>
    </row>
    <row r="411" spans="9:35" x14ac:dyDescent="0.45">
      <c r="I411" t="s">
        <v>249</v>
      </c>
      <c r="J411" t="s">
        <v>1268</v>
      </c>
      <c r="K411">
        <v>3.0458259764890001E-4</v>
      </c>
      <c r="L411" t="s">
        <v>251</v>
      </c>
      <c r="N411" t="s">
        <v>419</v>
      </c>
      <c r="O411" t="s">
        <v>1268</v>
      </c>
      <c r="P411">
        <v>2.3268194772969999E-4</v>
      </c>
      <c r="Q411" t="s">
        <v>251</v>
      </c>
      <c r="S411" t="s">
        <v>420</v>
      </c>
      <c r="T411" t="s">
        <v>1268</v>
      </c>
      <c r="U411">
        <v>1.786681863596E-4</v>
      </c>
      <c r="V411" t="s">
        <v>251</v>
      </c>
      <c r="X411">
        <v>1.1415525114155251E-4</v>
      </c>
      <c r="Y411">
        <v>1.4585353321897094E-4</v>
      </c>
      <c r="Z411" t="s">
        <v>1268</v>
      </c>
      <c r="AA411" t="s">
        <v>25</v>
      </c>
      <c r="AC411" t="s">
        <v>22</v>
      </c>
      <c r="AD411" t="s">
        <v>1268</v>
      </c>
      <c r="AE411">
        <v>1.3283293598627321E-4</v>
      </c>
      <c r="AG411" t="s">
        <v>99</v>
      </c>
      <c r="AH411" t="s">
        <v>1268</v>
      </c>
      <c r="AI411">
        <v>0</v>
      </c>
    </row>
    <row r="412" spans="9:35" x14ac:dyDescent="0.45">
      <c r="I412" t="s">
        <v>249</v>
      </c>
      <c r="J412" t="s">
        <v>1269</v>
      </c>
      <c r="K412">
        <v>3.254906264257E-4</v>
      </c>
      <c r="L412" t="s">
        <v>251</v>
      </c>
      <c r="N412" t="s">
        <v>419</v>
      </c>
      <c r="O412" t="s">
        <v>1269</v>
      </c>
      <c r="P412">
        <v>2.206341439605E-4</v>
      </c>
      <c r="Q412" t="s">
        <v>251</v>
      </c>
      <c r="S412" t="s">
        <v>420</v>
      </c>
      <c r="T412" t="s">
        <v>1269</v>
      </c>
      <c r="U412">
        <v>1.8632738189819999E-4</v>
      </c>
      <c r="V412" t="s">
        <v>251</v>
      </c>
      <c r="X412">
        <v>1.1415525114155251E-4</v>
      </c>
      <c r="Y412">
        <v>1.4452759200788939E-4</v>
      </c>
      <c r="Z412" t="s">
        <v>1269</v>
      </c>
      <c r="AA412" t="s">
        <v>25</v>
      </c>
      <c r="AC412" t="s">
        <v>22</v>
      </c>
      <c r="AD412" t="s">
        <v>1269</v>
      </c>
      <c r="AE412">
        <v>1.3176071861327086E-4</v>
      </c>
      <c r="AG412" t="s">
        <v>99</v>
      </c>
      <c r="AH412" t="s">
        <v>1269</v>
      </c>
      <c r="AI412">
        <v>0</v>
      </c>
    </row>
    <row r="413" spans="9:35" x14ac:dyDescent="0.45">
      <c r="I413" t="s">
        <v>249</v>
      </c>
      <c r="J413" t="s">
        <v>1270</v>
      </c>
      <c r="K413">
        <v>3.3826687581050001E-4</v>
      </c>
      <c r="L413" t="s">
        <v>251</v>
      </c>
      <c r="N413" t="s">
        <v>419</v>
      </c>
      <c r="O413" t="s">
        <v>1270</v>
      </c>
      <c r="P413">
        <v>1.999127665285E-4</v>
      </c>
      <c r="Q413" t="s">
        <v>251</v>
      </c>
      <c r="S413" t="s">
        <v>420</v>
      </c>
      <c r="T413" t="s">
        <v>1270</v>
      </c>
      <c r="U413">
        <v>1.8724882168500001E-4</v>
      </c>
      <c r="V413" t="s">
        <v>251</v>
      </c>
      <c r="X413">
        <v>1.1415525114155251E-4</v>
      </c>
      <c r="Y413">
        <v>1.408812536774151E-4</v>
      </c>
      <c r="Z413" t="s">
        <v>1270</v>
      </c>
      <c r="AA413" t="s">
        <v>25</v>
      </c>
      <c r="AC413" t="s">
        <v>22</v>
      </c>
      <c r="AD413" t="s">
        <v>1270</v>
      </c>
      <c r="AE413">
        <v>1.2903252107529826E-4</v>
      </c>
      <c r="AG413" t="s">
        <v>99</v>
      </c>
      <c r="AH413" t="s">
        <v>1270</v>
      </c>
      <c r="AI413">
        <v>0</v>
      </c>
    </row>
    <row r="414" spans="9:35" x14ac:dyDescent="0.45">
      <c r="I414" t="s">
        <v>249</v>
      </c>
      <c r="J414" t="s">
        <v>1271</v>
      </c>
      <c r="K414">
        <v>3.5145431918029999E-4</v>
      </c>
      <c r="L414" t="s">
        <v>251</v>
      </c>
      <c r="N414" t="s">
        <v>419</v>
      </c>
      <c r="O414" t="s">
        <v>1271</v>
      </c>
      <c r="P414">
        <v>1.86573197946E-4</v>
      </c>
      <c r="Q414" t="s">
        <v>251</v>
      </c>
      <c r="S414" t="s">
        <v>420</v>
      </c>
      <c r="T414" t="s">
        <v>1271</v>
      </c>
      <c r="U414">
        <v>1.8725131210960001E-4</v>
      </c>
      <c r="V414" t="s">
        <v>251</v>
      </c>
      <c r="X414">
        <v>1.1415525114155251E-4</v>
      </c>
      <c r="Y414">
        <v>1.4054976837464471E-4</v>
      </c>
      <c r="Z414" t="s">
        <v>1271</v>
      </c>
      <c r="AA414" t="s">
        <v>25</v>
      </c>
      <c r="AC414" t="s">
        <v>22</v>
      </c>
      <c r="AD414" t="s">
        <v>1271</v>
      </c>
      <c r="AE414">
        <v>1.2417775908087108E-4</v>
      </c>
      <c r="AG414" t="s">
        <v>99</v>
      </c>
      <c r="AH414" t="s">
        <v>1271</v>
      </c>
      <c r="AI414">
        <v>0</v>
      </c>
    </row>
    <row r="415" spans="9:35" x14ac:dyDescent="0.45">
      <c r="I415" t="s">
        <v>249</v>
      </c>
      <c r="J415" t="s">
        <v>1272</v>
      </c>
      <c r="K415">
        <v>3.5438566841469998E-4</v>
      </c>
      <c r="L415" t="s">
        <v>251</v>
      </c>
      <c r="N415" t="s">
        <v>419</v>
      </c>
      <c r="O415" t="s">
        <v>1272</v>
      </c>
      <c r="P415">
        <v>1.7067295472100001E-4</v>
      </c>
      <c r="Q415" t="s">
        <v>251</v>
      </c>
      <c r="S415" t="s">
        <v>420</v>
      </c>
      <c r="T415" t="s">
        <v>1272</v>
      </c>
      <c r="U415">
        <v>1.87252288972E-4</v>
      </c>
      <c r="V415" t="s">
        <v>251</v>
      </c>
      <c r="X415">
        <v>1.1415525114155251E-4</v>
      </c>
      <c r="Y415">
        <v>1.4253868019126702E-4</v>
      </c>
      <c r="Z415" t="s">
        <v>1272</v>
      </c>
      <c r="AA415" t="s">
        <v>25</v>
      </c>
      <c r="AC415" t="s">
        <v>22</v>
      </c>
      <c r="AD415" t="s">
        <v>1272</v>
      </c>
      <c r="AE415">
        <v>1.1196043779182798E-4</v>
      </c>
      <c r="AG415" t="s">
        <v>99</v>
      </c>
      <c r="AH415" t="s">
        <v>1272</v>
      </c>
      <c r="AI415">
        <v>0</v>
      </c>
    </row>
    <row r="416" spans="9:35" x14ac:dyDescent="0.45">
      <c r="I416" t="s">
        <v>249</v>
      </c>
      <c r="J416" t="s">
        <v>1273</v>
      </c>
      <c r="K416">
        <v>3.4471182360949998E-4</v>
      </c>
      <c r="L416" t="s">
        <v>251</v>
      </c>
      <c r="N416" t="s">
        <v>419</v>
      </c>
      <c r="O416" t="s">
        <v>1273</v>
      </c>
      <c r="P416">
        <v>1.532084169491E-4</v>
      </c>
      <c r="Q416" t="s">
        <v>251</v>
      </c>
      <c r="S416" t="s">
        <v>420</v>
      </c>
      <c r="T416" t="s">
        <v>1273</v>
      </c>
      <c r="U416">
        <v>1.8725203973880001E-4</v>
      </c>
      <c r="V416" t="s">
        <v>251</v>
      </c>
      <c r="X416">
        <v>1.1415525114155251E-4</v>
      </c>
      <c r="Y416">
        <v>1.4883690094390442E-4</v>
      </c>
      <c r="Z416" t="s">
        <v>1273</v>
      </c>
      <c r="AA416" t="s">
        <v>25</v>
      </c>
      <c r="AC416" t="s">
        <v>22</v>
      </c>
      <c r="AD416" t="s">
        <v>1273</v>
      </c>
      <c r="AE416">
        <v>1.0456809468129532E-4</v>
      </c>
      <c r="AG416" t="s">
        <v>99</v>
      </c>
      <c r="AH416" t="s">
        <v>1273</v>
      </c>
      <c r="AI416">
        <v>0</v>
      </c>
    </row>
    <row r="417" spans="9:35" x14ac:dyDescent="0.45">
      <c r="I417" t="s">
        <v>249</v>
      </c>
      <c r="J417" t="s">
        <v>1274</v>
      </c>
      <c r="K417">
        <v>3.3224218577390002E-4</v>
      </c>
      <c r="L417" t="s">
        <v>251</v>
      </c>
      <c r="N417" t="s">
        <v>419</v>
      </c>
      <c r="O417" t="s">
        <v>1274</v>
      </c>
      <c r="P417">
        <v>1.4298647062129999E-4</v>
      </c>
      <c r="Q417" t="s">
        <v>251</v>
      </c>
      <c r="S417" t="s">
        <v>420</v>
      </c>
      <c r="T417" t="s">
        <v>1274</v>
      </c>
      <c r="U417">
        <v>1.8725093526329999E-4</v>
      </c>
      <c r="V417" t="s">
        <v>251</v>
      </c>
      <c r="X417">
        <v>1.1415525114155251E-4</v>
      </c>
      <c r="Y417">
        <v>1.5049432745775637E-4</v>
      </c>
      <c r="Z417" t="s">
        <v>1274</v>
      </c>
      <c r="AA417" t="s">
        <v>25</v>
      </c>
      <c r="AC417" t="s">
        <v>22</v>
      </c>
      <c r="AD417" t="s">
        <v>1274</v>
      </c>
      <c r="AE417">
        <v>8.7936811873392631E-5</v>
      </c>
      <c r="AG417" t="s">
        <v>99</v>
      </c>
      <c r="AH417" t="s">
        <v>1274</v>
      </c>
      <c r="AI417">
        <v>0</v>
      </c>
    </row>
    <row r="418" spans="9:35" x14ac:dyDescent="0.45">
      <c r="I418" t="s">
        <v>249</v>
      </c>
      <c r="J418" t="s">
        <v>1275</v>
      </c>
      <c r="K418">
        <v>3.1119838734610002E-4</v>
      </c>
      <c r="L418" t="s">
        <v>251</v>
      </c>
      <c r="N418" t="s">
        <v>419</v>
      </c>
      <c r="O418" t="s">
        <v>1275</v>
      </c>
      <c r="P418">
        <v>1.418219555856E-4</v>
      </c>
      <c r="Q418" t="s">
        <v>251</v>
      </c>
      <c r="S418" t="s">
        <v>420</v>
      </c>
      <c r="T418" t="s">
        <v>1275</v>
      </c>
      <c r="U418">
        <v>1.8725064520400001E-4</v>
      </c>
      <c r="V418" t="s">
        <v>251</v>
      </c>
      <c r="X418">
        <v>1.1415525114155251E-4</v>
      </c>
      <c r="Y418">
        <v>1.7237235744060203E-4</v>
      </c>
      <c r="Z418" t="s">
        <v>1275</v>
      </c>
      <c r="AA418" t="s">
        <v>25</v>
      </c>
      <c r="AC418" t="s">
        <v>22</v>
      </c>
      <c r="AD418" t="s">
        <v>1275</v>
      </c>
      <c r="AE418">
        <v>8.4261488989268007E-5</v>
      </c>
      <c r="AG418" t="s">
        <v>99</v>
      </c>
      <c r="AH418" t="s">
        <v>1275</v>
      </c>
      <c r="AI418">
        <v>0</v>
      </c>
    </row>
    <row r="419" spans="9:35" x14ac:dyDescent="0.45">
      <c r="I419" t="s">
        <v>249</v>
      </c>
      <c r="J419" t="s">
        <v>1276</v>
      </c>
      <c r="K419">
        <v>2.8096368737190003E-4</v>
      </c>
      <c r="L419" t="s">
        <v>251</v>
      </c>
      <c r="N419" t="s">
        <v>419</v>
      </c>
      <c r="O419" t="s">
        <v>1276</v>
      </c>
      <c r="P419">
        <v>1.423849569149E-4</v>
      </c>
      <c r="Q419" t="s">
        <v>251</v>
      </c>
      <c r="S419" t="s">
        <v>420</v>
      </c>
      <c r="T419" t="s">
        <v>1276</v>
      </c>
      <c r="U419">
        <v>1.8689144672269999E-4</v>
      </c>
      <c r="V419" t="s">
        <v>251</v>
      </c>
      <c r="X419">
        <v>1.1415525114155251E-4</v>
      </c>
      <c r="Y419">
        <v>2.2209515285616027E-4</v>
      </c>
      <c r="Z419" t="s">
        <v>1276</v>
      </c>
      <c r="AA419" t="s">
        <v>25</v>
      </c>
      <c r="AC419" t="s">
        <v>22</v>
      </c>
      <c r="AD419" t="s">
        <v>1276</v>
      </c>
      <c r="AE419">
        <v>8.0139408866392416E-5</v>
      </c>
      <c r="AG419" t="s">
        <v>99</v>
      </c>
      <c r="AH419" t="s">
        <v>1276</v>
      </c>
      <c r="AI419">
        <v>0</v>
      </c>
    </row>
    <row r="420" spans="9:35" x14ac:dyDescent="0.45">
      <c r="I420" t="s">
        <v>249</v>
      </c>
      <c r="J420" t="s">
        <v>1277</v>
      </c>
      <c r="K420">
        <v>2.2413646044909999E-4</v>
      </c>
      <c r="L420" t="s">
        <v>251</v>
      </c>
      <c r="N420" t="s">
        <v>419</v>
      </c>
      <c r="O420" t="s">
        <v>1277</v>
      </c>
      <c r="P420">
        <v>1.3928348361699999E-4</v>
      </c>
      <c r="Q420" t="s">
        <v>251</v>
      </c>
      <c r="S420" t="s">
        <v>420</v>
      </c>
      <c r="T420" t="s">
        <v>1277</v>
      </c>
      <c r="U420">
        <v>1.8548996521789999E-4</v>
      </c>
      <c r="V420" t="s">
        <v>251</v>
      </c>
      <c r="X420">
        <v>1.1415525114155251E-4</v>
      </c>
      <c r="Y420">
        <v>2.2209515285616027E-4</v>
      </c>
      <c r="Z420" t="s">
        <v>1277</v>
      </c>
      <c r="AA420" t="s">
        <v>25</v>
      </c>
      <c r="AC420" t="s">
        <v>22</v>
      </c>
      <c r="AD420" t="s">
        <v>1277</v>
      </c>
      <c r="AE420">
        <v>8.0842306922027272E-5</v>
      </c>
      <c r="AG420" t="s">
        <v>99</v>
      </c>
      <c r="AH420" t="s">
        <v>1277</v>
      </c>
      <c r="AI420">
        <v>0</v>
      </c>
    </row>
    <row r="421" spans="9:35" x14ac:dyDescent="0.45">
      <c r="I421" t="s">
        <v>249</v>
      </c>
      <c r="J421" t="s">
        <v>1278</v>
      </c>
      <c r="K421">
        <v>1.170587929241E-4</v>
      </c>
      <c r="L421" t="s">
        <v>251</v>
      </c>
      <c r="N421" t="s">
        <v>419</v>
      </c>
      <c r="O421" t="s">
        <v>1278</v>
      </c>
      <c r="P421">
        <v>1.2352982737789999E-4</v>
      </c>
      <c r="Q421" t="s">
        <v>251</v>
      </c>
      <c r="S421" t="s">
        <v>420</v>
      </c>
      <c r="T421" t="s">
        <v>1278</v>
      </c>
      <c r="U421">
        <v>1.8463559862220001E-4</v>
      </c>
      <c r="V421" t="s">
        <v>251</v>
      </c>
      <c r="X421">
        <v>1.1415525114155251E-4</v>
      </c>
      <c r="Y421">
        <v>1.7237235744060203E-4</v>
      </c>
      <c r="Z421" t="s">
        <v>1278</v>
      </c>
      <c r="AA421" t="s">
        <v>25</v>
      </c>
      <c r="AC421" t="s">
        <v>22</v>
      </c>
      <c r="AD421" t="s">
        <v>1278</v>
      </c>
      <c r="AE421">
        <v>8.1569032030395512E-5</v>
      </c>
      <c r="AG421" t="s">
        <v>99</v>
      </c>
      <c r="AH421" t="s">
        <v>1278</v>
      </c>
      <c r="AI421">
        <v>0</v>
      </c>
    </row>
    <row r="422" spans="9:35" x14ac:dyDescent="0.45">
      <c r="I422" t="s">
        <v>249</v>
      </c>
      <c r="J422" t="s">
        <v>1279</v>
      </c>
      <c r="K422">
        <v>0</v>
      </c>
      <c r="L422" t="s">
        <v>251</v>
      </c>
      <c r="N422" t="s">
        <v>419</v>
      </c>
      <c r="O422" t="s">
        <v>1279</v>
      </c>
      <c r="P422">
        <v>1.3518012908690001E-4</v>
      </c>
      <c r="Q422" t="s">
        <v>251</v>
      </c>
      <c r="S422" t="s">
        <v>420</v>
      </c>
      <c r="T422" t="s">
        <v>1279</v>
      </c>
      <c r="U422">
        <v>1.8442211741130001E-4</v>
      </c>
      <c r="V422" t="s">
        <v>251</v>
      </c>
      <c r="X422">
        <v>1.1415525114155251E-4</v>
      </c>
      <c r="Y422">
        <v>1.5579809230208258E-4</v>
      </c>
      <c r="Z422" t="s">
        <v>1279</v>
      </c>
      <c r="AA422" t="s">
        <v>25</v>
      </c>
      <c r="AC422" t="s">
        <v>22</v>
      </c>
      <c r="AD422" t="s">
        <v>1279</v>
      </c>
      <c r="AE422">
        <v>9.5567425511259137E-5</v>
      </c>
      <c r="AG422" t="s">
        <v>99</v>
      </c>
      <c r="AH422" t="s">
        <v>1279</v>
      </c>
      <c r="AI422">
        <v>0</v>
      </c>
    </row>
    <row r="423" spans="9:35" x14ac:dyDescent="0.45">
      <c r="I423" t="s">
        <v>249</v>
      </c>
      <c r="J423" t="s">
        <v>1280</v>
      </c>
      <c r="K423">
        <v>0</v>
      </c>
      <c r="L423" t="s">
        <v>251</v>
      </c>
      <c r="N423" t="s">
        <v>419</v>
      </c>
      <c r="O423" t="s">
        <v>1280</v>
      </c>
      <c r="P423">
        <v>1.6210207719750001E-4</v>
      </c>
      <c r="Q423" t="s">
        <v>251</v>
      </c>
      <c r="S423" t="s">
        <v>420</v>
      </c>
      <c r="T423" t="s">
        <v>1280</v>
      </c>
      <c r="U423">
        <v>1.8458816363790001E-4</v>
      </c>
      <c r="V423" t="s">
        <v>251</v>
      </c>
      <c r="X423">
        <v>1.1415525114155251E-4</v>
      </c>
      <c r="Y423">
        <v>1.093901499142282E-4</v>
      </c>
      <c r="Z423" t="s">
        <v>1280</v>
      </c>
      <c r="AA423" t="s">
        <v>25</v>
      </c>
      <c r="AC423" t="s">
        <v>22</v>
      </c>
      <c r="AD423" t="s">
        <v>1280</v>
      </c>
      <c r="AE423">
        <v>1.125561141101626E-4</v>
      </c>
      <c r="AG423" t="s">
        <v>99</v>
      </c>
      <c r="AH423" t="s">
        <v>1280</v>
      </c>
      <c r="AI423">
        <v>0</v>
      </c>
    </row>
    <row r="424" spans="9:35" x14ac:dyDescent="0.45">
      <c r="I424" t="s">
        <v>249</v>
      </c>
      <c r="J424" t="s">
        <v>1281</v>
      </c>
      <c r="K424">
        <v>0</v>
      </c>
      <c r="L424" t="s">
        <v>251</v>
      </c>
      <c r="N424" t="s">
        <v>419</v>
      </c>
      <c r="O424" t="s">
        <v>1281</v>
      </c>
      <c r="P424">
        <v>1.7699689120060001E-4</v>
      </c>
      <c r="Q424" t="s">
        <v>251</v>
      </c>
      <c r="S424" t="s">
        <v>420</v>
      </c>
      <c r="T424" t="s">
        <v>1281</v>
      </c>
      <c r="U424">
        <v>1.8520312466279999E-4</v>
      </c>
      <c r="V424" t="s">
        <v>251</v>
      </c>
      <c r="X424">
        <v>1.1415525114155251E-4</v>
      </c>
      <c r="Y424">
        <v>7.9556472664893237E-5</v>
      </c>
      <c r="Z424" t="s">
        <v>1281</v>
      </c>
      <c r="AA424" t="s">
        <v>25</v>
      </c>
      <c r="AC424" t="s">
        <v>22</v>
      </c>
      <c r="AD424" t="s">
        <v>1281</v>
      </c>
      <c r="AE424">
        <v>1.2833557978284677E-4</v>
      </c>
      <c r="AG424" t="s">
        <v>99</v>
      </c>
      <c r="AH424" t="s">
        <v>1281</v>
      </c>
      <c r="AI424">
        <v>0</v>
      </c>
    </row>
    <row r="425" spans="9:35" x14ac:dyDescent="0.45">
      <c r="I425" t="s">
        <v>249</v>
      </c>
      <c r="J425" t="s">
        <v>1282</v>
      </c>
      <c r="K425">
        <v>0</v>
      </c>
      <c r="L425" t="s">
        <v>251</v>
      </c>
      <c r="N425" t="s">
        <v>419</v>
      </c>
      <c r="O425" t="s">
        <v>1282</v>
      </c>
      <c r="P425">
        <v>1.78062703293E-4</v>
      </c>
      <c r="Q425" t="s">
        <v>251</v>
      </c>
      <c r="S425" t="s">
        <v>420</v>
      </c>
      <c r="T425" t="s">
        <v>1282</v>
      </c>
      <c r="U425">
        <v>1.8575468397029999E-4</v>
      </c>
      <c r="V425" t="s">
        <v>251</v>
      </c>
      <c r="X425">
        <v>1.1415525114155251E-4</v>
      </c>
      <c r="Y425">
        <v>5.6352501470966035E-5</v>
      </c>
      <c r="Z425" t="s">
        <v>1282</v>
      </c>
      <c r="AA425" t="s">
        <v>25</v>
      </c>
      <c r="AC425" t="s">
        <v>22</v>
      </c>
      <c r="AD425" t="s">
        <v>1282</v>
      </c>
      <c r="AE425">
        <v>1.3227300024703861E-4</v>
      </c>
      <c r="AG425" t="s">
        <v>99</v>
      </c>
      <c r="AH425" t="s">
        <v>1282</v>
      </c>
      <c r="AI425">
        <v>0</v>
      </c>
    </row>
    <row r="426" spans="9:35" x14ac:dyDescent="0.45">
      <c r="I426" t="s">
        <v>249</v>
      </c>
      <c r="J426" t="s">
        <v>1283</v>
      </c>
      <c r="K426">
        <v>0</v>
      </c>
      <c r="L426" t="s">
        <v>251</v>
      </c>
      <c r="N426" t="s">
        <v>419</v>
      </c>
      <c r="O426" t="s">
        <v>1283</v>
      </c>
      <c r="P426">
        <v>1.7573392726159999E-4</v>
      </c>
      <c r="Q426" t="s">
        <v>251</v>
      </c>
      <c r="S426" t="s">
        <v>420</v>
      </c>
      <c r="T426" t="s">
        <v>1283</v>
      </c>
      <c r="U426">
        <v>1.8638021877659999E-4</v>
      </c>
      <c r="V426" t="s">
        <v>251</v>
      </c>
      <c r="X426">
        <v>1.1415525114155251E-4</v>
      </c>
      <c r="Y426">
        <v>2.9833677249334962E-5</v>
      </c>
      <c r="Z426" t="s">
        <v>1283</v>
      </c>
      <c r="AA426" t="s">
        <v>25</v>
      </c>
      <c r="AC426" t="s">
        <v>22</v>
      </c>
      <c r="AD426" t="s">
        <v>1283</v>
      </c>
      <c r="AE426">
        <v>1.3280315217035644E-4</v>
      </c>
      <c r="AG426" t="s">
        <v>99</v>
      </c>
      <c r="AH426" t="s">
        <v>1283</v>
      </c>
      <c r="AI426">
        <v>0</v>
      </c>
    </row>
    <row r="427" spans="9:35" x14ac:dyDescent="0.45">
      <c r="I427" t="s">
        <v>249</v>
      </c>
      <c r="J427" t="s">
        <v>403</v>
      </c>
      <c r="K427">
        <v>3.8090221314169098E-6</v>
      </c>
      <c r="L427" t="s">
        <v>251</v>
      </c>
      <c r="N427" t="s">
        <v>419</v>
      </c>
      <c r="O427" t="s">
        <v>403</v>
      </c>
      <c r="P427">
        <v>3.009277985070876E-2</v>
      </c>
      <c r="Q427" t="s">
        <v>251</v>
      </c>
      <c r="S427" t="s">
        <v>420</v>
      </c>
      <c r="T427" t="s">
        <v>403</v>
      </c>
      <c r="U427">
        <v>1.8828910873338951E-2</v>
      </c>
      <c r="V427" t="s">
        <v>251</v>
      </c>
      <c r="X427">
        <v>2.0547945205479451E-2</v>
      </c>
      <c r="Y427">
        <v>4.3954951147353507E-3</v>
      </c>
      <c r="Z427" t="s">
        <v>403</v>
      </c>
      <c r="AA427" t="s">
        <v>25</v>
      </c>
      <c r="AC427" t="s">
        <v>22</v>
      </c>
      <c r="AD427" t="s">
        <v>403</v>
      </c>
      <c r="AE427">
        <v>2.2260433007780876E-2</v>
      </c>
      <c r="AG427" t="s">
        <v>99</v>
      </c>
      <c r="AH427" t="s">
        <v>403</v>
      </c>
      <c r="AI427">
        <v>6.8438377491133906E-2</v>
      </c>
    </row>
    <row r="428" spans="9:35" x14ac:dyDescent="0.45">
      <c r="I428" t="s">
        <v>249</v>
      </c>
      <c r="J428" t="s">
        <v>404</v>
      </c>
      <c r="K428">
        <v>4.2174220768100264E-3</v>
      </c>
      <c r="L428" t="s">
        <v>251</v>
      </c>
      <c r="N428" t="s">
        <v>419</v>
      </c>
      <c r="O428" t="s">
        <v>404</v>
      </c>
      <c r="P428">
        <v>4.2806558018010097E-3</v>
      </c>
      <c r="Q428" t="s">
        <v>251</v>
      </c>
      <c r="S428" t="s">
        <v>420</v>
      </c>
      <c r="T428" t="s">
        <v>404</v>
      </c>
      <c r="U428">
        <v>3.0236851410871714E-3</v>
      </c>
      <c r="V428" t="s">
        <v>251</v>
      </c>
      <c r="X428">
        <v>3.4246575342465752E-3</v>
      </c>
      <c r="Y428">
        <v>5.0717251323869452E-3</v>
      </c>
      <c r="Z428" t="s">
        <v>404</v>
      </c>
      <c r="AA428" t="s">
        <v>25</v>
      </c>
      <c r="AC428" t="s">
        <v>22</v>
      </c>
      <c r="AD428" t="s">
        <v>404</v>
      </c>
      <c r="AE428">
        <v>3.7478698159495389E-3</v>
      </c>
      <c r="AG428" t="s">
        <v>99</v>
      </c>
      <c r="AH428" t="s">
        <v>404</v>
      </c>
      <c r="AI428">
        <v>5.810617310985644E-2</v>
      </c>
    </row>
    <row r="429" spans="9:35" x14ac:dyDescent="0.45">
      <c r="I429" t="s">
        <v>249</v>
      </c>
      <c r="J429" t="s">
        <v>405</v>
      </c>
      <c r="K429">
        <v>7.2308135574651999E-3</v>
      </c>
      <c r="L429" t="s">
        <v>251</v>
      </c>
      <c r="N429" t="s">
        <v>419</v>
      </c>
      <c r="O429" t="s">
        <v>405</v>
      </c>
      <c r="P429">
        <v>3.8538588286688457E-3</v>
      </c>
      <c r="Q429" t="s">
        <v>251</v>
      </c>
      <c r="S429" t="s">
        <v>420</v>
      </c>
      <c r="T429" t="s">
        <v>405</v>
      </c>
      <c r="U429">
        <v>2.9603012804413288E-3</v>
      </c>
      <c r="V429" t="s">
        <v>251</v>
      </c>
      <c r="X429">
        <v>3.4246575342465752E-3</v>
      </c>
      <c r="Y429">
        <v>5.7181214727892006E-3</v>
      </c>
      <c r="Z429" t="s">
        <v>405</v>
      </c>
      <c r="AA429" t="s">
        <v>25</v>
      </c>
      <c r="AC429" t="s">
        <v>22</v>
      </c>
      <c r="AD429" t="s">
        <v>405</v>
      </c>
      <c r="AE429">
        <v>3.7621481773000192E-3</v>
      </c>
      <c r="AG429" t="s">
        <v>99</v>
      </c>
      <c r="AH429" t="s">
        <v>405</v>
      </c>
      <c r="AI429">
        <v>5.5035171020012763E-2</v>
      </c>
    </row>
    <row r="430" spans="9:35" x14ac:dyDescent="0.45">
      <c r="I430" t="s">
        <v>249</v>
      </c>
      <c r="J430" t="s">
        <v>406</v>
      </c>
      <c r="K430">
        <v>6.0288203719271301E-2</v>
      </c>
      <c r="L430" t="s">
        <v>251</v>
      </c>
      <c r="N430" t="s">
        <v>419</v>
      </c>
      <c r="O430" t="s">
        <v>406</v>
      </c>
      <c r="P430">
        <v>1.7014136309921917E-2</v>
      </c>
      <c r="Q430" t="s">
        <v>251</v>
      </c>
      <c r="S430" t="s">
        <v>420</v>
      </c>
      <c r="T430" t="s">
        <v>406</v>
      </c>
      <c r="U430">
        <v>1.8352404363144538E-2</v>
      </c>
      <c r="V430" t="s">
        <v>251</v>
      </c>
      <c r="X430">
        <v>2.0547945205479451E-2</v>
      </c>
      <c r="Y430">
        <v>2.5895631852422749E-2</v>
      </c>
      <c r="Z430" t="s">
        <v>406</v>
      </c>
      <c r="AA430" t="s">
        <v>25</v>
      </c>
      <c r="AC430" t="s">
        <v>22</v>
      </c>
      <c r="AD430" t="s">
        <v>406</v>
      </c>
      <c r="AE430">
        <v>2.1069580739219031E-2</v>
      </c>
      <c r="AG430" t="s">
        <v>99</v>
      </c>
      <c r="AH430" t="s">
        <v>406</v>
      </c>
      <c r="AI430">
        <v>0.10874677642572528</v>
      </c>
    </row>
    <row r="431" spans="9:35" x14ac:dyDescent="0.45">
      <c r="I431" t="s">
        <v>249</v>
      </c>
      <c r="J431" t="s">
        <v>407</v>
      </c>
      <c r="K431">
        <v>2.7882090840113501E-2</v>
      </c>
      <c r="L431" t="s">
        <v>251</v>
      </c>
      <c r="N431" t="s">
        <v>419</v>
      </c>
      <c r="O431" t="s">
        <v>407</v>
      </c>
      <c r="P431">
        <v>7.5583101296307093E-3</v>
      </c>
      <c r="Q431" t="s">
        <v>251</v>
      </c>
      <c r="S431" t="s">
        <v>420</v>
      </c>
      <c r="T431" t="s">
        <v>407</v>
      </c>
      <c r="U431">
        <v>9.7236148432749466E-3</v>
      </c>
      <c r="V431" t="s">
        <v>251</v>
      </c>
      <c r="X431">
        <v>1.0273972602739725E-2</v>
      </c>
      <c r="Y431">
        <v>1.6348855132635558E-2</v>
      </c>
      <c r="Z431" t="s">
        <v>407</v>
      </c>
      <c r="AA431" t="s">
        <v>25</v>
      </c>
      <c r="AC431" t="s">
        <v>22</v>
      </c>
      <c r="AD431" t="s">
        <v>407</v>
      </c>
      <c r="AE431">
        <v>7.4430039204518537E-3</v>
      </c>
      <c r="AG431" t="s">
        <v>99</v>
      </c>
      <c r="AH431" t="s">
        <v>407</v>
      </c>
      <c r="AI431">
        <v>5.4528305774245167E-2</v>
      </c>
    </row>
    <row r="432" spans="9:35" x14ac:dyDescent="0.45">
      <c r="I432" t="s">
        <v>249</v>
      </c>
      <c r="J432" t="s">
        <v>408</v>
      </c>
      <c r="K432">
        <v>7.0415792442286998E-3</v>
      </c>
      <c r="L432" t="s">
        <v>251</v>
      </c>
      <c r="N432" t="s">
        <v>419</v>
      </c>
      <c r="O432" t="s">
        <v>408</v>
      </c>
      <c r="P432">
        <v>2.9598672303039887E-3</v>
      </c>
      <c r="Q432" t="s">
        <v>251</v>
      </c>
      <c r="S432" t="s">
        <v>420</v>
      </c>
      <c r="T432" t="s">
        <v>408</v>
      </c>
      <c r="U432">
        <v>3.2563955971113821E-3</v>
      </c>
      <c r="V432" t="s">
        <v>251</v>
      </c>
      <c r="X432">
        <v>3.4246575342465752E-3</v>
      </c>
      <c r="Y432">
        <v>6.662854585684809E-3</v>
      </c>
      <c r="Z432" t="s">
        <v>408</v>
      </c>
      <c r="AA432" t="s">
        <v>25</v>
      </c>
      <c r="AC432" t="s">
        <v>22</v>
      </c>
      <c r="AD432" t="s">
        <v>408</v>
      </c>
      <c r="AE432">
        <v>2.3591696150160315E-3</v>
      </c>
      <c r="AG432" t="s">
        <v>99</v>
      </c>
      <c r="AH432" t="s">
        <v>408</v>
      </c>
      <c r="AI432">
        <v>2.5864249786949456E-2</v>
      </c>
    </row>
    <row r="433" spans="9:35" x14ac:dyDescent="0.45">
      <c r="I433" t="s">
        <v>249</v>
      </c>
      <c r="J433" t="s">
        <v>409</v>
      </c>
      <c r="K433">
        <v>4.1807614240014232E-3</v>
      </c>
      <c r="L433" t="s">
        <v>251</v>
      </c>
      <c r="N433" t="s">
        <v>419</v>
      </c>
      <c r="O433" t="s">
        <v>409</v>
      </c>
      <c r="P433">
        <v>3.3455294891401029E-3</v>
      </c>
      <c r="Q433" t="s">
        <v>251</v>
      </c>
      <c r="S433" t="s">
        <v>420</v>
      </c>
      <c r="T433" t="s">
        <v>409</v>
      </c>
      <c r="U433">
        <v>3.238425197695286E-3</v>
      </c>
      <c r="V433" t="s">
        <v>251</v>
      </c>
      <c r="X433">
        <v>3.4246575342465752E-3</v>
      </c>
      <c r="Y433">
        <v>5.1711707232180593E-3</v>
      </c>
      <c r="Z433" t="s">
        <v>409</v>
      </c>
      <c r="AA433" t="s">
        <v>25</v>
      </c>
      <c r="AC433" t="s">
        <v>22</v>
      </c>
      <c r="AD433" t="s">
        <v>409</v>
      </c>
      <c r="AE433">
        <v>2.3797859723935933E-3</v>
      </c>
      <c r="AG433" t="s">
        <v>99</v>
      </c>
      <c r="AH433" t="s">
        <v>409</v>
      </c>
      <c r="AI433">
        <v>2.7494936993699426E-2</v>
      </c>
    </row>
    <row r="434" spans="9:35" x14ac:dyDescent="0.45">
      <c r="I434" t="s">
        <v>249</v>
      </c>
      <c r="J434" t="s">
        <v>410</v>
      </c>
      <c r="K434">
        <v>5.9271588075933296E-5</v>
      </c>
      <c r="L434" t="s">
        <v>251</v>
      </c>
      <c r="N434" t="s">
        <v>419</v>
      </c>
      <c r="O434" t="s">
        <v>410</v>
      </c>
      <c r="P434">
        <v>2.3746828472602736E-2</v>
      </c>
      <c r="Q434" t="s">
        <v>251</v>
      </c>
      <c r="S434" t="s">
        <v>420</v>
      </c>
      <c r="T434" t="s">
        <v>410</v>
      </c>
      <c r="U434">
        <v>1.5881674826197154E-2</v>
      </c>
      <c r="V434" t="s">
        <v>251</v>
      </c>
      <c r="X434">
        <v>1.7123287671232876E-2</v>
      </c>
      <c r="Y434">
        <v>1.2927926808045149E-2</v>
      </c>
      <c r="Z434" t="s">
        <v>410</v>
      </c>
      <c r="AA434" t="s">
        <v>25</v>
      </c>
      <c r="AC434" t="s">
        <v>22</v>
      </c>
      <c r="AD434" t="s">
        <v>410</v>
      </c>
      <c r="AE434">
        <v>1.6329373744555842E-2</v>
      </c>
      <c r="AG434" t="s">
        <v>99</v>
      </c>
      <c r="AH434" t="s">
        <v>410</v>
      </c>
      <c r="AI434">
        <v>0.14805486992572869</v>
      </c>
    </row>
    <row r="435" spans="9:35" x14ac:dyDescent="0.45">
      <c r="I435" t="s">
        <v>249</v>
      </c>
      <c r="J435" t="s">
        <v>411</v>
      </c>
      <c r="K435">
        <v>6.6278554123906467E-6</v>
      </c>
      <c r="L435" t="s">
        <v>251</v>
      </c>
      <c r="N435" t="s">
        <v>419</v>
      </c>
      <c r="O435" t="s">
        <v>411</v>
      </c>
      <c r="P435">
        <v>2.9148705987605529E-2</v>
      </c>
      <c r="Q435" t="s">
        <v>251</v>
      </c>
      <c r="S435" t="s">
        <v>420</v>
      </c>
      <c r="T435" t="s">
        <v>411</v>
      </c>
      <c r="U435">
        <v>2.0183954998849667E-2</v>
      </c>
      <c r="V435" t="s">
        <v>251</v>
      </c>
      <c r="X435">
        <v>2.0547945205479451E-2</v>
      </c>
      <c r="Y435">
        <v>4.3954951147353507E-3</v>
      </c>
      <c r="Z435" t="s">
        <v>411</v>
      </c>
      <c r="AA435" t="s">
        <v>25</v>
      </c>
      <c r="AC435" t="s">
        <v>22</v>
      </c>
      <c r="AD435" t="s">
        <v>411</v>
      </c>
      <c r="AE435">
        <v>2.2909454126205528E-2</v>
      </c>
      <c r="AG435" t="s">
        <v>99</v>
      </c>
      <c r="AH435" t="s">
        <v>411</v>
      </c>
      <c r="AI435">
        <v>0.10614169567502141</v>
      </c>
    </row>
    <row r="436" spans="9:35" x14ac:dyDescent="0.45">
      <c r="I436" t="s">
        <v>249</v>
      </c>
      <c r="J436" t="s">
        <v>412</v>
      </c>
      <c r="K436">
        <v>3.2448269904994773E-3</v>
      </c>
      <c r="L436" t="s">
        <v>251</v>
      </c>
      <c r="N436" t="s">
        <v>419</v>
      </c>
      <c r="O436" t="s">
        <v>412</v>
      </c>
      <c r="P436">
        <v>4.2749169786298847E-3</v>
      </c>
      <c r="Q436" t="s">
        <v>251</v>
      </c>
      <c r="S436" t="s">
        <v>420</v>
      </c>
      <c r="T436" t="s">
        <v>412</v>
      </c>
      <c r="U436">
        <v>3.4568814590586897E-3</v>
      </c>
      <c r="V436" t="s">
        <v>251</v>
      </c>
      <c r="X436">
        <v>3.4246575342465752E-3</v>
      </c>
      <c r="Y436">
        <v>5.0717251323869452E-3</v>
      </c>
      <c r="Z436" t="s">
        <v>412</v>
      </c>
      <c r="AA436" t="s">
        <v>25</v>
      </c>
      <c r="AC436" t="s">
        <v>22</v>
      </c>
      <c r="AD436" t="s">
        <v>412</v>
      </c>
      <c r="AE436">
        <v>3.8588476234007315E-3</v>
      </c>
      <c r="AG436" t="s">
        <v>99</v>
      </c>
      <c r="AH436" t="s">
        <v>412</v>
      </c>
      <c r="AI436">
        <v>0.10024954715481837</v>
      </c>
    </row>
    <row r="437" spans="9:35" x14ac:dyDescent="0.45">
      <c r="I437" t="s">
        <v>249</v>
      </c>
      <c r="J437" t="s">
        <v>413</v>
      </c>
      <c r="K437">
        <v>6.2125532195775003E-3</v>
      </c>
      <c r="L437" t="s">
        <v>251</v>
      </c>
      <c r="N437" t="s">
        <v>419</v>
      </c>
      <c r="O437" t="s">
        <v>413</v>
      </c>
      <c r="P437">
        <v>3.6862528444312156E-3</v>
      </c>
      <c r="Q437" t="s">
        <v>251</v>
      </c>
      <c r="S437" t="s">
        <v>420</v>
      </c>
      <c r="T437" t="s">
        <v>413</v>
      </c>
      <c r="U437">
        <v>3.457471462841193E-3</v>
      </c>
      <c r="V437" t="s">
        <v>251</v>
      </c>
      <c r="X437">
        <v>3.4246575342465752E-3</v>
      </c>
      <c r="Y437">
        <v>5.7181214727892006E-3</v>
      </c>
      <c r="Z437" t="s">
        <v>413</v>
      </c>
      <c r="AA437" t="s">
        <v>25</v>
      </c>
      <c r="AC437" t="s">
        <v>22</v>
      </c>
      <c r="AD437" t="s">
        <v>413</v>
      </c>
      <c r="AE437">
        <v>3.8525096273736509E-3</v>
      </c>
      <c r="AG437" t="s">
        <v>99</v>
      </c>
      <c r="AH437" t="s">
        <v>413</v>
      </c>
      <c r="AI437">
        <v>7.0872652220075105E-2</v>
      </c>
    </row>
    <row r="438" spans="9:35" x14ac:dyDescent="0.45">
      <c r="I438" t="s">
        <v>249</v>
      </c>
      <c r="J438" t="s">
        <v>414</v>
      </c>
      <c r="K438">
        <v>5.6288693756864697E-2</v>
      </c>
      <c r="L438" t="s">
        <v>251</v>
      </c>
      <c r="N438" t="s">
        <v>419</v>
      </c>
      <c r="O438" t="s">
        <v>414</v>
      </c>
      <c r="P438">
        <v>1.6926121061253966E-2</v>
      </c>
      <c r="Q438" t="s">
        <v>251</v>
      </c>
      <c r="S438" t="s">
        <v>420</v>
      </c>
      <c r="T438" t="s">
        <v>414</v>
      </c>
      <c r="U438">
        <v>2.1775305159689385E-2</v>
      </c>
      <c r="V438" t="s">
        <v>251</v>
      </c>
      <c r="X438">
        <v>2.0547945205479451E-2</v>
      </c>
      <c r="Y438">
        <v>2.5895631852422749E-2</v>
      </c>
      <c r="Z438" t="s">
        <v>414</v>
      </c>
      <c r="AA438" t="s">
        <v>25</v>
      </c>
      <c r="AC438" t="s">
        <v>22</v>
      </c>
      <c r="AD438" t="s">
        <v>414</v>
      </c>
      <c r="AE438">
        <v>2.1412793549337058E-2</v>
      </c>
      <c r="AG438" t="s">
        <v>99</v>
      </c>
      <c r="AH438" t="s">
        <v>414</v>
      </c>
      <c r="AI438">
        <v>0.12651030821749765</v>
      </c>
    </row>
    <row r="439" spans="9:35" x14ac:dyDescent="0.45">
      <c r="I439" t="s">
        <v>249</v>
      </c>
      <c r="J439" t="s">
        <v>415</v>
      </c>
      <c r="K439">
        <v>2.584956570665E-2</v>
      </c>
      <c r="L439" t="s">
        <v>251</v>
      </c>
      <c r="N439" t="s">
        <v>419</v>
      </c>
      <c r="O439" t="s">
        <v>415</v>
      </c>
      <c r="P439">
        <v>7.3436129494264379E-3</v>
      </c>
      <c r="Q439" t="s">
        <v>251</v>
      </c>
      <c r="S439" t="s">
        <v>420</v>
      </c>
      <c r="T439" t="s">
        <v>415</v>
      </c>
      <c r="U439">
        <v>1.1272950213867086E-2</v>
      </c>
      <c r="V439" t="s">
        <v>251</v>
      </c>
      <c r="X439">
        <v>1.0273972602739725E-2</v>
      </c>
      <c r="Y439">
        <v>1.6348855132635558E-2</v>
      </c>
      <c r="Z439" t="s">
        <v>415</v>
      </c>
      <c r="AA439" t="s">
        <v>25</v>
      </c>
      <c r="AC439" t="s">
        <v>22</v>
      </c>
      <c r="AD439" t="s">
        <v>415</v>
      </c>
      <c r="AE439">
        <v>7.6948479255905403E-3</v>
      </c>
      <c r="AG439" t="s">
        <v>99</v>
      </c>
      <c r="AH439" t="s">
        <v>415</v>
      </c>
      <c r="AI439">
        <v>6.1273630821251146E-2</v>
      </c>
    </row>
    <row r="440" spans="9:35" x14ac:dyDescent="0.45">
      <c r="I440" t="s">
        <v>249</v>
      </c>
      <c r="J440" t="s">
        <v>416</v>
      </c>
      <c r="K440">
        <v>6.4579015222478997E-3</v>
      </c>
      <c r="L440" t="s">
        <v>251</v>
      </c>
      <c r="N440" t="s">
        <v>419</v>
      </c>
      <c r="O440" t="s">
        <v>416</v>
      </c>
      <c r="P440">
        <v>2.773957683735377E-3</v>
      </c>
      <c r="Q440" t="s">
        <v>251</v>
      </c>
      <c r="S440" t="s">
        <v>420</v>
      </c>
      <c r="T440" t="s">
        <v>416</v>
      </c>
      <c r="U440">
        <v>3.7944876435664515E-3</v>
      </c>
      <c r="V440" t="s">
        <v>251</v>
      </c>
      <c r="X440">
        <v>3.4246575342465752E-3</v>
      </c>
      <c r="Y440">
        <v>6.662854585684809E-3</v>
      </c>
      <c r="Z440" t="s">
        <v>416</v>
      </c>
      <c r="AA440" t="s">
        <v>25</v>
      </c>
      <c r="AC440" t="s">
        <v>22</v>
      </c>
      <c r="AD440" t="s">
        <v>416</v>
      </c>
      <c r="AE440">
        <v>2.4354373633978664E-3</v>
      </c>
      <c r="AG440" t="s">
        <v>99</v>
      </c>
      <c r="AH440" t="s">
        <v>416</v>
      </c>
      <c r="AI440">
        <v>2.5361815605989158E-2</v>
      </c>
    </row>
    <row r="441" spans="9:35" x14ac:dyDescent="0.45">
      <c r="I441" t="s">
        <v>249</v>
      </c>
      <c r="J441" t="s">
        <v>417</v>
      </c>
      <c r="K441">
        <v>4.1962435996093957E-3</v>
      </c>
      <c r="L441" t="s">
        <v>251</v>
      </c>
      <c r="N441" t="s">
        <v>419</v>
      </c>
      <c r="O441" t="s">
        <v>417</v>
      </c>
      <c r="P441">
        <v>2.9377286277385037E-3</v>
      </c>
      <c r="Q441" t="s">
        <v>251</v>
      </c>
      <c r="S441" t="s">
        <v>420</v>
      </c>
      <c r="T441" t="s">
        <v>417</v>
      </c>
      <c r="U441">
        <v>3.7546483547530223E-3</v>
      </c>
      <c r="V441" t="s">
        <v>251</v>
      </c>
      <c r="X441">
        <v>3.4246575342465752E-3</v>
      </c>
      <c r="Y441">
        <v>5.1711707232180593E-3</v>
      </c>
      <c r="Z441" t="s">
        <v>417</v>
      </c>
      <c r="AA441" t="s">
        <v>25</v>
      </c>
      <c r="AC441" t="s">
        <v>22</v>
      </c>
      <c r="AD441" t="s">
        <v>417</v>
      </c>
      <c r="AE441">
        <v>2.4528191983668709E-3</v>
      </c>
      <c r="AG441" t="s">
        <v>99</v>
      </c>
      <c r="AH441" t="s">
        <v>417</v>
      </c>
      <c r="AI441">
        <v>2.4625880829660662E-2</v>
      </c>
    </row>
    <row r="442" spans="9:35" x14ac:dyDescent="0.45">
      <c r="I442" t="s">
        <v>249</v>
      </c>
      <c r="J442" t="s">
        <v>418</v>
      </c>
      <c r="K442">
        <v>9.5125674155090774E-4</v>
      </c>
      <c r="L442" t="s">
        <v>251</v>
      </c>
      <c r="N442" t="s">
        <v>419</v>
      </c>
      <c r="O442" t="s">
        <v>418</v>
      </c>
      <c r="P442">
        <v>2.1076672370711615E-2</v>
      </c>
      <c r="Q442" t="s">
        <v>251</v>
      </c>
      <c r="S442" t="s">
        <v>420</v>
      </c>
      <c r="T442" t="s">
        <v>418</v>
      </c>
      <c r="U442">
        <v>1.734763307189734E-2</v>
      </c>
      <c r="V442" t="s">
        <v>251</v>
      </c>
      <c r="X442">
        <v>1.7123287671232876E-2</v>
      </c>
      <c r="Y442">
        <v>1.2927926808045149E-2</v>
      </c>
      <c r="Z442" t="s">
        <v>418</v>
      </c>
      <c r="AA442" t="s">
        <v>25</v>
      </c>
      <c r="AC442" t="s">
        <v>22</v>
      </c>
      <c r="AD442" t="s">
        <v>418</v>
      </c>
      <c r="AE442">
        <v>1.6779477360653564E-2</v>
      </c>
      <c r="AG442" t="s">
        <v>99</v>
      </c>
      <c r="AH442" t="s">
        <v>418</v>
      </c>
      <c r="AI442">
        <v>0.15337485328812983</v>
      </c>
    </row>
    <row r="443" spans="9:35" x14ac:dyDescent="0.45">
      <c r="I443" t="s">
        <v>249</v>
      </c>
      <c r="J443" t="s">
        <v>1284</v>
      </c>
      <c r="K443">
        <v>0</v>
      </c>
      <c r="L443" t="s">
        <v>251</v>
      </c>
      <c r="N443" t="s">
        <v>419</v>
      </c>
      <c r="O443" t="s">
        <v>1284</v>
      </c>
      <c r="P443">
        <v>1.075824758691E-4</v>
      </c>
      <c r="Q443" t="s">
        <v>251</v>
      </c>
      <c r="S443" t="s">
        <v>420</v>
      </c>
      <c r="T443" t="s">
        <v>1284</v>
      </c>
      <c r="U443">
        <v>8.0020464510329381E-5</v>
      </c>
      <c r="V443" t="s">
        <v>251</v>
      </c>
      <c r="X443">
        <v>1.1415525114155251E-4</v>
      </c>
      <c r="Y443">
        <v>2.1546544680075254E-5</v>
      </c>
      <c r="Z443" t="s">
        <v>1284</v>
      </c>
      <c r="AA443" t="s">
        <v>25</v>
      </c>
      <c r="AC443" t="s">
        <v>22</v>
      </c>
      <c r="AD443" t="s">
        <v>1284</v>
      </c>
      <c r="AE443">
        <v>1.0626318962393875E-4</v>
      </c>
      <c r="AG443" t="s">
        <v>99</v>
      </c>
      <c r="AH443" t="s">
        <v>1284</v>
      </c>
      <c r="AI443">
        <v>0</v>
      </c>
    </row>
    <row r="444" spans="9:35" x14ac:dyDescent="0.45">
      <c r="I444" t="s">
        <v>249</v>
      </c>
      <c r="J444" t="s">
        <v>1285</v>
      </c>
      <c r="K444">
        <v>0</v>
      </c>
      <c r="L444" t="s">
        <v>251</v>
      </c>
      <c r="N444" t="s">
        <v>419</v>
      </c>
      <c r="O444" t="s">
        <v>1285</v>
      </c>
      <c r="P444">
        <v>1.0869582169699999E-4</v>
      </c>
      <c r="Q444" t="s">
        <v>251</v>
      </c>
      <c r="S444" t="s">
        <v>420</v>
      </c>
      <c r="T444" t="s">
        <v>1285</v>
      </c>
      <c r="U444">
        <v>7.2759363570582548E-5</v>
      </c>
      <c r="V444" t="s">
        <v>251</v>
      </c>
      <c r="X444">
        <v>1.1415525114155251E-4</v>
      </c>
      <c r="Y444">
        <v>1.4916838624667481E-5</v>
      </c>
      <c r="Z444" t="s">
        <v>1285</v>
      </c>
      <c r="AA444" t="s">
        <v>25</v>
      </c>
      <c r="AC444" t="s">
        <v>22</v>
      </c>
      <c r="AD444" t="s">
        <v>1285</v>
      </c>
      <c r="AE444">
        <v>1.0510757756636958E-4</v>
      </c>
      <c r="AG444" t="s">
        <v>99</v>
      </c>
      <c r="AH444" t="s">
        <v>1285</v>
      </c>
      <c r="AI444">
        <v>0</v>
      </c>
    </row>
    <row r="445" spans="9:35" x14ac:dyDescent="0.45">
      <c r="I445" t="s">
        <v>249</v>
      </c>
      <c r="J445" t="s">
        <v>1286</v>
      </c>
      <c r="K445">
        <v>0</v>
      </c>
      <c r="L445" t="s">
        <v>251</v>
      </c>
      <c r="N445" t="s">
        <v>419</v>
      </c>
      <c r="O445" t="s">
        <v>1286</v>
      </c>
      <c r="P445">
        <v>1.0623511770170001E-4</v>
      </c>
      <c r="Q445" t="s">
        <v>251</v>
      </c>
      <c r="S445" t="s">
        <v>420</v>
      </c>
      <c r="T445" t="s">
        <v>1286</v>
      </c>
      <c r="U445">
        <v>6.8891373489152815E-5</v>
      </c>
      <c r="V445" t="s">
        <v>251</v>
      </c>
      <c r="X445">
        <v>1.1415525114155251E-4</v>
      </c>
      <c r="Y445">
        <v>1.6574265138519424E-5</v>
      </c>
      <c r="Z445" t="s">
        <v>1286</v>
      </c>
      <c r="AA445" t="s">
        <v>25</v>
      </c>
      <c r="AC445" t="s">
        <v>22</v>
      </c>
      <c r="AD445" t="s">
        <v>1286</v>
      </c>
      <c r="AE445">
        <v>1.0510757756636958E-4</v>
      </c>
      <c r="AG445" t="s">
        <v>99</v>
      </c>
      <c r="AH445" t="s">
        <v>1286</v>
      </c>
      <c r="AI445">
        <v>0</v>
      </c>
    </row>
    <row r="446" spans="9:35" x14ac:dyDescent="0.45">
      <c r="I446" t="s">
        <v>249</v>
      </c>
      <c r="J446" t="s">
        <v>1287</v>
      </c>
      <c r="K446">
        <v>0</v>
      </c>
      <c r="L446" t="s">
        <v>251</v>
      </c>
      <c r="N446" t="s">
        <v>419</v>
      </c>
      <c r="O446" t="s">
        <v>1287</v>
      </c>
      <c r="P446">
        <v>1.0112751542819999E-4</v>
      </c>
      <c r="Q446" t="s">
        <v>251</v>
      </c>
      <c r="S446" t="s">
        <v>420</v>
      </c>
      <c r="T446" t="s">
        <v>1287</v>
      </c>
      <c r="U446">
        <v>6.6475695055000212E-5</v>
      </c>
      <c r="V446" t="s">
        <v>251</v>
      </c>
      <c r="X446">
        <v>1.1415525114155251E-4</v>
      </c>
      <c r="Y446">
        <v>1.4585353321897093E-5</v>
      </c>
      <c r="Z446" t="s">
        <v>1287</v>
      </c>
      <c r="AA446" t="s">
        <v>25</v>
      </c>
      <c r="AC446" t="s">
        <v>22</v>
      </c>
      <c r="AD446" t="s">
        <v>1287</v>
      </c>
      <c r="AE446">
        <v>1.0539945896235354E-4</v>
      </c>
      <c r="AG446" t="s">
        <v>99</v>
      </c>
      <c r="AH446" t="s">
        <v>1287</v>
      </c>
      <c r="AI446">
        <v>0</v>
      </c>
    </row>
    <row r="447" spans="9:35" x14ac:dyDescent="0.45">
      <c r="I447" t="s">
        <v>249</v>
      </c>
      <c r="J447" t="s">
        <v>1288</v>
      </c>
      <c r="K447">
        <v>0</v>
      </c>
      <c r="L447" t="s">
        <v>251</v>
      </c>
      <c r="N447" t="s">
        <v>419</v>
      </c>
      <c r="O447" t="s">
        <v>1288</v>
      </c>
      <c r="P447">
        <v>1.025832572883E-4</v>
      </c>
      <c r="Q447" t="s">
        <v>251</v>
      </c>
      <c r="S447" t="s">
        <v>420</v>
      </c>
      <c r="T447" t="s">
        <v>1288</v>
      </c>
      <c r="U447">
        <v>6.2745358791392535E-5</v>
      </c>
      <c r="V447" t="s">
        <v>251</v>
      </c>
      <c r="X447">
        <v>1.1415525114155251E-4</v>
      </c>
      <c r="Y447">
        <v>2.1215059377304864E-5</v>
      </c>
      <c r="Z447" t="s">
        <v>1288</v>
      </c>
      <c r="AA447" t="s">
        <v>25</v>
      </c>
      <c r="AC447" t="s">
        <v>22</v>
      </c>
      <c r="AD447" t="s">
        <v>1288</v>
      </c>
      <c r="AE447">
        <v>1.0575686475335431E-4</v>
      </c>
      <c r="AG447" t="s">
        <v>99</v>
      </c>
      <c r="AH447" t="s">
        <v>1288</v>
      </c>
      <c r="AI447">
        <v>0</v>
      </c>
    </row>
    <row r="448" spans="9:35" x14ac:dyDescent="0.45">
      <c r="I448" t="s">
        <v>249</v>
      </c>
      <c r="J448" t="s">
        <v>1289</v>
      </c>
      <c r="K448">
        <v>1.1875459274666257E-6</v>
      </c>
      <c r="L448" t="s">
        <v>251</v>
      </c>
      <c r="N448" t="s">
        <v>419</v>
      </c>
      <c r="O448" t="s">
        <v>1289</v>
      </c>
      <c r="P448">
        <v>1.0838486463779999E-4</v>
      </c>
      <c r="Q448" t="s">
        <v>251</v>
      </c>
      <c r="S448" t="s">
        <v>420</v>
      </c>
      <c r="T448" t="s">
        <v>1289</v>
      </c>
      <c r="U448">
        <v>5.2826104773427312E-5</v>
      </c>
      <c r="V448" t="s">
        <v>251</v>
      </c>
      <c r="X448">
        <v>1.1415525114155251E-4</v>
      </c>
      <c r="Y448">
        <v>5.7678442682047593E-5</v>
      </c>
      <c r="Z448" t="s">
        <v>1289</v>
      </c>
      <c r="AA448" t="s">
        <v>25</v>
      </c>
      <c r="AC448" t="s">
        <v>22</v>
      </c>
      <c r="AD448" t="s">
        <v>1289</v>
      </c>
      <c r="AE448">
        <v>1.0639423841397235E-4</v>
      </c>
      <c r="AG448" t="s">
        <v>99</v>
      </c>
      <c r="AH448" t="s">
        <v>1289</v>
      </c>
      <c r="AI448">
        <v>0</v>
      </c>
    </row>
    <row r="449" spans="9:35" x14ac:dyDescent="0.45">
      <c r="I449" t="s">
        <v>249</v>
      </c>
      <c r="J449" t="s">
        <v>1290</v>
      </c>
      <c r="K449">
        <v>1.121213271492E-4</v>
      </c>
      <c r="L449" t="s">
        <v>251</v>
      </c>
      <c r="N449" t="s">
        <v>419</v>
      </c>
      <c r="O449" t="s">
        <v>1290</v>
      </c>
      <c r="P449">
        <v>1.041459011679E-4</v>
      </c>
      <c r="Q449" t="s">
        <v>251</v>
      </c>
      <c r="S449" t="s">
        <v>420</v>
      </c>
      <c r="T449" t="s">
        <v>1290</v>
      </c>
      <c r="U449">
        <v>4.1785900229021184E-5</v>
      </c>
      <c r="V449" t="s">
        <v>251</v>
      </c>
      <c r="X449">
        <v>1.1415525114155251E-4</v>
      </c>
      <c r="Y449">
        <v>1.6905750441289813E-4</v>
      </c>
      <c r="Z449" t="s">
        <v>1290</v>
      </c>
      <c r="AA449" t="s">
        <v>25</v>
      </c>
      <c r="AC449" t="s">
        <v>22</v>
      </c>
      <c r="AD449" t="s">
        <v>1290</v>
      </c>
      <c r="AE449">
        <v>1.0855058668634368E-4</v>
      </c>
      <c r="AG449" t="s">
        <v>99</v>
      </c>
      <c r="AH449" t="s">
        <v>1290</v>
      </c>
      <c r="AI449">
        <v>0</v>
      </c>
    </row>
    <row r="450" spans="9:35" x14ac:dyDescent="0.45">
      <c r="I450" t="s">
        <v>249</v>
      </c>
      <c r="J450" t="s">
        <v>1291</v>
      </c>
      <c r="K450">
        <v>2.176743845729E-4</v>
      </c>
      <c r="L450" t="s">
        <v>251</v>
      </c>
      <c r="N450" t="s">
        <v>419</v>
      </c>
      <c r="O450" t="s">
        <v>1291</v>
      </c>
      <c r="P450">
        <v>8.6742275982607431E-5</v>
      </c>
      <c r="Q450" t="s">
        <v>251</v>
      </c>
      <c r="S450" t="s">
        <v>420</v>
      </c>
      <c r="T450" t="s">
        <v>1291</v>
      </c>
      <c r="U450">
        <v>3.5400224218740363E-5</v>
      </c>
      <c r="V450" t="s">
        <v>251</v>
      </c>
      <c r="X450">
        <v>1.1415525114155251E-4</v>
      </c>
      <c r="Y450">
        <v>1.9060404909297337E-4</v>
      </c>
      <c r="Z450" t="s">
        <v>1291</v>
      </c>
      <c r="AA450" t="s">
        <v>25</v>
      </c>
      <c r="AC450" t="s">
        <v>22</v>
      </c>
      <c r="AD450" t="s">
        <v>1291</v>
      </c>
      <c r="AE450">
        <v>1.1088563785421542E-4</v>
      </c>
      <c r="AG450" t="s">
        <v>99</v>
      </c>
      <c r="AH450" t="s">
        <v>1291</v>
      </c>
      <c r="AI450">
        <v>0</v>
      </c>
    </row>
    <row r="451" spans="9:35" x14ac:dyDescent="0.45">
      <c r="I451" t="s">
        <v>249</v>
      </c>
      <c r="J451" t="s">
        <v>1292</v>
      </c>
      <c r="K451">
        <v>2.8886011859560002E-4</v>
      </c>
      <c r="L451" t="s">
        <v>251</v>
      </c>
      <c r="N451" t="s">
        <v>419</v>
      </c>
      <c r="O451" t="s">
        <v>1292</v>
      </c>
      <c r="P451">
        <v>1.039404719595E-4</v>
      </c>
      <c r="Q451" t="s">
        <v>251</v>
      </c>
      <c r="S451" t="s">
        <v>420</v>
      </c>
      <c r="T451" t="s">
        <v>1292</v>
      </c>
      <c r="U451">
        <v>2.1658128848712416E-5</v>
      </c>
      <c r="V451" t="s">
        <v>251</v>
      </c>
      <c r="X451">
        <v>1.1415525114155251E-4</v>
      </c>
      <c r="Y451">
        <v>1.4585353321897094E-4</v>
      </c>
      <c r="Z451" t="s">
        <v>1292</v>
      </c>
      <c r="AA451" t="s">
        <v>25</v>
      </c>
      <c r="AC451" t="s">
        <v>22</v>
      </c>
      <c r="AD451" t="s">
        <v>1292</v>
      </c>
      <c r="AE451">
        <v>1.1136217890888313E-4</v>
      </c>
      <c r="AG451" t="s">
        <v>99</v>
      </c>
      <c r="AH451" t="s">
        <v>1292</v>
      </c>
      <c r="AI451">
        <v>0</v>
      </c>
    </row>
    <row r="452" spans="9:35" x14ac:dyDescent="0.45">
      <c r="I452" t="s">
        <v>249</v>
      </c>
      <c r="J452" t="s">
        <v>1293</v>
      </c>
      <c r="K452">
        <v>3.2778317146460001E-4</v>
      </c>
      <c r="L452" t="s">
        <v>251</v>
      </c>
      <c r="N452" t="s">
        <v>419</v>
      </c>
      <c r="O452" t="s">
        <v>1293</v>
      </c>
      <c r="P452">
        <v>1.062324417245E-4</v>
      </c>
      <c r="Q452" t="s">
        <v>251</v>
      </c>
      <c r="S452" t="s">
        <v>420</v>
      </c>
      <c r="T452" t="s">
        <v>1293</v>
      </c>
      <c r="U452">
        <v>1.8872564949357971E-5</v>
      </c>
      <c r="V452" t="s">
        <v>251</v>
      </c>
      <c r="X452">
        <v>1.1415525114155251E-4</v>
      </c>
      <c r="Y452">
        <v>1.4452759200788939E-4</v>
      </c>
      <c r="Z452" t="s">
        <v>1293</v>
      </c>
      <c r="AA452" t="s">
        <v>25</v>
      </c>
      <c r="AC452" t="s">
        <v>22</v>
      </c>
      <c r="AD452" t="s">
        <v>1293</v>
      </c>
      <c r="AE452">
        <v>1.1110008132881589E-4</v>
      </c>
      <c r="AG452" t="s">
        <v>99</v>
      </c>
      <c r="AH452" t="s">
        <v>1293</v>
      </c>
      <c r="AI452">
        <v>0</v>
      </c>
    </row>
    <row r="453" spans="9:35" x14ac:dyDescent="0.45">
      <c r="I453" t="s">
        <v>249</v>
      </c>
      <c r="J453" t="s">
        <v>1294</v>
      </c>
      <c r="K453">
        <v>3.4754907123639997E-4</v>
      </c>
      <c r="L453" t="s">
        <v>251</v>
      </c>
      <c r="N453" t="s">
        <v>419</v>
      </c>
      <c r="O453" t="s">
        <v>1294</v>
      </c>
      <c r="P453">
        <v>9.3650011705371237E-5</v>
      </c>
      <c r="Q453" t="s">
        <v>251</v>
      </c>
      <c r="S453" t="s">
        <v>420</v>
      </c>
      <c r="T453" t="s">
        <v>1294</v>
      </c>
      <c r="U453">
        <v>1.6698037427422017E-5</v>
      </c>
      <c r="V453" t="s">
        <v>251</v>
      </c>
      <c r="X453">
        <v>1.1415525114155251E-4</v>
      </c>
      <c r="Y453">
        <v>1.408812536774151E-4</v>
      </c>
      <c r="Z453" t="s">
        <v>1294</v>
      </c>
      <c r="AA453" t="s">
        <v>25</v>
      </c>
      <c r="AC453" t="s">
        <v>22</v>
      </c>
      <c r="AD453" t="s">
        <v>1294</v>
      </c>
      <c r="AE453">
        <v>1.0900330068827801E-4</v>
      </c>
      <c r="AG453" t="s">
        <v>99</v>
      </c>
      <c r="AH453" t="s">
        <v>1294</v>
      </c>
      <c r="AI453">
        <v>0</v>
      </c>
    </row>
    <row r="454" spans="9:35" x14ac:dyDescent="0.45">
      <c r="I454" t="s">
        <v>249</v>
      </c>
      <c r="J454" t="s">
        <v>1295</v>
      </c>
      <c r="K454">
        <v>3.6142221753419999E-4</v>
      </c>
      <c r="L454" t="s">
        <v>251</v>
      </c>
      <c r="N454" t="s">
        <v>419</v>
      </c>
      <c r="O454" t="s">
        <v>1295</v>
      </c>
      <c r="P454">
        <v>8.3514840036070341E-5</v>
      </c>
      <c r="Q454" t="s">
        <v>251</v>
      </c>
      <c r="S454" t="s">
        <v>420</v>
      </c>
      <c r="T454" t="s">
        <v>1295</v>
      </c>
      <c r="U454">
        <v>1.5880877540395731E-5</v>
      </c>
      <c r="V454" t="s">
        <v>251</v>
      </c>
      <c r="X454">
        <v>1.1415525114155251E-4</v>
      </c>
      <c r="Y454">
        <v>1.4054976837464471E-4</v>
      </c>
      <c r="Z454" t="s">
        <v>1295</v>
      </c>
      <c r="AA454" t="s">
        <v>25</v>
      </c>
      <c r="AC454" t="s">
        <v>22</v>
      </c>
      <c r="AD454" t="s">
        <v>1295</v>
      </c>
      <c r="AE454">
        <v>1.0678142802088988E-4</v>
      </c>
      <c r="AG454" t="s">
        <v>99</v>
      </c>
      <c r="AH454" t="s">
        <v>1295</v>
      </c>
      <c r="AI454">
        <v>0</v>
      </c>
    </row>
    <row r="455" spans="9:35" x14ac:dyDescent="0.45">
      <c r="I455" t="s">
        <v>249</v>
      </c>
      <c r="J455" t="s">
        <v>1296</v>
      </c>
      <c r="K455">
        <v>3.65757083397E-4</v>
      </c>
      <c r="L455" t="s">
        <v>251</v>
      </c>
      <c r="N455" t="s">
        <v>419</v>
      </c>
      <c r="O455" t="s">
        <v>1296</v>
      </c>
      <c r="P455">
        <v>7.8465834962217559E-5</v>
      </c>
      <c r="Q455" t="s">
        <v>251</v>
      </c>
      <c r="S455" t="s">
        <v>420</v>
      </c>
      <c r="T455" t="s">
        <v>1296</v>
      </c>
      <c r="U455">
        <v>1.3710556958410301E-5</v>
      </c>
      <c r="V455" t="s">
        <v>251</v>
      </c>
      <c r="X455">
        <v>1.1415525114155251E-4</v>
      </c>
      <c r="Y455">
        <v>1.4253868019126702E-4</v>
      </c>
      <c r="Z455" t="s">
        <v>1296</v>
      </c>
      <c r="AA455" t="s">
        <v>25</v>
      </c>
      <c r="AC455" t="s">
        <v>22</v>
      </c>
      <c r="AD455" t="s">
        <v>1296</v>
      </c>
      <c r="AE455">
        <v>1.0109867594397756E-4</v>
      </c>
      <c r="AG455" t="s">
        <v>99</v>
      </c>
      <c r="AH455" t="s">
        <v>1296</v>
      </c>
      <c r="AI455">
        <v>0</v>
      </c>
    </row>
    <row r="456" spans="9:35" x14ac:dyDescent="0.45">
      <c r="I456" t="s">
        <v>249</v>
      </c>
      <c r="J456" t="s">
        <v>1297</v>
      </c>
      <c r="K456">
        <v>3.5971053873009998E-4</v>
      </c>
      <c r="L456" t="s">
        <v>251</v>
      </c>
      <c r="N456" t="s">
        <v>419</v>
      </c>
      <c r="O456" t="s">
        <v>1297</v>
      </c>
      <c r="P456">
        <v>7.6465880405365535E-5</v>
      </c>
      <c r="Q456" t="s">
        <v>251</v>
      </c>
      <c r="S456" t="s">
        <v>420</v>
      </c>
      <c r="T456" t="s">
        <v>1297</v>
      </c>
      <c r="U456">
        <v>1.1045775586356718E-5</v>
      </c>
      <c r="V456" t="s">
        <v>251</v>
      </c>
      <c r="X456">
        <v>1.1415525114155251E-4</v>
      </c>
      <c r="Y456">
        <v>1.4883690094390442E-4</v>
      </c>
      <c r="Z456" t="s">
        <v>1297</v>
      </c>
      <c r="AA456" t="s">
        <v>25</v>
      </c>
      <c r="AC456" t="s">
        <v>22</v>
      </c>
      <c r="AD456" t="s">
        <v>1297</v>
      </c>
      <c r="AE456">
        <v>9.6928941715635205E-5</v>
      </c>
      <c r="AG456" t="s">
        <v>99</v>
      </c>
      <c r="AH456" t="s">
        <v>1297</v>
      </c>
      <c r="AI456">
        <v>0</v>
      </c>
    </row>
    <row r="457" spans="9:35" x14ac:dyDescent="0.45">
      <c r="I457" t="s">
        <v>249</v>
      </c>
      <c r="J457" t="s">
        <v>1298</v>
      </c>
      <c r="K457">
        <v>3.4693300519809999E-4</v>
      </c>
      <c r="L457" t="s">
        <v>251</v>
      </c>
      <c r="N457" t="s">
        <v>419</v>
      </c>
      <c r="O457" t="s">
        <v>1298</v>
      </c>
      <c r="P457">
        <v>7.4495574966739947E-5</v>
      </c>
      <c r="Q457" t="s">
        <v>251</v>
      </c>
      <c r="S457" t="s">
        <v>420</v>
      </c>
      <c r="T457" t="s">
        <v>1298</v>
      </c>
      <c r="U457">
        <v>9.6026564171302315E-6</v>
      </c>
      <c r="V457" t="s">
        <v>251</v>
      </c>
      <c r="X457">
        <v>1.1415525114155251E-4</v>
      </c>
      <c r="Y457">
        <v>1.5049432745775637E-4</v>
      </c>
      <c r="Z457" t="s">
        <v>1298</v>
      </c>
      <c r="AA457" t="s">
        <v>25</v>
      </c>
      <c r="AC457" t="s">
        <v>22</v>
      </c>
      <c r="AD457" t="s">
        <v>1298</v>
      </c>
      <c r="AE457">
        <v>8.6856055172596726E-5</v>
      </c>
      <c r="AG457" t="s">
        <v>99</v>
      </c>
      <c r="AH457" t="s">
        <v>1298</v>
      </c>
      <c r="AI457">
        <v>0</v>
      </c>
    </row>
    <row r="458" spans="9:35" x14ac:dyDescent="0.45">
      <c r="I458" t="s">
        <v>249</v>
      </c>
      <c r="J458" t="s">
        <v>1299</v>
      </c>
      <c r="K458">
        <v>3.2601525214579998E-4</v>
      </c>
      <c r="L458" t="s">
        <v>251</v>
      </c>
      <c r="N458" t="s">
        <v>419</v>
      </c>
      <c r="O458" t="s">
        <v>1299</v>
      </c>
      <c r="P458">
        <v>7.2566778556945445E-5</v>
      </c>
      <c r="Q458" t="s">
        <v>251</v>
      </c>
      <c r="S458" t="s">
        <v>420</v>
      </c>
      <c r="T458" t="s">
        <v>1299</v>
      </c>
      <c r="U458">
        <v>7.1121373491426233E-6</v>
      </c>
      <c r="V458" t="s">
        <v>251</v>
      </c>
      <c r="X458">
        <v>1.1415525114155251E-4</v>
      </c>
      <c r="Y458">
        <v>1.7237235744060203E-4</v>
      </c>
      <c r="Z458" t="s">
        <v>1299</v>
      </c>
      <c r="AA458" t="s">
        <v>25</v>
      </c>
      <c r="AC458" t="s">
        <v>22</v>
      </c>
      <c r="AD458" t="s">
        <v>1299</v>
      </c>
      <c r="AE458">
        <v>8.1691541492635535E-5</v>
      </c>
      <c r="AG458" t="s">
        <v>99</v>
      </c>
      <c r="AH458" t="s">
        <v>1299</v>
      </c>
      <c r="AI458">
        <v>0</v>
      </c>
    </row>
    <row r="459" spans="9:35" x14ac:dyDescent="0.45">
      <c r="I459" t="s">
        <v>249</v>
      </c>
      <c r="J459" t="s">
        <v>1300</v>
      </c>
      <c r="K459">
        <v>2.9722200473359999E-4</v>
      </c>
      <c r="L459" t="s">
        <v>251</v>
      </c>
      <c r="N459" t="s">
        <v>419</v>
      </c>
      <c r="O459" t="s">
        <v>1300</v>
      </c>
      <c r="P459">
        <v>7.2403484778257919E-5</v>
      </c>
      <c r="Q459" t="s">
        <v>251</v>
      </c>
      <c r="S459" t="s">
        <v>420</v>
      </c>
      <c r="T459" t="s">
        <v>1300</v>
      </c>
      <c r="U459">
        <v>5.6146091019060808E-6</v>
      </c>
      <c r="V459" t="s">
        <v>251</v>
      </c>
      <c r="X459">
        <v>1.1415525114155251E-4</v>
      </c>
      <c r="Y459">
        <v>2.2209515285616027E-4</v>
      </c>
      <c r="Z459" t="s">
        <v>1300</v>
      </c>
      <c r="AA459" t="s">
        <v>25</v>
      </c>
      <c r="AC459" t="s">
        <v>22</v>
      </c>
      <c r="AD459" t="s">
        <v>1300</v>
      </c>
      <c r="AE459">
        <v>7.6211319363957012E-5</v>
      </c>
      <c r="AG459" t="s">
        <v>99</v>
      </c>
      <c r="AH459" t="s">
        <v>1300</v>
      </c>
      <c r="AI459">
        <v>0</v>
      </c>
    </row>
    <row r="460" spans="9:35" x14ac:dyDescent="0.45">
      <c r="I460" t="s">
        <v>249</v>
      </c>
      <c r="J460" t="s">
        <v>1301</v>
      </c>
      <c r="K460">
        <v>2.555694928697E-4</v>
      </c>
      <c r="L460" t="s">
        <v>251</v>
      </c>
      <c r="N460" t="s">
        <v>419</v>
      </c>
      <c r="O460" t="s">
        <v>1301</v>
      </c>
      <c r="P460">
        <v>6.5669095519913794E-5</v>
      </c>
      <c r="Q460" t="s">
        <v>251</v>
      </c>
      <c r="S460" t="s">
        <v>420</v>
      </c>
      <c r="T460" t="s">
        <v>1301</v>
      </c>
      <c r="U460">
        <v>5.7633154205703632E-6</v>
      </c>
      <c r="V460" t="s">
        <v>251</v>
      </c>
      <c r="X460">
        <v>1.1415525114155251E-4</v>
      </c>
      <c r="Y460">
        <v>2.2209515285616027E-4</v>
      </c>
      <c r="Z460" t="s">
        <v>1301</v>
      </c>
      <c r="AA460" t="s">
        <v>25</v>
      </c>
      <c r="AC460" t="s">
        <v>22</v>
      </c>
      <c r="AD460" t="s">
        <v>1301</v>
      </c>
      <c r="AE460">
        <v>7.6169622021673584E-5</v>
      </c>
      <c r="AG460" t="s">
        <v>99</v>
      </c>
      <c r="AH460" t="s">
        <v>1301</v>
      </c>
      <c r="AI460">
        <v>0</v>
      </c>
    </row>
    <row r="461" spans="9:35" x14ac:dyDescent="0.45">
      <c r="I461" t="s">
        <v>249</v>
      </c>
      <c r="J461" t="s">
        <v>1302</v>
      </c>
      <c r="K461">
        <v>1.673723804501E-4</v>
      </c>
      <c r="L461" t="s">
        <v>251</v>
      </c>
      <c r="N461" t="s">
        <v>419</v>
      </c>
      <c r="O461" t="s">
        <v>1302</v>
      </c>
      <c r="P461">
        <v>4.1468061827791683E-5</v>
      </c>
      <c r="Q461" t="s">
        <v>251</v>
      </c>
      <c r="S461" t="s">
        <v>420</v>
      </c>
      <c r="T461" t="s">
        <v>1302</v>
      </c>
      <c r="U461">
        <v>9.3601072694441684E-6</v>
      </c>
      <c r="V461" t="s">
        <v>251</v>
      </c>
      <c r="X461">
        <v>1.1415525114155251E-4</v>
      </c>
      <c r="Y461">
        <v>1.7237235744060203E-4</v>
      </c>
      <c r="Z461" t="s">
        <v>1302</v>
      </c>
      <c r="AA461" t="s">
        <v>25</v>
      </c>
      <c r="AC461" t="s">
        <v>22</v>
      </c>
      <c r="AD461" t="s">
        <v>1302</v>
      </c>
      <c r="AE461">
        <v>7.6384065496274046E-5</v>
      </c>
      <c r="AG461" t="s">
        <v>99</v>
      </c>
      <c r="AH461" t="s">
        <v>1302</v>
      </c>
      <c r="AI461">
        <v>0</v>
      </c>
    </row>
    <row r="462" spans="9:35" x14ac:dyDescent="0.45">
      <c r="I462" t="s">
        <v>249</v>
      </c>
      <c r="J462" t="s">
        <v>1303</v>
      </c>
      <c r="K462">
        <v>2.7475005004409112E-5</v>
      </c>
      <c r="L462" t="s">
        <v>251</v>
      </c>
      <c r="N462" t="s">
        <v>419</v>
      </c>
      <c r="O462" t="s">
        <v>1303</v>
      </c>
      <c r="P462">
        <v>4.8902644317692109E-5</v>
      </c>
      <c r="Q462" t="s">
        <v>251</v>
      </c>
      <c r="S462" t="s">
        <v>420</v>
      </c>
      <c r="T462" t="s">
        <v>1303</v>
      </c>
      <c r="U462">
        <v>1.2720629891474404E-5</v>
      </c>
      <c r="V462" t="s">
        <v>251</v>
      </c>
      <c r="X462">
        <v>1.1415525114155251E-4</v>
      </c>
      <c r="Y462">
        <v>1.5579809230208258E-4</v>
      </c>
      <c r="Z462" t="s">
        <v>1303</v>
      </c>
      <c r="AA462" t="s">
        <v>25</v>
      </c>
      <c r="AC462" t="s">
        <v>22</v>
      </c>
      <c r="AD462" t="s">
        <v>1303</v>
      </c>
      <c r="AE462">
        <v>8.1125648990217639E-5</v>
      </c>
      <c r="AG462" t="s">
        <v>99</v>
      </c>
      <c r="AH462" t="s">
        <v>1303</v>
      </c>
      <c r="AI462">
        <v>0</v>
      </c>
    </row>
    <row r="463" spans="9:35" x14ac:dyDescent="0.45">
      <c r="I463" t="s">
        <v>249</v>
      </c>
      <c r="J463" t="s">
        <v>1304</v>
      </c>
      <c r="K463">
        <v>0</v>
      </c>
      <c r="L463" t="s">
        <v>251</v>
      </c>
      <c r="N463" t="s">
        <v>419</v>
      </c>
      <c r="O463" t="s">
        <v>1304</v>
      </c>
      <c r="P463">
        <v>7.5963761314667711E-5</v>
      </c>
      <c r="Q463" t="s">
        <v>251</v>
      </c>
      <c r="S463" t="s">
        <v>420</v>
      </c>
      <c r="T463" t="s">
        <v>1304</v>
      </c>
      <c r="U463">
        <v>2.7047665111862023E-5</v>
      </c>
      <c r="V463" t="s">
        <v>251</v>
      </c>
      <c r="X463">
        <v>1.1415525114155251E-4</v>
      </c>
      <c r="Y463">
        <v>1.093901499142282E-4</v>
      </c>
      <c r="Z463" t="s">
        <v>1304</v>
      </c>
      <c r="AA463" t="s">
        <v>25</v>
      </c>
      <c r="AC463" t="s">
        <v>22</v>
      </c>
      <c r="AD463" t="s">
        <v>1304</v>
      </c>
      <c r="AE463">
        <v>8.6832228119863329E-5</v>
      </c>
      <c r="AG463" t="s">
        <v>99</v>
      </c>
      <c r="AH463" t="s">
        <v>1304</v>
      </c>
      <c r="AI463">
        <v>0</v>
      </c>
    </row>
    <row r="464" spans="9:35" x14ac:dyDescent="0.45">
      <c r="I464" t="s">
        <v>249</v>
      </c>
      <c r="J464" t="s">
        <v>1305</v>
      </c>
      <c r="K464">
        <v>0</v>
      </c>
      <c r="L464" t="s">
        <v>251</v>
      </c>
      <c r="N464" t="s">
        <v>419</v>
      </c>
      <c r="O464" t="s">
        <v>1305</v>
      </c>
      <c r="P464">
        <v>1.080178049834E-4</v>
      </c>
      <c r="Q464" t="s">
        <v>251</v>
      </c>
      <c r="S464" t="s">
        <v>420</v>
      </c>
      <c r="T464" t="s">
        <v>1305</v>
      </c>
      <c r="U464">
        <v>5.3345812249777229E-5</v>
      </c>
      <c r="V464" t="s">
        <v>251</v>
      </c>
      <c r="X464">
        <v>1.1415525114155251E-4</v>
      </c>
      <c r="Y464">
        <v>7.9556472664893237E-5</v>
      </c>
      <c r="Z464" t="s">
        <v>1305</v>
      </c>
      <c r="AA464" t="s">
        <v>25</v>
      </c>
      <c r="AC464" t="s">
        <v>22</v>
      </c>
      <c r="AD464" t="s">
        <v>1305</v>
      </c>
      <c r="AE464">
        <v>9.5237220971564881E-5</v>
      </c>
      <c r="AG464" t="s">
        <v>99</v>
      </c>
      <c r="AH464" t="s">
        <v>1305</v>
      </c>
      <c r="AI464">
        <v>0</v>
      </c>
    </row>
    <row r="465" spans="9:35" x14ac:dyDescent="0.45">
      <c r="I465" t="s">
        <v>249</v>
      </c>
      <c r="J465" t="s">
        <v>1306</v>
      </c>
      <c r="K465">
        <v>0</v>
      </c>
      <c r="L465" t="s">
        <v>251</v>
      </c>
      <c r="N465" t="s">
        <v>419</v>
      </c>
      <c r="O465" t="s">
        <v>1306</v>
      </c>
      <c r="P465">
        <v>1.2983617941240001E-4</v>
      </c>
      <c r="Q465" t="s">
        <v>251</v>
      </c>
      <c r="S465" t="s">
        <v>420</v>
      </c>
      <c r="T465" t="s">
        <v>1306</v>
      </c>
      <c r="U465">
        <v>9.5096968936534155E-5</v>
      </c>
      <c r="V465" t="s">
        <v>251</v>
      </c>
      <c r="X465">
        <v>1.1415525114155251E-4</v>
      </c>
      <c r="Y465">
        <v>5.6352501470966035E-5</v>
      </c>
      <c r="Z465" t="s">
        <v>1306</v>
      </c>
      <c r="AA465" t="s">
        <v>25</v>
      </c>
      <c r="AC465" t="s">
        <v>22</v>
      </c>
      <c r="AD465" t="s">
        <v>1306</v>
      </c>
      <c r="AE465">
        <v>1.0245681794978052E-4</v>
      </c>
      <c r="AG465" t="s">
        <v>99</v>
      </c>
      <c r="AH465" t="s">
        <v>1306</v>
      </c>
      <c r="AI465">
        <v>0</v>
      </c>
    </row>
    <row r="466" spans="9:35" x14ac:dyDescent="0.45">
      <c r="I466" t="s">
        <v>249</v>
      </c>
      <c r="J466" t="s">
        <v>1307</v>
      </c>
      <c r="K466">
        <v>0</v>
      </c>
      <c r="L466" t="s">
        <v>251</v>
      </c>
      <c r="N466" t="s">
        <v>419</v>
      </c>
      <c r="O466" t="s">
        <v>1307</v>
      </c>
      <c r="P466">
        <v>1.44020696461E-4</v>
      </c>
      <c r="Q466" t="s">
        <v>251</v>
      </c>
      <c r="S466" t="s">
        <v>420</v>
      </c>
      <c r="T466" t="s">
        <v>1307</v>
      </c>
      <c r="U466">
        <v>1.3057835369060001E-4</v>
      </c>
      <c r="V466" t="s">
        <v>251</v>
      </c>
      <c r="X466">
        <v>1.1415525114155251E-4</v>
      </c>
      <c r="Y466">
        <v>2.9833677249334962E-5</v>
      </c>
      <c r="Z466" t="s">
        <v>1307</v>
      </c>
      <c r="AA466" t="s">
        <v>25</v>
      </c>
      <c r="AC466" t="s">
        <v>22</v>
      </c>
      <c r="AD466" t="s">
        <v>1307</v>
      </c>
      <c r="AE466">
        <v>1.0152756289317849E-4</v>
      </c>
      <c r="AG466" t="s">
        <v>99</v>
      </c>
      <c r="AH466" t="s">
        <v>1307</v>
      </c>
      <c r="AI466">
        <v>0</v>
      </c>
    </row>
    <row r="467" spans="9:35" x14ac:dyDescent="0.45">
      <c r="AC467" t="s">
        <v>19</v>
      </c>
      <c r="AD467" t="s">
        <v>250</v>
      </c>
      <c r="AE467">
        <v>2.1456565378467178E-2</v>
      </c>
    </row>
    <row r="468" spans="9:35" x14ac:dyDescent="0.45">
      <c r="AC468" t="s">
        <v>19</v>
      </c>
      <c r="AD468" t="s">
        <v>252</v>
      </c>
      <c r="AE468">
        <v>3.576040295125745E-3</v>
      </c>
    </row>
    <row r="469" spans="9:35" x14ac:dyDescent="0.45">
      <c r="AC469" t="s">
        <v>19</v>
      </c>
      <c r="AD469" t="s">
        <v>253</v>
      </c>
      <c r="AE469">
        <v>3.5736532532879115E-3</v>
      </c>
    </row>
    <row r="470" spans="9:35" x14ac:dyDescent="0.45">
      <c r="AC470" t="s">
        <v>19</v>
      </c>
      <c r="AD470" t="s">
        <v>254</v>
      </c>
      <c r="AE470">
        <v>2.1308912110266864E-2</v>
      </c>
    </row>
    <row r="471" spans="9:35" x14ac:dyDescent="0.45">
      <c r="AC471" t="s">
        <v>19</v>
      </c>
      <c r="AD471" t="s">
        <v>255</v>
      </c>
      <c r="AE471">
        <v>1.044333875225935E-2</v>
      </c>
    </row>
    <row r="472" spans="9:35" x14ac:dyDescent="0.45">
      <c r="AC472" t="s">
        <v>19</v>
      </c>
      <c r="AD472" t="s">
        <v>256</v>
      </c>
      <c r="AE472">
        <v>3.4710603292848782E-3</v>
      </c>
    </row>
    <row r="473" spans="9:35" x14ac:dyDescent="0.45">
      <c r="AC473" t="s">
        <v>19</v>
      </c>
      <c r="AD473" t="s">
        <v>257</v>
      </c>
      <c r="AE473">
        <v>3.4720253530016311E-3</v>
      </c>
    </row>
    <row r="474" spans="9:35" x14ac:dyDescent="0.45">
      <c r="AC474" t="s">
        <v>19</v>
      </c>
      <c r="AD474" t="s">
        <v>258</v>
      </c>
      <c r="AE474">
        <v>1.7648070356031446E-2</v>
      </c>
    </row>
    <row r="475" spans="9:35" x14ac:dyDescent="0.45">
      <c r="AC475" t="s">
        <v>19</v>
      </c>
      <c r="AD475" t="s">
        <v>259</v>
      </c>
      <c r="AE475">
        <v>1.9338882885437635E-2</v>
      </c>
    </row>
    <row r="476" spans="9:35" x14ac:dyDescent="0.45">
      <c r="AC476" t="s">
        <v>19</v>
      </c>
      <c r="AD476" t="s">
        <v>260</v>
      </c>
      <c r="AE476">
        <v>3.2252687047878417E-3</v>
      </c>
    </row>
    <row r="477" spans="9:35" x14ac:dyDescent="0.45">
      <c r="AC477" t="s">
        <v>19</v>
      </c>
      <c r="AD477" t="s">
        <v>261</v>
      </c>
      <c r="AE477">
        <v>3.2251801669548538E-3</v>
      </c>
    </row>
    <row r="478" spans="9:35" x14ac:dyDescent="0.45">
      <c r="AC478" t="s">
        <v>19</v>
      </c>
      <c r="AD478" t="s">
        <v>262</v>
      </c>
      <c r="AE478">
        <v>1.9240831294999098E-2</v>
      </c>
    </row>
    <row r="479" spans="9:35" x14ac:dyDescent="0.45">
      <c r="AC479" t="s">
        <v>19</v>
      </c>
      <c r="AD479" t="s">
        <v>263</v>
      </c>
      <c r="AE479">
        <v>9.4468789817617298E-3</v>
      </c>
    </row>
    <row r="480" spans="9:35" x14ac:dyDescent="0.45">
      <c r="AC480" t="s">
        <v>19</v>
      </c>
      <c r="AD480" t="s">
        <v>264</v>
      </c>
      <c r="AE480">
        <v>3.1401567833205745E-3</v>
      </c>
    </row>
    <row r="481" spans="29:31" x14ac:dyDescent="0.45">
      <c r="AC481" t="s">
        <v>19</v>
      </c>
      <c r="AD481" t="s">
        <v>265</v>
      </c>
      <c r="AE481">
        <v>3.1404962427850408E-3</v>
      </c>
    </row>
    <row r="482" spans="29:31" x14ac:dyDescent="0.45">
      <c r="AC482" t="s">
        <v>19</v>
      </c>
      <c r="AD482" t="s">
        <v>266</v>
      </c>
      <c r="AE482">
        <v>1.5953616264111251E-2</v>
      </c>
    </row>
    <row r="483" spans="29:31" x14ac:dyDescent="0.45">
      <c r="AC483" t="s">
        <v>19</v>
      </c>
      <c r="AD483" t="s">
        <v>267</v>
      </c>
      <c r="AE483">
        <v>2.1406099770568909E-2</v>
      </c>
    </row>
    <row r="484" spans="29:31" x14ac:dyDescent="0.45">
      <c r="AC484" t="s">
        <v>19</v>
      </c>
      <c r="AD484" t="s">
        <v>268</v>
      </c>
      <c r="AE484">
        <v>3.5705543953033956E-3</v>
      </c>
    </row>
    <row r="485" spans="29:31" x14ac:dyDescent="0.45">
      <c r="AC485" t="s">
        <v>19</v>
      </c>
      <c r="AD485" t="s">
        <v>269</v>
      </c>
      <c r="AE485">
        <v>3.5700579648337196E-3</v>
      </c>
    </row>
    <row r="486" spans="29:31" x14ac:dyDescent="0.45">
      <c r="AC486" t="s">
        <v>19</v>
      </c>
      <c r="AD486" t="s">
        <v>270</v>
      </c>
      <c r="AE486">
        <v>2.1303818855435835E-2</v>
      </c>
    </row>
    <row r="487" spans="29:31" x14ac:dyDescent="0.45">
      <c r="AC487" t="s">
        <v>19</v>
      </c>
      <c r="AD487" t="s">
        <v>271</v>
      </c>
      <c r="AE487">
        <v>1.0459243370575593E-2</v>
      </c>
    </row>
    <row r="488" spans="29:31" x14ac:dyDescent="0.45">
      <c r="AC488" t="s">
        <v>19</v>
      </c>
      <c r="AD488" t="s">
        <v>272</v>
      </c>
      <c r="AE488">
        <v>3.4767112516424447E-3</v>
      </c>
    </row>
    <row r="489" spans="29:31" x14ac:dyDescent="0.45">
      <c r="AC489" t="s">
        <v>19</v>
      </c>
      <c r="AD489" t="s">
        <v>273</v>
      </c>
      <c r="AE489">
        <v>3.4773333362419063E-3</v>
      </c>
    </row>
    <row r="490" spans="29:31" x14ac:dyDescent="0.45">
      <c r="AC490" t="s">
        <v>19</v>
      </c>
      <c r="AD490" t="s">
        <v>274</v>
      </c>
      <c r="AE490">
        <v>1.7662409062916596E-2</v>
      </c>
    </row>
    <row r="491" spans="29:31" x14ac:dyDescent="0.45">
      <c r="AC491" t="s">
        <v>19</v>
      </c>
      <c r="AD491" t="s">
        <v>275</v>
      </c>
      <c r="AE491">
        <v>2.0694850968251445E-2</v>
      </c>
    </row>
    <row r="492" spans="29:31" x14ac:dyDescent="0.45">
      <c r="AC492" t="s">
        <v>19</v>
      </c>
      <c r="AD492" t="s">
        <v>276</v>
      </c>
      <c r="AE492">
        <v>3.4504237579177808E-3</v>
      </c>
    </row>
    <row r="493" spans="29:31" x14ac:dyDescent="0.45">
      <c r="AC493" t="s">
        <v>19</v>
      </c>
      <c r="AD493" t="s">
        <v>277</v>
      </c>
      <c r="AE493">
        <v>3.4522266047091348E-3</v>
      </c>
    </row>
    <row r="494" spans="29:31" x14ac:dyDescent="0.45">
      <c r="AC494" t="s">
        <v>19</v>
      </c>
      <c r="AD494" t="s">
        <v>278</v>
      </c>
      <c r="AE494">
        <v>2.0660796765939099E-2</v>
      </c>
    </row>
    <row r="495" spans="29:31" x14ac:dyDescent="0.45">
      <c r="AC495" t="s">
        <v>19</v>
      </c>
      <c r="AD495" t="s">
        <v>279</v>
      </c>
      <c r="AE495">
        <v>1.0145478419643389E-2</v>
      </c>
    </row>
    <row r="496" spans="29:31" x14ac:dyDescent="0.45">
      <c r="AC496" t="s">
        <v>19</v>
      </c>
      <c r="AD496" t="s">
        <v>280</v>
      </c>
      <c r="AE496">
        <v>3.361101456532469E-3</v>
      </c>
    </row>
    <row r="497" spans="29:31" x14ac:dyDescent="0.45">
      <c r="AC497" t="s">
        <v>19</v>
      </c>
      <c r="AD497" t="s">
        <v>281</v>
      </c>
      <c r="AE497">
        <v>3.3621372331899936E-3</v>
      </c>
    </row>
    <row r="498" spans="29:31" x14ac:dyDescent="0.45">
      <c r="AC498" t="s">
        <v>19</v>
      </c>
      <c r="AD498" t="s">
        <v>282</v>
      </c>
      <c r="AE498">
        <v>1.7050597402635478E-2</v>
      </c>
    </row>
    <row r="499" spans="29:31" x14ac:dyDescent="0.45">
      <c r="AC499" t="s">
        <v>19</v>
      </c>
      <c r="AD499" t="s">
        <v>283</v>
      </c>
      <c r="AE499">
        <v>2.06926312864898E-2</v>
      </c>
    </row>
    <row r="500" spans="29:31" x14ac:dyDescent="0.45">
      <c r="AC500" t="s">
        <v>19</v>
      </c>
      <c r="AD500" t="s">
        <v>284</v>
      </c>
      <c r="AE500">
        <v>3.4484150877910572E-3</v>
      </c>
    </row>
    <row r="501" spans="29:31" x14ac:dyDescent="0.45">
      <c r="AC501" t="s">
        <v>19</v>
      </c>
      <c r="AD501" t="s">
        <v>285</v>
      </c>
      <c r="AE501">
        <v>3.4522195082128723E-3</v>
      </c>
    </row>
    <row r="502" spans="29:31" x14ac:dyDescent="0.45">
      <c r="AC502" t="s">
        <v>19</v>
      </c>
      <c r="AD502" t="s">
        <v>286</v>
      </c>
      <c r="AE502">
        <v>2.0689569192003949E-2</v>
      </c>
    </row>
    <row r="503" spans="29:31" x14ac:dyDescent="0.45">
      <c r="AC503" t="s">
        <v>19</v>
      </c>
      <c r="AD503" t="s">
        <v>287</v>
      </c>
      <c r="AE503">
        <v>1.0151348569015131E-2</v>
      </c>
    </row>
    <row r="504" spans="29:31" x14ac:dyDescent="0.45">
      <c r="AC504" t="s">
        <v>19</v>
      </c>
      <c r="AD504" t="s">
        <v>288</v>
      </c>
      <c r="AE504">
        <v>3.3595691122146553E-3</v>
      </c>
    </row>
    <row r="505" spans="29:31" x14ac:dyDescent="0.45">
      <c r="AC505" t="s">
        <v>19</v>
      </c>
      <c r="AD505" t="s">
        <v>289</v>
      </c>
      <c r="AE505">
        <v>3.361224653703092E-3</v>
      </c>
    </row>
    <row r="506" spans="29:31" x14ac:dyDescent="0.45">
      <c r="AC506" t="s">
        <v>19</v>
      </c>
      <c r="AD506" t="s">
        <v>290</v>
      </c>
      <c r="AE506">
        <v>1.7048127709689151E-2</v>
      </c>
    </row>
    <row r="507" spans="29:31" x14ac:dyDescent="0.45">
      <c r="AC507" t="s">
        <v>19</v>
      </c>
      <c r="AD507" t="s">
        <v>948</v>
      </c>
      <c r="AE507">
        <v>1.1369503585542452E-4</v>
      </c>
    </row>
    <row r="508" spans="29:31" x14ac:dyDescent="0.45">
      <c r="AC508" t="s">
        <v>19</v>
      </c>
      <c r="AD508" t="s">
        <v>949</v>
      </c>
      <c r="AE508">
        <v>1.1371204749145701E-4</v>
      </c>
    </row>
    <row r="509" spans="29:31" x14ac:dyDescent="0.45">
      <c r="AC509" t="s">
        <v>19</v>
      </c>
      <c r="AD509" t="s">
        <v>950</v>
      </c>
      <c r="AE509">
        <v>1.1360533813816223E-4</v>
      </c>
    </row>
    <row r="510" spans="29:31" x14ac:dyDescent="0.45">
      <c r="AC510" t="s">
        <v>19</v>
      </c>
      <c r="AD510" t="s">
        <v>951</v>
      </c>
      <c r="AE510">
        <v>1.1358330033693829E-4</v>
      </c>
    </row>
    <row r="511" spans="29:31" x14ac:dyDescent="0.45">
      <c r="AC511" t="s">
        <v>19</v>
      </c>
      <c r="AD511" t="s">
        <v>952</v>
      </c>
      <c r="AE511">
        <v>1.135713148660972E-4</v>
      </c>
    </row>
    <row r="512" spans="29:31" x14ac:dyDescent="0.45">
      <c r="AC512" t="s">
        <v>19</v>
      </c>
      <c r="AD512" t="s">
        <v>953</v>
      </c>
      <c r="AE512">
        <v>1.1361771023709495E-4</v>
      </c>
    </row>
    <row r="513" spans="29:31" x14ac:dyDescent="0.45">
      <c r="AC513" t="s">
        <v>19</v>
      </c>
      <c r="AD513" t="s">
        <v>954</v>
      </c>
      <c r="AE513">
        <v>1.1365946607099291E-4</v>
      </c>
    </row>
    <row r="514" spans="29:31" x14ac:dyDescent="0.45">
      <c r="AC514" t="s">
        <v>19</v>
      </c>
      <c r="AD514" t="s">
        <v>955</v>
      </c>
      <c r="AE514">
        <v>1.1419726574647507E-4</v>
      </c>
    </row>
    <row r="515" spans="29:31" x14ac:dyDescent="0.45">
      <c r="AC515" t="s">
        <v>19</v>
      </c>
      <c r="AD515" t="s">
        <v>956</v>
      </c>
      <c r="AE515">
        <v>1.1449419612086063E-4</v>
      </c>
    </row>
    <row r="516" spans="29:31" x14ac:dyDescent="0.45">
      <c r="AC516" t="s">
        <v>19</v>
      </c>
      <c r="AD516" t="s">
        <v>957</v>
      </c>
      <c r="AE516">
        <v>1.1451468740971797E-4</v>
      </c>
    </row>
    <row r="517" spans="29:31" x14ac:dyDescent="0.45">
      <c r="AC517" t="s">
        <v>19</v>
      </c>
      <c r="AD517" t="s">
        <v>958</v>
      </c>
      <c r="AE517">
        <v>1.1475903636363941E-4</v>
      </c>
    </row>
    <row r="518" spans="29:31" x14ac:dyDescent="0.45">
      <c r="AC518" t="s">
        <v>19</v>
      </c>
      <c r="AD518" t="s">
        <v>959</v>
      </c>
      <c r="AE518">
        <v>1.1472385320729945E-4</v>
      </c>
    </row>
    <row r="519" spans="29:31" x14ac:dyDescent="0.45">
      <c r="AC519" t="s">
        <v>19</v>
      </c>
      <c r="AD519" t="s">
        <v>960</v>
      </c>
      <c r="AE519">
        <v>1.1445862633642903E-4</v>
      </c>
    </row>
    <row r="520" spans="29:31" x14ac:dyDescent="0.45">
      <c r="AC520" t="s">
        <v>19</v>
      </c>
      <c r="AD520" t="s">
        <v>961</v>
      </c>
      <c r="AE520">
        <v>1.1414043141700283E-4</v>
      </c>
    </row>
    <row r="521" spans="29:31" x14ac:dyDescent="0.45">
      <c r="AC521" t="s">
        <v>19</v>
      </c>
      <c r="AD521" t="s">
        <v>962</v>
      </c>
      <c r="AE521">
        <v>1.1342439619127102E-4</v>
      </c>
    </row>
    <row r="522" spans="29:31" x14ac:dyDescent="0.45">
      <c r="AC522" t="s">
        <v>19</v>
      </c>
      <c r="AD522" t="s">
        <v>963</v>
      </c>
      <c r="AE522">
        <v>1.1243965444184394E-4</v>
      </c>
    </row>
    <row r="523" spans="29:31" x14ac:dyDescent="0.45">
      <c r="AC523" t="s">
        <v>19</v>
      </c>
      <c r="AD523" t="s">
        <v>964</v>
      </c>
      <c r="AE523">
        <v>1.1213421824944213E-4</v>
      </c>
    </row>
    <row r="524" spans="29:31" x14ac:dyDescent="0.45">
      <c r="AC524" t="s">
        <v>19</v>
      </c>
      <c r="AD524" t="s">
        <v>965</v>
      </c>
      <c r="AE524">
        <v>1.1178857273550894E-4</v>
      </c>
    </row>
    <row r="525" spans="29:31" x14ac:dyDescent="0.45">
      <c r="AC525" t="s">
        <v>19</v>
      </c>
      <c r="AD525" t="s">
        <v>966</v>
      </c>
      <c r="AE525">
        <v>1.1175222969489406E-4</v>
      </c>
    </row>
    <row r="526" spans="29:31" x14ac:dyDescent="0.45">
      <c r="AC526" t="s">
        <v>19</v>
      </c>
      <c r="AD526" t="s">
        <v>967</v>
      </c>
      <c r="AE526">
        <v>1.1182220937948231E-4</v>
      </c>
    </row>
    <row r="527" spans="29:31" x14ac:dyDescent="0.45">
      <c r="AC527" t="s">
        <v>19</v>
      </c>
      <c r="AD527" t="s">
        <v>968</v>
      </c>
      <c r="AE527">
        <v>1.1218100024853153E-4</v>
      </c>
    </row>
    <row r="528" spans="29:31" x14ac:dyDescent="0.45">
      <c r="AC528" t="s">
        <v>19</v>
      </c>
      <c r="AD528" t="s">
        <v>969</v>
      </c>
      <c r="AE528">
        <v>1.1257922718292881E-4</v>
      </c>
    </row>
    <row r="529" spans="29:31" x14ac:dyDescent="0.45">
      <c r="AC529" t="s">
        <v>19</v>
      </c>
      <c r="AD529" t="s">
        <v>970</v>
      </c>
      <c r="AE529">
        <v>1.1314409082482632E-4</v>
      </c>
    </row>
    <row r="530" spans="29:31" x14ac:dyDescent="0.45">
      <c r="AC530" t="s">
        <v>19</v>
      </c>
      <c r="AD530" t="s">
        <v>971</v>
      </c>
      <c r="AE530">
        <v>1.1354734392441505E-4</v>
      </c>
    </row>
    <row r="531" spans="29:31" x14ac:dyDescent="0.45">
      <c r="AC531" t="s">
        <v>19</v>
      </c>
      <c r="AD531" t="s">
        <v>291</v>
      </c>
      <c r="AE531">
        <v>1.7884164437970702E-2</v>
      </c>
    </row>
    <row r="532" spans="29:31" x14ac:dyDescent="0.45">
      <c r="AC532" t="s">
        <v>19</v>
      </c>
      <c r="AD532" t="s">
        <v>292</v>
      </c>
      <c r="AE532">
        <v>2.9807898278858156E-3</v>
      </c>
    </row>
    <row r="533" spans="29:31" x14ac:dyDescent="0.45">
      <c r="AC533" t="s">
        <v>19</v>
      </c>
      <c r="AD533" t="s">
        <v>293</v>
      </c>
      <c r="AE533">
        <v>2.9943979768275453E-3</v>
      </c>
    </row>
    <row r="534" spans="29:31" x14ac:dyDescent="0.45">
      <c r="AC534" t="s">
        <v>19</v>
      </c>
      <c r="AD534" t="s">
        <v>294</v>
      </c>
      <c r="AE534">
        <v>1.7964272232047773E-2</v>
      </c>
    </row>
    <row r="535" spans="29:31" x14ac:dyDescent="0.45">
      <c r="AC535" t="s">
        <v>19</v>
      </c>
      <c r="AD535" t="s">
        <v>295</v>
      </c>
      <c r="AE535">
        <v>8.7869434443026435E-3</v>
      </c>
    </row>
    <row r="536" spans="29:31" x14ac:dyDescent="0.45">
      <c r="AC536" t="s">
        <v>19</v>
      </c>
      <c r="AD536" t="s">
        <v>296</v>
      </c>
      <c r="AE536">
        <v>2.9068379262839638E-3</v>
      </c>
    </row>
    <row r="537" spans="29:31" x14ac:dyDescent="0.45">
      <c r="AC537" t="s">
        <v>19</v>
      </c>
      <c r="AD537" t="s">
        <v>297</v>
      </c>
      <c r="AE537">
        <v>2.9080701100120455E-3</v>
      </c>
    </row>
    <row r="538" spans="29:31" x14ac:dyDescent="0.45">
      <c r="AC538" t="s">
        <v>19</v>
      </c>
      <c r="AD538" t="s">
        <v>298</v>
      </c>
      <c r="AE538">
        <v>1.4774556702625383E-2</v>
      </c>
    </row>
    <row r="539" spans="29:31" x14ac:dyDescent="0.45">
      <c r="AC539" t="s">
        <v>19</v>
      </c>
      <c r="AD539" t="s">
        <v>972</v>
      </c>
      <c r="AE539">
        <v>1.158172457286859E-4</v>
      </c>
    </row>
    <row r="540" spans="29:31" x14ac:dyDescent="0.45">
      <c r="AC540" t="s">
        <v>19</v>
      </c>
      <c r="AD540" t="s">
        <v>973</v>
      </c>
      <c r="AE540">
        <v>1.1544376299215406E-4</v>
      </c>
    </row>
    <row r="541" spans="29:31" x14ac:dyDescent="0.45">
      <c r="AC541" t="s">
        <v>19</v>
      </c>
      <c r="AD541" t="s">
        <v>974</v>
      </c>
      <c r="AE541">
        <v>1.1535793155580825E-4</v>
      </c>
    </row>
    <row r="542" spans="29:31" x14ac:dyDescent="0.45">
      <c r="AC542" t="s">
        <v>19</v>
      </c>
      <c r="AD542" t="s">
        <v>975</v>
      </c>
      <c r="AE542">
        <v>1.1533705363885927E-4</v>
      </c>
    </row>
    <row r="543" spans="29:31" x14ac:dyDescent="0.45">
      <c r="AC543" t="s">
        <v>19</v>
      </c>
      <c r="AD543" t="s">
        <v>976</v>
      </c>
      <c r="AE543">
        <v>1.1525934139243806E-4</v>
      </c>
    </row>
    <row r="544" spans="29:31" x14ac:dyDescent="0.45">
      <c r="AC544" t="s">
        <v>19</v>
      </c>
      <c r="AD544" t="s">
        <v>977</v>
      </c>
      <c r="AE544">
        <v>1.1525934139243806E-4</v>
      </c>
    </row>
    <row r="545" spans="29:31" x14ac:dyDescent="0.45">
      <c r="AC545" t="s">
        <v>19</v>
      </c>
      <c r="AD545" t="s">
        <v>978</v>
      </c>
      <c r="AE545">
        <v>1.1528563210267011E-4</v>
      </c>
    </row>
    <row r="546" spans="29:31" x14ac:dyDescent="0.45">
      <c r="AC546" t="s">
        <v>19</v>
      </c>
      <c r="AD546" t="s">
        <v>979</v>
      </c>
      <c r="AE546">
        <v>1.1601249291496808E-4</v>
      </c>
    </row>
    <row r="547" spans="29:31" x14ac:dyDescent="0.45">
      <c r="AC547" t="s">
        <v>19</v>
      </c>
      <c r="AD547" t="s">
        <v>980</v>
      </c>
      <c r="AE547">
        <v>1.1616985054826876E-4</v>
      </c>
    </row>
    <row r="548" spans="29:31" x14ac:dyDescent="0.45">
      <c r="AC548" t="s">
        <v>19</v>
      </c>
      <c r="AD548" t="s">
        <v>981</v>
      </c>
      <c r="AE548">
        <v>1.1623055115865747E-4</v>
      </c>
    </row>
    <row r="549" spans="29:31" x14ac:dyDescent="0.45">
      <c r="AC549" t="s">
        <v>19</v>
      </c>
      <c r="AD549" t="s">
        <v>982</v>
      </c>
      <c r="AE549">
        <v>1.1674437989245746E-4</v>
      </c>
    </row>
    <row r="550" spans="29:31" x14ac:dyDescent="0.45">
      <c r="AC550" t="s">
        <v>19</v>
      </c>
      <c r="AD550" t="s">
        <v>983</v>
      </c>
      <c r="AE550">
        <v>1.163488593547017E-4</v>
      </c>
    </row>
    <row r="551" spans="29:31" x14ac:dyDescent="0.45">
      <c r="AC551" t="s">
        <v>19</v>
      </c>
      <c r="AD551" t="s">
        <v>984</v>
      </c>
      <c r="AE551">
        <v>1.155044636025428E-4</v>
      </c>
    </row>
    <row r="552" spans="29:31" x14ac:dyDescent="0.45">
      <c r="AC552" t="s">
        <v>19</v>
      </c>
      <c r="AD552" t="s">
        <v>985</v>
      </c>
      <c r="AE552">
        <v>1.1454253291052292E-4</v>
      </c>
    </row>
    <row r="553" spans="29:31" x14ac:dyDescent="0.45">
      <c r="AC553" t="s">
        <v>19</v>
      </c>
      <c r="AD553" t="s">
        <v>986</v>
      </c>
      <c r="AE553">
        <v>1.1377584940478522E-4</v>
      </c>
    </row>
    <row r="554" spans="29:31" x14ac:dyDescent="0.45">
      <c r="AC554" t="s">
        <v>19</v>
      </c>
      <c r="AD554" t="s">
        <v>987</v>
      </c>
      <c r="AE554">
        <v>1.1237084291973694E-4</v>
      </c>
    </row>
    <row r="555" spans="29:31" x14ac:dyDescent="0.45">
      <c r="AC555" t="s">
        <v>19</v>
      </c>
      <c r="AD555" t="s">
        <v>988</v>
      </c>
      <c r="AE555">
        <v>1.1210948232978299E-4</v>
      </c>
    </row>
    <row r="556" spans="29:31" x14ac:dyDescent="0.45">
      <c r="AC556" t="s">
        <v>19</v>
      </c>
      <c r="AD556" t="s">
        <v>989</v>
      </c>
      <c r="AE556">
        <v>1.118914240860936E-4</v>
      </c>
    </row>
    <row r="557" spans="29:31" x14ac:dyDescent="0.45">
      <c r="AC557" t="s">
        <v>19</v>
      </c>
      <c r="AD557" t="s">
        <v>990</v>
      </c>
      <c r="AE557">
        <v>1.1200277297648817E-4</v>
      </c>
    </row>
    <row r="558" spans="29:31" x14ac:dyDescent="0.45">
      <c r="AC558" t="s">
        <v>19</v>
      </c>
      <c r="AD558" t="s">
        <v>991</v>
      </c>
      <c r="AE558">
        <v>1.1239056095241099E-4</v>
      </c>
    </row>
    <row r="559" spans="29:31" x14ac:dyDescent="0.45">
      <c r="AC559" t="s">
        <v>19</v>
      </c>
      <c r="AD559" t="s">
        <v>992</v>
      </c>
      <c r="AE559">
        <v>1.1358872140842768E-4</v>
      </c>
    </row>
    <row r="560" spans="29:31" x14ac:dyDescent="0.45">
      <c r="AC560" t="s">
        <v>19</v>
      </c>
      <c r="AD560" t="s">
        <v>993</v>
      </c>
      <c r="AE560">
        <v>1.1479886733528546E-4</v>
      </c>
    </row>
    <row r="561" spans="29:31" x14ac:dyDescent="0.45">
      <c r="AC561" t="s">
        <v>19</v>
      </c>
      <c r="AD561" t="s">
        <v>994</v>
      </c>
      <c r="AE561">
        <v>1.1535406527489178E-4</v>
      </c>
    </row>
    <row r="562" spans="29:31" x14ac:dyDescent="0.45">
      <c r="AC562" t="s">
        <v>19</v>
      </c>
      <c r="AD562" t="s">
        <v>995</v>
      </c>
      <c r="AE562">
        <v>1.1592318182579741E-4</v>
      </c>
    </row>
    <row r="563" spans="29:31" x14ac:dyDescent="0.45">
      <c r="AC563" t="s">
        <v>19</v>
      </c>
      <c r="AD563" t="s">
        <v>996</v>
      </c>
      <c r="AE563">
        <v>1.1569159159890035E-4</v>
      </c>
    </row>
    <row r="564" spans="29:31" x14ac:dyDescent="0.45">
      <c r="AC564" t="s">
        <v>19</v>
      </c>
      <c r="AD564" t="s">
        <v>997</v>
      </c>
      <c r="AE564">
        <v>1.1544376299215406E-4</v>
      </c>
    </row>
    <row r="565" spans="29:31" x14ac:dyDescent="0.45">
      <c r="AC565" t="s">
        <v>19</v>
      </c>
      <c r="AD565" t="s">
        <v>998</v>
      </c>
      <c r="AE565">
        <v>1.1527132686327913E-4</v>
      </c>
    </row>
    <row r="566" spans="29:31" x14ac:dyDescent="0.45">
      <c r="AC566" t="s">
        <v>19</v>
      </c>
      <c r="AD566" t="s">
        <v>999</v>
      </c>
      <c r="AE566">
        <v>1.1527132686327913E-4</v>
      </c>
    </row>
    <row r="567" spans="29:31" x14ac:dyDescent="0.45">
      <c r="AC567" t="s">
        <v>19</v>
      </c>
      <c r="AD567" t="s">
        <v>1000</v>
      </c>
      <c r="AE567">
        <v>1.151854954269333E-4</v>
      </c>
    </row>
    <row r="568" spans="29:31" x14ac:dyDescent="0.45">
      <c r="AC568" t="s">
        <v>19</v>
      </c>
      <c r="AD568" t="s">
        <v>1001</v>
      </c>
      <c r="AE568">
        <v>1.151854954269333E-4</v>
      </c>
    </row>
    <row r="569" spans="29:31" x14ac:dyDescent="0.45">
      <c r="AC569" t="s">
        <v>19</v>
      </c>
      <c r="AD569" t="s">
        <v>1002</v>
      </c>
      <c r="AE569">
        <v>1.152856321026701E-4</v>
      </c>
    </row>
    <row r="570" spans="29:31" x14ac:dyDescent="0.45">
      <c r="AC570" t="s">
        <v>19</v>
      </c>
      <c r="AD570" t="s">
        <v>1003</v>
      </c>
      <c r="AE570">
        <v>1.1605734177359921E-4</v>
      </c>
    </row>
    <row r="571" spans="29:31" x14ac:dyDescent="0.45">
      <c r="AC571" t="s">
        <v>19</v>
      </c>
      <c r="AD571" t="s">
        <v>1004</v>
      </c>
      <c r="AE571">
        <v>1.1624021686094864E-4</v>
      </c>
    </row>
    <row r="572" spans="29:31" x14ac:dyDescent="0.45">
      <c r="AC572" t="s">
        <v>19</v>
      </c>
      <c r="AD572" t="s">
        <v>1005</v>
      </c>
      <c r="AE572">
        <v>1.1669566475290982E-4</v>
      </c>
    </row>
    <row r="573" spans="29:31" x14ac:dyDescent="0.45">
      <c r="AC573" t="s">
        <v>19</v>
      </c>
      <c r="AD573" t="s">
        <v>1006</v>
      </c>
      <c r="AE573">
        <v>1.1689748461675E-4</v>
      </c>
    </row>
    <row r="574" spans="29:31" x14ac:dyDescent="0.45">
      <c r="AC574" t="s">
        <v>19</v>
      </c>
      <c r="AD574" t="s">
        <v>1007</v>
      </c>
      <c r="AE574">
        <v>1.1666589438985293E-4</v>
      </c>
    </row>
    <row r="575" spans="29:31" x14ac:dyDescent="0.45">
      <c r="AC575" t="s">
        <v>19</v>
      </c>
      <c r="AD575" t="s">
        <v>1008</v>
      </c>
      <c r="AE575">
        <v>1.1574146662272291E-4</v>
      </c>
    </row>
    <row r="576" spans="29:31" x14ac:dyDescent="0.45">
      <c r="AC576" t="s">
        <v>19</v>
      </c>
      <c r="AD576" t="s">
        <v>1009</v>
      </c>
      <c r="AE576">
        <v>1.1456070443083037E-4</v>
      </c>
    </row>
    <row r="577" spans="29:31" x14ac:dyDescent="0.45">
      <c r="AC577" t="s">
        <v>19</v>
      </c>
      <c r="AD577" t="s">
        <v>1010</v>
      </c>
      <c r="AE577">
        <v>1.1387134654342225E-4</v>
      </c>
    </row>
    <row r="578" spans="29:31" x14ac:dyDescent="0.45">
      <c r="AC578" t="s">
        <v>19</v>
      </c>
      <c r="AD578" t="s">
        <v>1011</v>
      </c>
      <c r="AE578">
        <v>1.125289738092209E-4</v>
      </c>
    </row>
    <row r="579" spans="29:31" x14ac:dyDescent="0.45">
      <c r="AC579" t="s">
        <v>19</v>
      </c>
      <c r="AD579" t="s">
        <v>1012</v>
      </c>
      <c r="AE579">
        <v>1.1228114520247461E-4</v>
      </c>
    </row>
    <row r="580" spans="29:31" x14ac:dyDescent="0.45">
      <c r="AC580" t="s">
        <v>19</v>
      </c>
      <c r="AD580" t="s">
        <v>1013</v>
      </c>
      <c r="AE580">
        <v>1.1202210438107055E-4</v>
      </c>
    </row>
    <row r="581" spans="29:31" x14ac:dyDescent="0.45">
      <c r="AC581" t="s">
        <v>19</v>
      </c>
      <c r="AD581" t="s">
        <v>1014</v>
      </c>
      <c r="AE581">
        <v>1.1210097651176671E-4</v>
      </c>
    </row>
    <row r="582" spans="29:31" x14ac:dyDescent="0.45">
      <c r="AC582" t="s">
        <v>19</v>
      </c>
      <c r="AD582" t="s">
        <v>1015</v>
      </c>
      <c r="AE582">
        <v>1.1241143886935997E-4</v>
      </c>
    </row>
    <row r="583" spans="29:31" x14ac:dyDescent="0.45">
      <c r="AC583" t="s">
        <v>19</v>
      </c>
      <c r="AD583" t="s">
        <v>1016</v>
      </c>
      <c r="AE583">
        <v>1.1358872140842768E-4</v>
      </c>
    </row>
    <row r="584" spans="29:31" x14ac:dyDescent="0.45">
      <c r="AC584" t="s">
        <v>19</v>
      </c>
      <c r="AD584" t="s">
        <v>1017</v>
      </c>
      <c r="AE584">
        <v>1.1489011156491435E-4</v>
      </c>
    </row>
    <row r="585" spans="29:31" x14ac:dyDescent="0.45">
      <c r="AC585" t="s">
        <v>19</v>
      </c>
      <c r="AD585" t="s">
        <v>1018</v>
      </c>
      <c r="AE585">
        <v>1.1535406527489178E-4</v>
      </c>
    </row>
    <row r="586" spans="29:31" x14ac:dyDescent="0.45">
      <c r="AC586" t="s">
        <v>19</v>
      </c>
      <c r="AD586" t="s">
        <v>1019</v>
      </c>
      <c r="AE586">
        <v>1.1592318182579741E-4</v>
      </c>
    </row>
    <row r="587" spans="29:31" x14ac:dyDescent="0.45">
      <c r="AC587" t="s">
        <v>19</v>
      </c>
      <c r="AD587" t="s">
        <v>1020</v>
      </c>
      <c r="AE587">
        <v>1.1599045511374413E-4</v>
      </c>
    </row>
    <row r="588" spans="29:31" x14ac:dyDescent="0.45">
      <c r="AC588" t="s">
        <v>19</v>
      </c>
      <c r="AD588" t="s">
        <v>1021</v>
      </c>
      <c r="AE588">
        <v>1.1548861185078522E-4</v>
      </c>
    </row>
    <row r="589" spans="29:31" x14ac:dyDescent="0.45">
      <c r="AC589" t="s">
        <v>19</v>
      </c>
      <c r="AD589" t="s">
        <v>1022</v>
      </c>
      <c r="AE589">
        <v>1.1555124560163218E-4</v>
      </c>
    </row>
    <row r="590" spans="29:31" x14ac:dyDescent="0.45">
      <c r="AC590" t="s">
        <v>19</v>
      </c>
      <c r="AD590" t="s">
        <v>1023</v>
      </c>
      <c r="AE590">
        <v>1.15493251387885E-4</v>
      </c>
    </row>
    <row r="591" spans="29:31" x14ac:dyDescent="0.45">
      <c r="AC591" t="s">
        <v>19</v>
      </c>
      <c r="AD591" t="s">
        <v>1024</v>
      </c>
      <c r="AE591">
        <v>1.1525934139243804E-4</v>
      </c>
    </row>
    <row r="592" spans="29:31" x14ac:dyDescent="0.45">
      <c r="AC592" t="s">
        <v>19</v>
      </c>
      <c r="AD592" t="s">
        <v>1025</v>
      </c>
      <c r="AE592">
        <v>1.151854954269333E-4</v>
      </c>
    </row>
    <row r="593" spans="29:31" x14ac:dyDescent="0.45">
      <c r="AC593" t="s">
        <v>19</v>
      </c>
      <c r="AD593" t="s">
        <v>1026</v>
      </c>
      <c r="AE593">
        <v>1.152856321026701E-4</v>
      </c>
    </row>
    <row r="594" spans="29:31" x14ac:dyDescent="0.45">
      <c r="AC594" t="s">
        <v>19</v>
      </c>
      <c r="AD594" t="s">
        <v>1027</v>
      </c>
      <c r="AE594">
        <v>1.1601249291496805E-4</v>
      </c>
    </row>
    <row r="595" spans="29:31" x14ac:dyDescent="0.45">
      <c r="AC595" t="s">
        <v>19</v>
      </c>
      <c r="AD595" t="s">
        <v>1028</v>
      </c>
      <c r="AE595">
        <v>1.1616985054826873E-4</v>
      </c>
    </row>
    <row r="596" spans="29:31" x14ac:dyDescent="0.45">
      <c r="AC596" t="s">
        <v>19</v>
      </c>
      <c r="AD596" t="s">
        <v>1029</v>
      </c>
      <c r="AE596">
        <v>1.1630091747133737E-4</v>
      </c>
    </row>
    <row r="597" spans="29:31" x14ac:dyDescent="0.45">
      <c r="AC597" t="s">
        <v>19</v>
      </c>
      <c r="AD597" t="s">
        <v>1030</v>
      </c>
      <c r="AE597">
        <v>1.167907752634552E-4</v>
      </c>
    </row>
    <row r="598" spans="29:31" x14ac:dyDescent="0.45">
      <c r="AC598" t="s">
        <v>19</v>
      </c>
      <c r="AD598" t="s">
        <v>1031</v>
      </c>
      <c r="AE598">
        <v>1.1647451348448725E-4</v>
      </c>
    </row>
    <row r="599" spans="29:31" x14ac:dyDescent="0.45">
      <c r="AC599" t="s">
        <v>19</v>
      </c>
      <c r="AD599" t="s">
        <v>1032</v>
      </c>
      <c r="AE599">
        <v>1.1550446360254277E-4</v>
      </c>
    </row>
    <row r="600" spans="29:31" x14ac:dyDescent="0.45">
      <c r="AC600" t="s">
        <v>19</v>
      </c>
      <c r="AD600" t="s">
        <v>1033</v>
      </c>
      <c r="AE600">
        <v>1.1443659681341141E-4</v>
      </c>
    </row>
    <row r="601" spans="29:31" x14ac:dyDescent="0.45">
      <c r="AC601" t="s">
        <v>19</v>
      </c>
      <c r="AD601" t="s">
        <v>1034</v>
      </c>
      <c r="AE601">
        <v>1.1379556743745927E-4</v>
      </c>
    </row>
    <row r="602" spans="29:31" x14ac:dyDescent="0.45">
      <c r="AC602" t="s">
        <v>19</v>
      </c>
      <c r="AD602" t="s">
        <v>1035</v>
      </c>
      <c r="AE602">
        <v>1.1238862781195273E-4</v>
      </c>
    </row>
    <row r="603" spans="29:31" x14ac:dyDescent="0.45">
      <c r="AC603" t="s">
        <v>19</v>
      </c>
      <c r="AD603" t="s">
        <v>1036</v>
      </c>
      <c r="AE603">
        <v>1.121864213200209E-4</v>
      </c>
    </row>
    <row r="604" spans="29:31" x14ac:dyDescent="0.45">
      <c r="AC604" t="s">
        <v>19</v>
      </c>
      <c r="AD604" t="s">
        <v>1037</v>
      </c>
      <c r="AE604">
        <v>1.1192660724243354E-4</v>
      </c>
    </row>
    <row r="605" spans="29:31" x14ac:dyDescent="0.45">
      <c r="AC605" t="s">
        <v>19</v>
      </c>
      <c r="AD605" t="s">
        <v>1038</v>
      </c>
      <c r="AE605">
        <v>1.1200509274503806E-4</v>
      </c>
    </row>
    <row r="606" spans="29:31" x14ac:dyDescent="0.45">
      <c r="AC606" t="s">
        <v>19</v>
      </c>
      <c r="AD606" t="s">
        <v>1039</v>
      </c>
      <c r="AE606">
        <v>1.1226529345071706E-4</v>
      </c>
    </row>
    <row r="607" spans="29:31" x14ac:dyDescent="0.45">
      <c r="AC607" t="s">
        <v>19</v>
      </c>
      <c r="AD607" t="s">
        <v>1040</v>
      </c>
      <c r="AE607">
        <v>1.1346345390673375E-4</v>
      </c>
    </row>
    <row r="608" spans="29:31" x14ac:dyDescent="0.45">
      <c r="AC608" t="s">
        <v>19</v>
      </c>
      <c r="AD608" t="s">
        <v>1041</v>
      </c>
      <c r="AE608">
        <v>1.1465852133801728E-4</v>
      </c>
    </row>
    <row r="609" spans="29:31" x14ac:dyDescent="0.45">
      <c r="AC609" t="s">
        <v>19</v>
      </c>
      <c r="AD609" t="s">
        <v>1042</v>
      </c>
      <c r="AE609">
        <v>1.1535406527489178E-4</v>
      </c>
    </row>
    <row r="610" spans="29:31" x14ac:dyDescent="0.45">
      <c r="AC610" t="s">
        <v>19</v>
      </c>
      <c r="AD610" t="s">
        <v>1043</v>
      </c>
      <c r="AE610">
        <v>1.1592318182579741E-4</v>
      </c>
    </row>
    <row r="611" spans="29:31" x14ac:dyDescent="0.45">
      <c r="AC611" t="s">
        <v>19</v>
      </c>
      <c r="AD611" t="s">
        <v>1044</v>
      </c>
      <c r="AE611">
        <v>1.158172457286859E-4</v>
      </c>
    </row>
    <row r="612" spans="29:31" x14ac:dyDescent="0.45">
      <c r="AC612" t="s">
        <v>19</v>
      </c>
      <c r="AD612" t="s">
        <v>1045</v>
      </c>
      <c r="AE612">
        <v>1.1534671934115045E-4</v>
      </c>
    </row>
    <row r="613" spans="29:31" x14ac:dyDescent="0.45">
      <c r="AC613" t="s">
        <v>19</v>
      </c>
      <c r="AD613" t="s">
        <v>1046</v>
      </c>
      <c r="AE613">
        <v>1.1519748089777438E-4</v>
      </c>
    </row>
    <row r="614" spans="29:31" x14ac:dyDescent="0.45">
      <c r="AC614" t="s">
        <v>19</v>
      </c>
      <c r="AD614" t="s">
        <v>1047</v>
      </c>
      <c r="AE614">
        <v>1.1519748089777438E-4</v>
      </c>
    </row>
    <row r="615" spans="29:31" x14ac:dyDescent="0.45">
      <c r="AC615" t="s">
        <v>19</v>
      </c>
      <c r="AD615" t="s">
        <v>1048</v>
      </c>
      <c r="AE615">
        <v>1.1513794017166062E-4</v>
      </c>
    </row>
    <row r="616" spans="29:31" x14ac:dyDescent="0.45">
      <c r="AC616" t="s">
        <v>19</v>
      </c>
      <c r="AD616" t="s">
        <v>1049</v>
      </c>
      <c r="AE616">
        <v>1.1513794017166062E-4</v>
      </c>
    </row>
    <row r="617" spans="29:31" x14ac:dyDescent="0.45">
      <c r="AC617" t="s">
        <v>19</v>
      </c>
      <c r="AD617" t="s">
        <v>1050</v>
      </c>
      <c r="AE617">
        <v>1.1523846347548906E-4</v>
      </c>
    </row>
    <row r="618" spans="29:31" x14ac:dyDescent="0.45">
      <c r="AC618" t="s">
        <v>19</v>
      </c>
      <c r="AD618" t="s">
        <v>1051</v>
      </c>
      <c r="AE618">
        <v>1.1601249291496805E-4</v>
      </c>
    </row>
    <row r="619" spans="29:31" x14ac:dyDescent="0.45">
      <c r="AC619" t="s">
        <v>19</v>
      </c>
      <c r="AD619" t="s">
        <v>1052</v>
      </c>
      <c r="AE619">
        <v>1.1616985054826873E-4</v>
      </c>
    </row>
    <row r="620" spans="29:31" x14ac:dyDescent="0.45">
      <c r="AC620" t="s">
        <v>19</v>
      </c>
      <c r="AD620" t="s">
        <v>1053</v>
      </c>
      <c r="AE620">
        <v>1.1623055115865744E-4</v>
      </c>
    </row>
    <row r="621" spans="29:31" x14ac:dyDescent="0.45">
      <c r="AC621" t="s">
        <v>19</v>
      </c>
      <c r="AD621" t="s">
        <v>1054</v>
      </c>
      <c r="AE621">
        <v>1.166260716964132E-4</v>
      </c>
    </row>
    <row r="622" spans="29:31" x14ac:dyDescent="0.45">
      <c r="AC622" t="s">
        <v>19</v>
      </c>
      <c r="AD622" t="s">
        <v>1055</v>
      </c>
      <c r="AE622">
        <v>1.1626457443072247E-4</v>
      </c>
    </row>
    <row r="623" spans="29:31" x14ac:dyDescent="0.45">
      <c r="AC623" t="s">
        <v>19</v>
      </c>
      <c r="AD623" t="s">
        <v>1056</v>
      </c>
      <c r="AE623">
        <v>1.1541399262909719E-4</v>
      </c>
    </row>
    <row r="624" spans="29:31" x14ac:dyDescent="0.45">
      <c r="AC624" t="s">
        <v>19</v>
      </c>
      <c r="AD624" t="s">
        <v>1057</v>
      </c>
      <c r="AE624">
        <v>1.1437280317828952E-4</v>
      </c>
    </row>
    <row r="625" spans="29:31" x14ac:dyDescent="0.45">
      <c r="AC625" t="s">
        <v>19</v>
      </c>
      <c r="AD625" t="s">
        <v>1058</v>
      </c>
      <c r="AE625">
        <v>1.1368885808416446E-4</v>
      </c>
    </row>
    <row r="626" spans="29:31" x14ac:dyDescent="0.45">
      <c r="AC626" t="s">
        <v>19</v>
      </c>
      <c r="AD626" t="s">
        <v>1059</v>
      </c>
      <c r="AE626">
        <v>1.1237084291973694E-4</v>
      </c>
    </row>
    <row r="627" spans="29:31" x14ac:dyDescent="0.45">
      <c r="AC627" t="s">
        <v>19</v>
      </c>
      <c r="AD627" t="s">
        <v>1060</v>
      </c>
      <c r="AE627">
        <v>1.1210948232978297E-4</v>
      </c>
    </row>
    <row r="628" spans="29:31" x14ac:dyDescent="0.45">
      <c r="AC628" t="s">
        <v>19</v>
      </c>
      <c r="AD628" t="s">
        <v>1061</v>
      </c>
      <c r="AE628">
        <v>1.1182183102959697E-4</v>
      </c>
    </row>
    <row r="629" spans="29:31" x14ac:dyDescent="0.45">
      <c r="AC629" t="s">
        <v>19</v>
      </c>
      <c r="AD629" t="s">
        <v>1062</v>
      </c>
      <c r="AE629">
        <v>1.1190070316029313E-4</v>
      </c>
    </row>
    <row r="630" spans="29:31" x14ac:dyDescent="0.45">
      <c r="AC630" t="s">
        <v>19</v>
      </c>
      <c r="AD630" t="s">
        <v>1063</v>
      </c>
      <c r="AE630">
        <v>1.1213345327146514E-4</v>
      </c>
    </row>
    <row r="631" spans="29:31" x14ac:dyDescent="0.45">
      <c r="AC631" t="s">
        <v>19</v>
      </c>
      <c r="AD631" t="s">
        <v>1064</v>
      </c>
      <c r="AE631">
        <v>1.1317850900318928E-4</v>
      </c>
    </row>
    <row r="632" spans="29:31" x14ac:dyDescent="0.45">
      <c r="AC632" t="s">
        <v>19</v>
      </c>
      <c r="AD632" t="s">
        <v>1065</v>
      </c>
      <c r="AE632">
        <v>1.1439252121096355E-4</v>
      </c>
    </row>
    <row r="633" spans="29:31" x14ac:dyDescent="0.45">
      <c r="AC633" t="s">
        <v>19</v>
      </c>
      <c r="AD633" t="s">
        <v>1066</v>
      </c>
      <c r="AE633">
        <v>1.1528408559030351E-4</v>
      </c>
    </row>
    <row r="634" spans="29:31" x14ac:dyDescent="0.45">
      <c r="AC634" t="s">
        <v>19</v>
      </c>
      <c r="AD634" t="s">
        <v>1067</v>
      </c>
      <c r="AE634">
        <v>1.1580526025784482E-4</v>
      </c>
    </row>
    <row r="635" spans="29:31" x14ac:dyDescent="0.45">
      <c r="AC635" t="s">
        <v>19</v>
      </c>
      <c r="AD635" t="s">
        <v>323</v>
      </c>
      <c r="AE635">
        <v>2.1346820840001699E-2</v>
      </c>
    </row>
    <row r="636" spans="29:31" x14ac:dyDescent="0.45">
      <c r="AC636" t="s">
        <v>19</v>
      </c>
      <c r="AD636" t="s">
        <v>324</v>
      </c>
      <c r="AE636">
        <v>3.557157031164381E-3</v>
      </c>
    </row>
    <row r="637" spans="29:31" x14ac:dyDescent="0.45">
      <c r="AC637" t="s">
        <v>19</v>
      </c>
      <c r="AD637" t="s">
        <v>325</v>
      </c>
      <c r="AE637">
        <v>3.5730536317805741E-3</v>
      </c>
    </row>
    <row r="638" spans="29:31" x14ac:dyDescent="0.45">
      <c r="AC638" t="s">
        <v>19</v>
      </c>
      <c r="AD638" t="s">
        <v>326</v>
      </c>
      <c r="AE638">
        <v>2.1431810973620097E-2</v>
      </c>
    </row>
    <row r="639" spans="29:31" x14ac:dyDescent="0.45">
      <c r="AC639" t="s">
        <v>19</v>
      </c>
      <c r="AD639" t="s">
        <v>327</v>
      </c>
      <c r="AE639">
        <v>1.0477739875958328E-2</v>
      </c>
    </row>
    <row r="640" spans="29:31" x14ac:dyDescent="0.45">
      <c r="AC640" t="s">
        <v>19</v>
      </c>
      <c r="AD640" t="s">
        <v>328</v>
      </c>
      <c r="AE640">
        <v>3.4655134147168151E-3</v>
      </c>
    </row>
    <row r="641" spans="29:31" x14ac:dyDescent="0.45">
      <c r="AC641" t="s">
        <v>19</v>
      </c>
      <c r="AD641" t="s">
        <v>329</v>
      </c>
      <c r="AE641">
        <v>3.4671685695771598E-3</v>
      </c>
    </row>
    <row r="642" spans="29:31" x14ac:dyDescent="0.45">
      <c r="AC642" t="s">
        <v>19</v>
      </c>
      <c r="AD642" t="s">
        <v>330</v>
      </c>
      <c r="AE642">
        <v>1.7639771190730177E-2</v>
      </c>
    </row>
    <row r="643" spans="29:31" x14ac:dyDescent="0.45">
      <c r="AC643" t="s">
        <v>19</v>
      </c>
      <c r="AD643" t="s">
        <v>331</v>
      </c>
      <c r="AE643">
        <v>1.9961140291999521E-2</v>
      </c>
    </row>
    <row r="644" spans="29:31" x14ac:dyDescent="0.45">
      <c r="AC644" t="s">
        <v>19</v>
      </c>
      <c r="AD644" t="s">
        <v>332</v>
      </c>
      <c r="AE644">
        <v>3.3280320647318634E-3</v>
      </c>
    </row>
    <row r="645" spans="29:31" x14ac:dyDescent="0.45">
      <c r="AC645" t="s">
        <v>19</v>
      </c>
      <c r="AD645" t="s">
        <v>333</v>
      </c>
      <c r="AE645">
        <v>3.3374538046972296E-3</v>
      </c>
    </row>
    <row r="646" spans="29:31" x14ac:dyDescent="0.45">
      <c r="AC646" t="s">
        <v>19</v>
      </c>
      <c r="AD646" t="s">
        <v>334</v>
      </c>
      <c r="AE646">
        <v>2.0037960587413309E-2</v>
      </c>
    </row>
    <row r="647" spans="29:31" x14ac:dyDescent="0.45">
      <c r="AC647" t="s">
        <v>19</v>
      </c>
      <c r="AD647" t="s">
        <v>335</v>
      </c>
      <c r="AE647">
        <v>9.8057620537825591E-3</v>
      </c>
    </row>
    <row r="648" spans="29:31" x14ac:dyDescent="0.45">
      <c r="AC648" t="s">
        <v>19</v>
      </c>
      <c r="AD648" t="s">
        <v>336</v>
      </c>
      <c r="AE648">
        <v>3.2437053849187331E-3</v>
      </c>
    </row>
    <row r="649" spans="29:31" x14ac:dyDescent="0.45">
      <c r="AC649" t="s">
        <v>19</v>
      </c>
      <c r="AD649" t="s">
        <v>337</v>
      </c>
      <c r="AE649">
        <v>3.2451641327085204E-3</v>
      </c>
    </row>
    <row r="650" spans="29:31" x14ac:dyDescent="0.45">
      <c r="AC650" t="s">
        <v>19</v>
      </c>
      <c r="AD650" t="s">
        <v>338</v>
      </c>
      <c r="AE650">
        <v>1.6485204037435863E-2</v>
      </c>
    </row>
    <row r="651" spans="29:31" x14ac:dyDescent="0.45">
      <c r="AC651" t="s">
        <v>19</v>
      </c>
      <c r="AD651" t="s">
        <v>1068</v>
      </c>
      <c r="AE651">
        <v>1.155349156938182E-4</v>
      </c>
    </row>
    <row r="652" spans="29:31" x14ac:dyDescent="0.45">
      <c r="AC652" t="s">
        <v>19</v>
      </c>
      <c r="AD652" t="s">
        <v>1069</v>
      </c>
      <c r="AE652">
        <v>1.1529443302081323E-4</v>
      </c>
    </row>
    <row r="653" spans="29:31" x14ac:dyDescent="0.45">
      <c r="AC653" t="s">
        <v>19</v>
      </c>
      <c r="AD653" t="s">
        <v>1070</v>
      </c>
      <c r="AE653">
        <v>1.1528360743424709E-4</v>
      </c>
    </row>
    <row r="654" spans="29:31" x14ac:dyDescent="0.45">
      <c r="AC654" t="s">
        <v>19</v>
      </c>
      <c r="AD654" t="s">
        <v>1071</v>
      </c>
      <c r="AE654">
        <v>1.1526891556676447E-4</v>
      </c>
    </row>
    <row r="655" spans="29:31" x14ac:dyDescent="0.45">
      <c r="AC655" t="s">
        <v>19</v>
      </c>
      <c r="AD655" t="s">
        <v>1072</v>
      </c>
      <c r="AE655">
        <v>1.1525654346783175E-4</v>
      </c>
    </row>
    <row r="656" spans="29:31" x14ac:dyDescent="0.45">
      <c r="AC656" t="s">
        <v>19</v>
      </c>
      <c r="AD656" t="s">
        <v>1073</v>
      </c>
      <c r="AE656">
        <v>1.1525654346783175E-4</v>
      </c>
    </row>
    <row r="657" spans="29:31" x14ac:dyDescent="0.45">
      <c r="AC657" t="s">
        <v>19</v>
      </c>
      <c r="AD657" t="s">
        <v>1074</v>
      </c>
      <c r="AE657">
        <v>1.1538993015945025E-4</v>
      </c>
    </row>
    <row r="658" spans="29:31" x14ac:dyDescent="0.45">
      <c r="AC658" t="s">
        <v>19</v>
      </c>
      <c r="AD658" t="s">
        <v>1075</v>
      </c>
      <c r="AE658">
        <v>1.1599036358577937E-4</v>
      </c>
    </row>
    <row r="659" spans="29:31" x14ac:dyDescent="0.45">
      <c r="AC659" t="s">
        <v>19</v>
      </c>
      <c r="AD659" t="s">
        <v>1076</v>
      </c>
      <c r="AE659">
        <v>1.1623973870489223E-4</v>
      </c>
    </row>
    <row r="660" spans="29:31" x14ac:dyDescent="0.45">
      <c r="AC660" t="s">
        <v>19</v>
      </c>
      <c r="AD660" t="s">
        <v>1077</v>
      </c>
      <c r="AE660">
        <v>1.1630043931528097E-4</v>
      </c>
    </row>
    <row r="661" spans="29:31" x14ac:dyDescent="0.45">
      <c r="AC661" t="s">
        <v>19</v>
      </c>
      <c r="AD661" t="s">
        <v>1078</v>
      </c>
      <c r="AE661">
        <v>1.1674080871166786E-4</v>
      </c>
    </row>
    <row r="662" spans="29:31" x14ac:dyDescent="0.45">
      <c r="AC662" t="s">
        <v>19</v>
      </c>
      <c r="AD662" t="s">
        <v>1079</v>
      </c>
      <c r="AE662">
        <v>1.1637969807406876E-4</v>
      </c>
    </row>
    <row r="663" spans="29:31" x14ac:dyDescent="0.45">
      <c r="AC663" t="s">
        <v>19</v>
      </c>
      <c r="AD663" t="s">
        <v>1080</v>
      </c>
      <c r="AE663">
        <v>1.1552872964435184E-4</v>
      </c>
    </row>
    <row r="664" spans="29:31" x14ac:dyDescent="0.45">
      <c r="AC664" t="s">
        <v>19</v>
      </c>
      <c r="AD664" t="s">
        <v>1081</v>
      </c>
      <c r="AE664">
        <v>1.1446782216087012E-4</v>
      </c>
    </row>
    <row r="665" spans="29:31" x14ac:dyDescent="0.45">
      <c r="AC665" t="s">
        <v>19</v>
      </c>
      <c r="AD665" t="s">
        <v>1082</v>
      </c>
      <c r="AE665">
        <v>1.1371080435742362E-4</v>
      </c>
    </row>
    <row r="666" spans="29:31" x14ac:dyDescent="0.45">
      <c r="AC666" t="s">
        <v>19</v>
      </c>
      <c r="AD666" t="s">
        <v>1083</v>
      </c>
      <c r="AE666">
        <v>1.1248519330689994E-4</v>
      </c>
    </row>
    <row r="667" spans="29:31" x14ac:dyDescent="0.45">
      <c r="AC667" t="s">
        <v>19</v>
      </c>
      <c r="AD667" t="s">
        <v>1084</v>
      </c>
      <c r="AE667">
        <v>1.122280856259541E-4</v>
      </c>
    </row>
    <row r="668" spans="29:31" x14ac:dyDescent="0.45">
      <c r="AC668" t="s">
        <v>19</v>
      </c>
      <c r="AD668" t="s">
        <v>1085</v>
      </c>
      <c r="AE668">
        <v>1.119404343257681E-4</v>
      </c>
    </row>
    <row r="669" spans="29:31" x14ac:dyDescent="0.45">
      <c r="AC669" t="s">
        <v>19</v>
      </c>
      <c r="AD669" t="s">
        <v>1086</v>
      </c>
      <c r="AE669">
        <v>1.1201930645646426E-4</v>
      </c>
    </row>
    <row r="670" spans="29:31" x14ac:dyDescent="0.45">
      <c r="AC670" t="s">
        <v>19</v>
      </c>
      <c r="AD670" t="s">
        <v>1087</v>
      </c>
      <c r="AE670">
        <v>1.1225205656763627E-4</v>
      </c>
    </row>
    <row r="671" spans="29:31" x14ac:dyDescent="0.45">
      <c r="AC671" t="s">
        <v>19</v>
      </c>
      <c r="AD671" t="s">
        <v>1088</v>
      </c>
      <c r="AE671">
        <v>1.1329711229936041E-4</v>
      </c>
    </row>
    <row r="672" spans="29:31" x14ac:dyDescent="0.45">
      <c r="AC672" t="s">
        <v>19</v>
      </c>
      <c r="AD672" t="s">
        <v>1089</v>
      </c>
      <c r="AE672">
        <v>1.1451112450713468E-4</v>
      </c>
    </row>
    <row r="673" spans="29:31" x14ac:dyDescent="0.45">
      <c r="AC673" t="s">
        <v>19</v>
      </c>
      <c r="AD673" t="s">
        <v>1090</v>
      </c>
      <c r="AE673">
        <v>1.1540268888647464E-4</v>
      </c>
    </row>
    <row r="674" spans="29:31" x14ac:dyDescent="0.45">
      <c r="AC674" t="s">
        <v>19</v>
      </c>
      <c r="AD674" t="s">
        <v>1091</v>
      </c>
      <c r="AE674">
        <v>1.1597219206547193E-4</v>
      </c>
    </row>
    <row r="675" spans="29:31" x14ac:dyDescent="0.45">
      <c r="AC675" t="s">
        <v>19</v>
      </c>
      <c r="AD675" t="s">
        <v>1092</v>
      </c>
      <c r="AE675">
        <v>1.154065551673911E-4</v>
      </c>
    </row>
    <row r="676" spans="29:31" x14ac:dyDescent="0.45">
      <c r="AC676" t="s">
        <v>19</v>
      </c>
      <c r="AD676" t="s">
        <v>1093</v>
      </c>
      <c r="AE676">
        <v>1.1523295915424122E-4</v>
      </c>
    </row>
    <row r="677" spans="29:31" x14ac:dyDescent="0.45">
      <c r="AC677" t="s">
        <v>19</v>
      </c>
      <c r="AD677" t="s">
        <v>1094</v>
      </c>
      <c r="AE677">
        <v>1.1518617715515181E-4</v>
      </c>
    </row>
    <row r="678" spans="29:31" x14ac:dyDescent="0.45">
      <c r="AC678" t="s">
        <v>19</v>
      </c>
      <c r="AD678" t="s">
        <v>1095</v>
      </c>
      <c r="AE678">
        <v>1.1518617715515181E-4</v>
      </c>
    </row>
    <row r="679" spans="29:31" x14ac:dyDescent="0.45">
      <c r="AC679" t="s">
        <v>19</v>
      </c>
      <c r="AD679" t="s">
        <v>1096</v>
      </c>
      <c r="AE679">
        <v>1.1510305211544754E-4</v>
      </c>
    </row>
    <row r="680" spans="29:31" x14ac:dyDescent="0.45">
      <c r="AC680" t="s">
        <v>19</v>
      </c>
      <c r="AD680" t="s">
        <v>1097</v>
      </c>
      <c r="AE680">
        <v>1.1517419168431074E-4</v>
      </c>
    </row>
    <row r="681" spans="29:31" x14ac:dyDescent="0.45">
      <c r="AC681" t="s">
        <v>19</v>
      </c>
      <c r="AD681" t="s">
        <v>1098</v>
      </c>
      <c r="AE681">
        <v>1.1527432836004753E-4</v>
      </c>
    </row>
    <row r="682" spans="29:31" x14ac:dyDescent="0.45">
      <c r="AC682" t="s">
        <v>19</v>
      </c>
      <c r="AD682" t="s">
        <v>1099</v>
      </c>
      <c r="AE682">
        <v>1.1549663951274504E-4</v>
      </c>
    </row>
    <row r="683" spans="29:31" x14ac:dyDescent="0.45">
      <c r="AC683" t="s">
        <v>19</v>
      </c>
      <c r="AD683" t="s">
        <v>1100</v>
      </c>
      <c r="AE683">
        <v>1.1554922093320915E-4</v>
      </c>
    </row>
    <row r="684" spans="29:31" x14ac:dyDescent="0.45">
      <c r="AC684" t="s">
        <v>19</v>
      </c>
      <c r="AD684" t="s">
        <v>1101</v>
      </c>
      <c r="AE684">
        <v>1.1560992154359788E-4</v>
      </c>
    </row>
    <row r="685" spans="29:31" x14ac:dyDescent="0.45">
      <c r="AC685" t="s">
        <v>19</v>
      </c>
      <c r="AD685" t="s">
        <v>1102</v>
      </c>
      <c r="AE685">
        <v>1.1594512809905656E-4</v>
      </c>
    </row>
    <row r="686" spans="29:31" x14ac:dyDescent="0.45">
      <c r="AC686" t="s">
        <v>19</v>
      </c>
      <c r="AD686" t="s">
        <v>1103</v>
      </c>
      <c r="AE686">
        <v>1.1558479071764076E-4</v>
      </c>
    </row>
    <row r="687" spans="29:31" x14ac:dyDescent="0.45">
      <c r="AC687" t="s">
        <v>19</v>
      </c>
      <c r="AD687" t="s">
        <v>1104</v>
      </c>
      <c r="AE687">
        <v>1.1522368008004167E-4</v>
      </c>
    </row>
    <row r="688" spans="29:31" x14ac:dyDescent="0.45">
      <c r="AC688" t="s">
        <v>19</v>
      </c>
      <c r="AD688" t="s">
        <v>1105</v>
      </c>
      <c r="AE688">
        <v>1.1429654591627011E-4</v>
      </c>
    </row>
    <row r="689" spans="29:31" x14ac:dyDescent="0.45">
      <c r="AC689" t="s">
        <v>19</v>
      </c>
      <c r="AD689" t="s">
        <v>1106</v>
      </c>
      <c r="AE689">
        <v>1.1363077234245249E-4</v>
      </c>
    </row>
    <row r="690" spans="29:31" x14ac:dyDescent="0.45">
      <c r="AC690" t="s">
        <v>19</v>
      </c>
      <c r="AD690" t="s">
        <v>1107</v>
      </c>
      <c r="AE690">
        <v>1.1242487932460286E-4</v>
      </c>
    </row>
    <row r="691" spans="29:31" x14ac:dyDescent="0.45">
      <c r="AC691" t="s">
        <v>19</v>
      </c>
      <c r="AD691" t="s">
        <v>1108</v>
      </c>
      <c r="AE691">
        <v>1.1220836759328005E-4</v>
      </c>
    </row>
    <row r="692" spans="29:31" x14ac:dyDescent="0.45">
      <c r="AC692" t="s">
        <v>19</v>
      </c>
      <c r="AD692" t="s">
        <v>1109</v>
      </c>
      <c r="AE692">
        <v>1.1194043432576809E-4</v>
      </c>
    </row>
    <row r="693" spans="29:31" x14ac:dyDescent="0.45">
      <c r="AC693" t="s">
        <v>19</v>
      </c>
      <c r="AD693" t="s">
        <v>1110</v>
      </c>
      <c r="AE693">
        <v>1.1201930645646425E-4</v>
      </c>
    </row>
    <row r="694" spans="29:31" x14ac:dyDescent="0.45">
      <c r="AC694" t="s">
        <v>19</v>
      </c>
      <c r="AD694" t="s">
        <v>1111</v>
      </c>
      <c r="AE694">
        <v>1.1225205656763626E-4</v>
      </c>
    </row>
    <row r="695" spans="29:31" x14ac:dyDescent="0.45">
      <c r="AC695" t="s">
        <v>19</v>
      </c>
      <c r="AD695" t="s">
        <v>1112</v>
      </c>
      <c r="AE695">
        <v>1.1329711229936041E-4</v>
      </c>
    </row>
    <row r="696" spans="29:31" x14ac:dyDescent="0.45">
      <c r="AC696" t="s">
        <v>19</v>
      </c>
      <c r="AD696" t="s">
        <v>1113</v>
      </c>
      <c r="AE696">
        <v>1.1443147912025522E-4</v>
      </c>
    </row>
    <row r="697" spans="29:31" x14ac:dyDescent="0.45">
      <c r="AC697" t="s">
        <v>19</v>
      </c>
      <c r="AD697" t="s">
        <v>1114</v>
      </c>
      <c r="AE697">
        <v>1.1496773228337078E-4</v>
      </c>
    </row>
    <row r="698" spans="29:31" x14ac:dyDescent="0.45">
      <c r="AC698" t="s">
        <v>19</v>
      </c>
      <c r="AD698" t="s">
        <v>1115</v>
      </c>
      <c r="AE698">
        <v>1.1550630521503624E-4</v>
      </c>
    </row>
    <row r="699" spans="29:31" x14ac:dyDescent="0.45">
      <c r="AC699" t="s">
        <v>19</v>
      </c>
      <c r="AD699" t="s">
        <v>339</v>
      </c>
      <c r="AE699">
        <v>1.7932001193290636E-2</v>
      </c>
    </row>
    <row r="700" spans="29:31" x14ac:dyDescent="0.45">
      <c r="AC700" t="s">
        <v>19</v>
      </c>
      <c r="AD700" t="s">
        <v>340</v>
      </c>
      <c r="AE700">
        <v>2.9892567955782786E-3</v>
      </c>
    </row>
    <row r="701" spans="29:31" x14ac:dyDescent="0.45">
      <c r="AC701" t="s">
        <v>19</v>
      </c>
      <c r="AD701" t="s">
        <v>341</v>
      </c>
      <c r="AE701">
        <v>2.9917118839602424E-3</v>
      </c>
    </row>
    <row r="702" spans="29:31" x14ac:dyDescent="0.45">
      <c r="AC702" t="s">
        <v>19</v>
      </c>
      <c r="AD702" t="s">
        <v>342</v>
      </c>
      <c r="AE702">
        <v>1.7917545168943925E-2</v>
      </c>
    </row>
    <row r="703" spans="29:31" x14ac:dyDescent="0.45">
      <c r="AC703" t="s">
        <v>19</v>
      </c>
      <c r="AD703" t="s">
        <v>343</v>
      </c>
      <c r="AE703">
        <v>8.8034685262800717E-3</v>
      </c>
    </row>
    <row r="704" spans="29:31" x14ac:dyDescent="0.45">
      <c r="AC704" t="s">
        <v>19</v>
      </c>
      <c r="AD704" t="s">
        <v>344</v>
      </c>
      <c r="AE704">
        <v>2.9136439396947079E-3</v>
      </c>
    </row>
    <row r="705" spans="29:31" x14ac:dyDescent="0.45">
      <c r="AC705" t="s">
        <v>19</v>
      </c>
      <c r="AD705" t="s">
        <v>345</v>
      </c>
      <c r="AE705">
        <v>2.9151378706408354E-3</v>
      </c>
    </row>
    <row r="706" spans="29:31" x14ac:dyDescent="0.45">
      <c r="AC706" t="s">
        <v>19</v>
      </c>
      <c r="AD706" t="s">
        <v>346</v>
      </c>
      <c r="AE706">
        <v>1.4775576849842299E-2</v>
      </c>
    </row>
    <row r="707" spans="29:31" x14ac:dyDescent="0.45">
      <c r="AC707" t="s">
        <v>19</v>
      </c>
      <c r="AD707" t="s">
        <v>1116</v>
      </c>
      <c r="AE707">
        <v>1.1349161106407825E-4</v>
      </c>
    </row>
    <row r="708" spans="29:31" x14ac:dyDescent="0.45">
      <c r="AC708" t="s">
        <v>19</v>
      </c>
      <c r="AD708" t="s">
        <v>1117</v>
      </c>
      <c r="AE708">
        <v>1.1378196876090579E-4</v>
      </c>
    </row>
    <row r="709" spans="29:31" x14ac:dyDescent="0.45">
      <c r="AC709" t="s">
        <v>19</v>
      </c>
      <c r="AD709" t="s">
        <v>1118</v>
      </c>
      <c r="AE709">
        <v>1.1365863439967013E-4</v>
      </c>
    </row>
    <row r="710" spans="29:31" x14ac:dyDescent="0.45">
      <c r="AC710" t="s">
        <v>19</v>
      </c>
      <c r="AD710" t="s">
        <v>1119</v>
      </c>
      <c r="AE710">
        <v>1.1365863439967013E-4</v>
      </c>
    </row>
    <row r="711" spans="29:31" x14ac:dyDescent="0.45">
      <c r="AC711" t="s">
        <v>19</v>
      </c>
      <c r="AD711" t="s">
        <v>1120</v>
      </c>
      <c r="AE711">
        <v>1.1365824777157847E-4</v>
      </c>
    </row>
    <row r="712" spans="29:31" x14ac:dyDescent="0.45">
      <c r="AC712" t="s">
        <v>19</v>
      </c>
      <c r="AD712" t="s">
        <v>1121</v>
      </c>
      <c r="AE712">
        <v>1.1370502977066787E-4</v>
      </c>
    </row>
    <row r="713" spans="29:31" x14ac:dyDescent="0.45">
      <c r="AC713" t="s">
        <v>19</v>
      </c>
      <c r="AD713" t="s">
        <v>1122</v>
      </c>
      <c r="AE713">
        <v>1.1374639897647419E-4</v>
      </c>
    </row>
    <row r="714" spans="29:31" x14ac:dyDescent="0.45">
      <c r="AC714" t="s">
        <v>19</v>
      </c>
      <c r="AD714" t="s">
        <v>1123</v>
      </c>
      <c r="AE714">
        <v>1.1390375660977486E-4</v>
      </c>
    </row>
    <row r="715" spans="29:31" x14ac:dyDescent="0.45">
      <c r="AC715" t="s">
        <v>19</v>
      </c>
      <c r="AD715" t="s">
        <v>1124</v>
      </c>
      <c r="AE715">
        <v>1.1408817820949089E-4</v>
      </c>
    </row>
    <row r="716" spans="29:31" x14ac:dyDescent="0.45">
      <c r="AC716" t="s">
        <v>19</v>
      </c>
      <c r="AD716" t="s">
        <v>1125</v>
      </c>
      <c r="AE716">
        <v>1.1411910845682272E-4</v>
      </c>
    </row>
    <row r="717" spans="29:31" x14ac:dyDescent="0.45">
      <c r="AC717" t="s">
        <v>19</v>
      </c>
      <c r="AD717" t="s">
        <v>1126</v>
      </c>
      <c r="AE717">
        <v>1.1410209682079022E-4</v>
      </c>
    </row>
    <row r="718" spans="29:31" x14ac:dyDescent="0.45">
      <c r="AC718" t="s">
        <v>19</v>
      </c>
      <c r="AD718" t="s">
        <v>1127</v>
      </c>
      <c r="AE718">
        <v>1.1397296303817983E-4</v>
      </c>
    </row>
    <row r="719" spans="29:31" x14ac:dyDescent="0.45">
      <c r="AC719" t="s">
        <v>19</v>
      </c>
      <c r="AD719" t="s">
        <v>1128</v>
      </c>
      <c r="AE719">
        <v>1.138063263306796E-4</v>
      </c>
    </row>
    <row r="720" spans="29:31" x14ac:dyDescent="0.45">
      <c r="AC720" t="s">
        <v>19</v>
      </c>
      <c r="AD720" t="s">
        <v>1129</v>
      </c>
      <c r="AE720">
        <v>1.1346222732911302E-4</v>
      </c>
    </row>
    <row r="721" spans="29:31" x14ac:dyDescent="0.45">
      <c r="AC721" t="s">
        <v>19</v>
      </c>
      <c r="AD721" t="s">
        <v>1130</v>
      </c>
      <c r="AE721">
        <v>1.131970004582426E-4</v>
      </c>
    </row>
    <row r="722" spans="29:31" x14ac:dyDescent="0.45">
      <c r="AC722" t="s">
        <v>19</v>
      </c>
      <c r="AD722" t="s">
        <v>1131</v>
      </c>
      <c r="AE722">
        <v>1.126719595097848E-4</v>
      </c>
    </row>
    <row r="723" spans="29:31" x14ac:dyDescent="0.45">
      <c r="AC723" t="s">
        <v>19</v>
      </c>
      <c r="AD723" t="s">
        <v>1132</v>
      </c>
      <c r="AE723">
        <v>1.1241369194456403E-4</v>
      </c>
    </row>
    <row r="724" spans="29:31" x14ac:dyDescent="0.45">
      <c r="AC724" t="s">
        <v>19</v>
      </c>
      <c r="AD724" t="s">
        <v>1133</v>
      </c>
      <c r="AE724">
        <v>1.1214575867705208E-4</v>
      </c>
    </row>
    <row r="725" spans="29:31" x14ac:dyDescent="0.45">
      <c r="AC725" t="s">
        <v>19</v>
      </c>
      <c r="AD725" t="s">
        <v>1134</v>
      </c>
      <c r="AE725">
        <v>1.1222463080774824E-4</v>
      </c>
    </row>
    <row r="726" spans="29:31" x14ac:dyDescent="0.45">
      <c r="AC726" t="s">
        <v>19</v>
      </c>
      <c r="AD726" t="s">
        <v>1135</v>
      </c>
      <c r="AE726">
        <v>1.1227450583157081E-4</v>
      </c>
    </row>
    <row r="727" spans="29:31" x14ac:dyDescent="0.45">
      <c r="AC727" t="s">
        <v>19</v>
      </c>
      <c r="AD727" t="s">
        <v>1136</v>
      </c>
      <c r="AE727">
        <v>1.1332922726558615E-4</v>
      </c>
    </row>
    <row r="728" spans="29:31" x14ac:dyDescent="0.45">
      <c r="AC728" t="s">
        <v>19</v>
      </c>
      <c r="AD728" t="s">
        <v>1137</v>
      </c>
      <c r="AE728">
        <v>1.1428767830478117E-4</v>
      </c>
    </row>
    <row r="729" spans="29:31" x14ac:dyDescent="0.45">
      <c r="AC729" t="s">
        <v>19</v>
      </c>
      <c r="AD729" t="s">
        <v>1138</v>
      </c>
      <c r="AE729">
        <v>1.1490396348286786E-4</v>
      </c>
    </row>
    <row r="730" spans="29:31" x14ac:dyDescent="0.45">
      <c r="AC730" t="s">
        <v>19</v>
      </c>
      <c r="AD730" t="s">
        <v>1139</v>
      </c>
      <c r="AE730">
        <v>1.1558558880844303E-4</v>
      </c>
    </row>
    <row r="731" spans="29:31" x14ac:dyDescent="0.45">
      <c r="AC731" t="s">
        <v>19</v>
      </c>
      <c r="AD731" t="s">
        <v>1140</v>
      </c>
      <c r="AE731">
        <v>1.1354148608790081E-4</v>
      </c>
    </row>
    <row r="732" spans="29:31" x14ac:dyDescent="0.45">
      <c r="AC732" t="s">
        <v>19</v>
      </c>
      <c r="AD732" t="s">
        <v>1141</v>
      </c>
      <c r="AE732">
        <v>1.1377964899235589E-4</v>
      </c>
    </row>
    <row r="733" spans="29:31" x14ac:dyDescent="0.45">
      <c r="AC733" t="s">
        <v>19</v>
      </c>
      <c r="AD733" t="s">
        <v>1142</v>
      </c>
      <c r="AE733">
        <v>1.1367293963906108E-4</v>
      </c>
    </row>
    <row r="734" spans="29:31" x14ac:dyDescent="0.45">
      <c r="AC734" t="s">
        <v>19</v>
      </c>
      <c r="AD734" t="s">
        <v>1143</v>
      </c>
      <c r="AE734">
        <v>1.1367293963906108E-4</v>
      </c>
    </row>
    <row r="735" spans="29:31" x14ac:dyDescent="0.45">
      <c r="AC735" t="s">
        <v>19</v>
      </c>
      <c r="AD735" t="s">
        <v>1144</v>
      </c>
      <c r="AE735">
        <v>1.1367293963906108E-4</v>
      </c>
    </row>
    <row r="736" spans="29:31" x14ac:dyDescent="0.45">
      <c r="AC736" t="s">
        <v>19</v>
      </c>
      <c r="AD736" t="s">
        <v>1145</v>
      </c>
      <c r="AE736">
        <v>1.1371972163815047E-4</v>
      </c>
    </row>
    <row r="737" spans="29:31" x14ac:dyDescent="0.45">
      <c r="AC737" t="s">
        <v>19</v>
      </c>
      <c r="AD737" t="s">
        <v>1146</v>
      </c>
      <c r="AE737">
        <v>1.137610908439568E-4</v>
      </c>
    </row>
    <row r="738" spans="29:31" x14ac:dyDescent="0.45">
      <c r="AC738" t="s">
        <v>19</v>
      </c>
      <c r="AD738" t="s">
        <v>1147</v>
      </c>
      <c r="AE738">
        <v>1.1390105021313331E-4</v>
      </c>
    </row>
    <row r="739" spans="29:31" x14ac:dyDescent="0.45">
      <c r="AC739" t="s">
        <v>19</v>
      </c>
      <c r="AD739" t="s">
        <v>1148</v>
      </c>
      <c r="AE739">
        <v>1.1408817820949087E-4</v>
      </c>
    </row>
    <row r="740" spans="29:31" x14ac:dyDescent="0.45">
      <c r="AC740" t="s">
        <v>19</v>
      </c>
      <c r="AD740" t="s">
        <v>1149</v>
      </c>
      <c r="AE740">
        <v>1.141191084568227E-4</v>
      </c>
    </row>
    <row r="741" spans="29:31" x14ac:dyDescent="0.45">
      <c r="AC741" t="s">
        <v>19</v>
      </c>
      <c r="AD741" t="s">
        <v>1150</v>
      </c>
      <c r="AE741">
        <v>1.1436423066692744E-4</v>
      </c>
    </row>
    <row r="742" spans="29:31" x14ac:dyDescent="0.45">
      <c r="AC742" t="s">
        <v>19</v>
      </c>
      <c r="AD742" t="s">
        <v>1151</v>
      </c>
      <c r="AE742">
        <v>1.1429889051943896E-4</v>
      </c>
    </row>
    <row r="743" spans="29:31" x14ac:dyDescent="0.45">
      <c r="AC743" t="s">
        <v>19</v>
      </c>
      <c r="AD743" t="s">
        <v>1152</v>
      </c>
      <c r="AE743">
        <v>1.1411678868827283E-4</v>
      </c>
    </row>
    <row r="744" spans="29:31" x14ac:dyDescent="0.45">
      <c r="AC744" t="s">
        <v>19</v>
      </c>
      <c r="AD744" t="s">
        <v>1153</v>
      </c>
      <c r="AE744">
        <v>1.1376341061250667E-4</v>
      </c>
    </row>
    <row r="745" spans="29:31" x14ac:dyDescent="0.45">
      <c r="AC745" t="s">
        <v>19</v>
      </c>
      <c r="AD745" t="s">
        <v>1154</v>
      </c>
      <c r="AE745">
        <v>1.1339224764452473E-4</v>
      </c>
    </row>
    <row r="746" spans="29:31" x14ac:dyDescent="0.45">
      <c r="AC746" t="s">
        <v>19</v>
      </c>
      <c r="AD746" t="s">
        <v>1155</v>
      </c>
      <c r="AE746">
        <v>1.1248637802579382E-4</v>
      </c>
    </row>
    <row r="747" spans="29:31" x14ac:dyDescent="0.45">
      <c r="AC747" t="s">
        <v>19</v>
      </c>
      <c r="AD747" t="s">
        <v>1156</v>
      </c>
      <c r="AE747">
        <v>1.1216470345354279E-4</v>
      </c>
    </row>
    <row r="748" spans="29:31" x14ac:dyDescent="0.45">
      <c r="AC748" t="s">
        <v>19</v>
      </c>
      <c r="AD748" t="s">
        <v>1157</v>
      </c>
      <c r="AE748">
        <v>1.1181944456770126E-4</v>
      </c>
    </row>
    <row r="749" spans="29:31" x14ac:dyDescent="0.45">
      <c r="AC749" t="s">
        <v>19</v>
      </c>
      <c r="AD749" t="s">
        <v>1158</v>
      </c>
      <c r="AE749">
        <v>1.1183452306327554E-4</v>
      </c>
    </row>
    <row r="750" spans="29:31" x14ac:dyDescent="0.45">
      <c r="AC750" t="s">
        <v>19</v>
      </c>
      <c r="AD750" t="s">
        <v>1159</v>
      </c>
      <c r="AE750">
        <v>1.118681597072489E-4</v>
      </c>
    </row>
    <row r="751" spans="29:31" x14ac:dyDescent="0.45">
      <c r="AC751" t="s">
        <v>19</v>
      </c>
      <c r="AD751" t="s">
        <v>1160</v>
      </c>
      <c r="AE751">
        <v>1.1224086918759744E-4</v>
      </c>
    </row>
    <row r="752" spans="29:31" x14ac:dyDescent="0.45">
      <c r="AC752" t="s">
        <v>19</v>
      </c>
      <c r="AD752" t="s">
        <v>1161</v>
      </c>
      <c r="AE752">
        <v>1.1263445658489494E-4</v>
      </c>
    </row>
    <row r="753" spans="29:31" x14ac:dyDescent="0.45">
      <c r="AC753" t="s">
        <v>19</v>
      </c>
      <c r="AD753" t="s">
        <v>1162</v>
      </c>
      <c r="AE753">
        <v>1.1322638419320781E-4</v>
      </c>
    </row>
    <row r="754" spans="29:31" x14ac:dyDescent="0.45">
      <c r="AC754" t="s">
        <v>19</v>
      </c>
      <c r="AD754" t="s">
        <v>1163</v>
      </c>
      <c r="AE754">
        <v>1.1360180007019788E-4</v>
      </c>
    </row>
    <row r="755" spans="29:31" x14ac:dyDescent="0.45">
      <c r="AC755" t="s">
        <v>19</v>
      </c>
      <c r="AD755" t="s">
        <v>1164</v>
      </c>
      <c r="AE755">
        <v>1.1547694631468998E-4</v>
      </c>
    </row>
    <row r="756" spans="29:31" x14ac:dyDescent="0.45">
      <c r="AC756" t="s">
        <v>19</v>
      </c>
      <c r="AD756" t="s">
        <v>1165</v>
      </c>
      <c r="AE756">
        <v>1.1536869044902857E-4</v>
      </c>
    </row>
    <row r="757" spans="29:31" x14ac:dyDescent="0.45">
      <c r="AC757" t="s">
        <v>19</v>
      </c>
      <c r="AD757" t="s">
        <v>1166</v>
      </c>
      <c r="AE757">
        <v>1.153729433580367E-4</v>
      </c>
    </row>
    <row r="758" spans="29:31" x14ac:dyDescent="0.45">
      <c r="AC758" t="s">
        <v>19</v>
      </c>
      <c r="AD758" t="s">
        <v>1167</v>
      </c>
      <c r="AE758">
        <v>1.153729433580367E-4</v>
      </c>
    </row>
    <row r="759" spans="29:31" x14ac:dyDescent="0.45">
      <c r="AC759" t="s">
        <v>19</v>
      </c>
      <c r="AD759" t="s">
        <v>1168</v>
      </c>
      <c r="AE759">
        <v>1.153640509119288E-4</v>
      </c>
    </row>
    <row r="760" spans="29:31" x14ac:dyDescent="0.45">
      <c r="AC760" t="s">
        <v>19</v>
      </c>
      <c r="AD760" t="s">
        <v>1169</v>
      </c>
      <c r="AE760">
        <v>1.1537255672994507E-4</v>
      </c>
    </row>
    <row r="761" spans="29:31" x14ac:dyDescent="0.45">
      <c r="AC761" t="s">
        <v>19</v>
      </c>
      <c r="AD761" t="s">
        <v>1170</v>
      </c>
      <c r="AE761">
        <v>1.1539459453116899E-4</v>
      </c>
    </row>
    <row r="762" spans="29:31" x14ac:dyDescent="0.45">
      <c r="AC762" t="s">
        <v>19</v>
      </c>
      <c r="AD762" t="s">
        <v>1171</v>
      </c>
      <c r="AE762">
        <v>1.154471759516331E-4</v>
      </c>
    </row>
    <row r="763" spans="29:31" x14ac:dyDescent="0.45">
      <c r="AC763" t="s">
        <v>19</v>
      </c>
      <c r="AD763" t="s">
        <v>1172</v>
      </c>
      <c r="AE763">
        <v>1.1546844049667374E-4</v>
      </c>
    </row>
    <row r="764" spans="29:31" x14ac:dyDescent="0.45">
      <c r="AC764" t="s">
        <v>19</v>
      </c>
      <c r="AD764" t="s">
        <v>1173</v>
      </c>
      <c r="AE764">
        <v>1.1552914110706245E-4</v>
      </c>
    </row>
    <row r="765" spans="29:31" x14ac:dyDescent="0.45">
      <c r="AC765" t="s">
        <v>19</v>
      </c>
      <c r="AD765" t="s">
        <v>1174</v>
      </c>
      <c r="AE765">
        <v>1.1546341433148231E-4</v>
      </c>
    </row>
    <row r="766" spans="29:31" x14ac:dyDescent="0.45">
      <c r="AC766" t="s">
        <v>19</v>
      </c>
      <c r="AD766" t="s">
        <v>1175</v>
      </c>
      <c r="AE766">
        <v>1.15263914236192E-4</v>
      </c>
    </row>
    <row r="767" spans="29:31" x14ac:dyDescent="0.45">
      <c r="AC767" t="s">
        <v>19</v>
      </c>
      <c r="AD767" t="s">
        <v>1176</v>
      </c>
      <c r="AE767">
        <v>1.1500757981142949E-4</v>
      </c>
    </row>
    <row r="768" spans="29:31" x14ac:dyDescent="0.45">
      <c r="AC768" t="s">
        <v>19</v>
      </c>
      <c r="AD768" t="s">
        <v>1177</v>
      </c>
      <c r="AE768">
        <v>1.1419488756278569E-4</v>
      </c>
    </row>
    <row r="769" spans="29:31" x14ac:dyDescent="0.45">
      <c r="AC769" t="s">
        <v>19</v>
      </c>
      <c r="AD769" t="s">
        <v>1178</v>
      </c>
      <c r="AE769">
        <v>1.1372281466288365E-4</v>
      </c>
    </row>
    <row r="770" spans="29:31" x14ac:dyDescent="0.45">
      <c r="AC770" t="s">
        <v>19</v>
      </c>
      <c r="AD770" t="s">
        <v>1179</v>
      </c>
      <c r="AE770">
        <v>1.1265340136138569E-4</v>
      </c>
    </row>
    <row r="771" spans="29:31" x14ac:dyDescent="0.45">
      <c r="AC771" t="s">
        <v>19</v>
      </c>
      <c r="AD771" t="s">
        <v>1180</v>
      </c>
      <c r="AE771">
        <v>1.1240441287036447E-4</v>
      </c>
    </row>
    <row r="772" spans="29:31" x14ac:dyDescent="0.45">
      <c r="AC772" t="s">
        <v>19</v>
      </c>
      <c r="AD772" t="s">
        <v>1181</v>
      </c>
      <c r="AE772">
        <v>1.1214575867705207E-4</v>
      </c>
    </row>
    <row r="773" spans="29:31" x14ac:dyDescent="0.45">
      <c r="AC773" t="s">
        <v>19</v>
      </c>
      <c r="AD773" t="s">
        <v>1182</v>
      </c>
      <c r="AE773">
        <v>1.1222463080774823E-4</v>
      </c>
    </row>
    <row r="774" spans="29:31" x14ac:dyDescent="0.45">
      <c r="AC774" t="s">
        <v>19</v>
      </c>
      <c r="AD774" t="s">
        <v>1183</v>
      </c>
      <c r="AE774">
        <v>1.1227218606302091E-4</v>
      </c>
    </row>
    <row r="775" spans="29:31" x14ac:dyDescent="0.45">
      <c r="AC775" t="s">
        <v>19</v>
      </c>
      <c r="AD775" t="s">
        <v>1184</v>
      </c>
      <c r="AE775">
        <v>1.1318656149976809E-4</v>
      </c>
    </row>
    <row r="776" spans="29:31" x14ac:dyDescent="0.45">
      <c r="AC776" t="s">
        <v>19</v>
      </c>
      <c r="AD776" t="s">
        <v>1185</v>
      </c>
      <c r="AE776">
        <v>1.1406266075544213E-4</v>
      </c>
    </row>
    <row r="777" spans="29:31" x14ac:dyDescent="0.45">
      <c r="AC777" t="s">
        <v>19</v>
      </c>
      <c r="AD777" t="s">
        <v>1186</v>
      </c>
      <c r="AE777">
        <v>1.1463216393443942E-4</v>
      </c>
    </row>
    <row r="778" spans="29:31" x14ac:dyDescent="0.45">
      <c r="AC778" t="s">
        <v>19</v>
      </c>
      <c r="AD778" t="s">
        <v>1187</v>
      </c>
      <c r="AE778">
        <v>1.1531146949146469E-4</v>
      </c>
    </row>
    <row r="779" spans="29:31" x14ac:dyDescent="0.45">
      <c r="AC779" t="s">
        <v>19</v>
      </c>
      <c r="AD779" t="s">
        <v>1188</v>
      </c>
      <c r="AE779">
        <v>1.1547501317423174E-4</v>
      </c>
    </row>
    <row r="780" spans="29:31" x14ac:dyDescent="0.45">
      <c r="AC780" t="s">
        <v>19</v>
      </c>
      <c r="AD780" t="s">
        <v>1189</v>
      </c>
      <c r="AE780">
        <v>1.1536869044902857E-4</v>
      </c>
    </row>
    <row r="781" spans="29:31" x14ac:dyDescent="0.45">
      <c r="AC781" t="s">
        <v>19</v>
      </c>
      <c r="AD781" t="s">
        <v>1190</v>
      </c>
      <c r="AE781">
        <v>1.153729433580367E-4</v>
      </c>
    </row>
    <row r="782" spans="29:31" x14ac:dyDescent="0.45">
      <c r="AC782" t="s">
        <v>19</v>
      </c>
      <c r="AD782" t="s">
        <v>1191</v>
      </c>
      <c r="AE782">
        <v>1.153729433580367E-4</v>
      </c>
    </row>
    <row r="783" spans="29:31" x14ac:dyDescent="0.45">
      <c r="AC783" t="s">
        <v>19</v>
      </c>
      <c r="AD783" t="s">
        <v>1192</v>
      </c>
      <c r="AE783">
        <v>1.1534085322642994E-4</v>
      </c>
    </row>
    <row r="784" spans="29:31" x14ac:dyDescent="0.45">
      <c r="AC784" t="s">
        <v>19</v>
      </c>
      <c r="AD784" t="s">
        <v>1193</v>
      </c>
      <c r="AE784">
        <v>1.1534085322642994E-4</v>
      </c>
    </row>
    <row r="785" spans="29:31" x14ac:dyDescent="0.45">
      <c r="AC785" t="s">
        <v>19</v>
      </c>
      <c r="AD785" t="s">
        <v>1194</v>
      </c>
      <c r="AE785">
        <v>1.1535477183772925E-4</v>
      </c>
    </row>
    <row r="786" spans="29:31" x14ac:dyDescent="0.45">
      <c r="AC786" t="s">
        <v>19</v>
      </c>
      <c r="AD786" t="s">
        <v>1195</v>
      </c>
      <c r="AE786">
        <v>1.1544949572018299E-4</v>
      </c>
    </row>
    <row r="787" spans="29:31" x14ac:dyDescent="0.45">
      <c r="AC787" t="s">
        <v>19</v>
      </c>
      <c r="AD787" t="s">
        <v>1196</v>
      </c>
      <c r="AE787">
        <v>1.1547153352140691E-4</v>
      </c>
    </row>
    <row r="788" spans="29:31" x14ac:dyDescent="0.45">
      <c r="AC788" t="s">
        <v>19</v>
      </c>
      <c r="AD788" t="s">
        <v>1197</v>
      </c>
      <c r="AE788">
        <v>1.1553223413179562E-4</v>
      </c>
    </row>
    <row r="789" spans="29:31" x14ac:dyDescent="0.45">
      <c r="AC789" t="s">
        <v>19</v>
      </c>
      <c r="AD789" t="s">
        <v>1198</v>
      </c>
      <c r="AE789">
        <v>1.1544601606735816E-4</v>
      </c>
    </row>
    <row r="790" spans="29:31" x14ac:dyDescent="0.45">
      <c r="AC790" t="s">
        <v>19</v>
      </c>
      <c r="AD790" t="s">
        <v>1199</v>
      </c>
      <c r="AE790">
        <v>1.152484491125261E-4</v>
      </c>
    </row>
    <row r="791" spans="29:31" x14ac:dyDescent="0.45">
      <c r="AC791" t="s">
        <v>19</v>
      </c>
      <c r="AD791" t="s">
        <v>1200</v>
      </c>
      <c r="AE791">
        <v>1.1499211468776356E-4</v>
      </c>
    </row>
    <row r="792" spans="29:31" x14ac:dyDescent="0.45">
      <c r="AC792" t="s">
        <v>19</v>
      </c>
      <c r="AD792" t="s">
        <v>1201</v>
      </c>
      <c r="AE792">
        <v>1.1415661138171256E-4</v>
      </c>
    </row>
    <row r="793" spans="29:31" x14ac:dyDescent="0.45">
      <c r="AC793" t="s">
        <v>19</v>
      </c>
      <c r="AD793" t="s">
        <v>1202</v>
      </c>
      <c r="AE793">
        <v>1.1380130016548817E-4</v>
      </c>
    </row>
    <row r="794" spans="29:31" x14ac:dyDescent="0.45">
      <c r="AC794" t="s">
        <v>19</v>
      </c>
      <c r="AD794" t="s">
        <v>1203</v>
      </c>
      <c r="AE794">
        <v>1.1278214851590444E-4</v>
      </c>
    </row>
    <row r="795" spans="29:31" x14ac:dyDescent="0.45">
      <c r="AC795" t="s">
        <v>19</v>
      </c>
      <c r="AD795" t="s">
        <v>1204</v>
      </c>
      <c r="AE795">
        <v>1.1233984597905929E-4</v>
      </c>
    </row>
    <row r="796" spans="29:31" x14ac:dyDescent="0.45">
      <c r="AC796" t="s">
        <v>19</v>
      </c>
      <c r="AD796" t="s">
        <v>1205</v>
      </c>
      <c r="AE796">
        <v>1.120750057362805E-4</v>
      </c>
    </row>
    <row r="797" spans="29:31" x14ac:dyDescent="0.45">
      <c r="AC797" t="s">
        <v>19</v>
      </c>
      <c r="AD797" t="s">
        <v>1206</v>
      </c>
      <c r="AE797">
        <v>1.1210786912407058E-4</v>
      </c>
    </row>
    <row r="798" spans="29:31" x14ac:dyDescent="0.45">
      <c r="AC798" t="s">
        <v>19</v>
      </c>
      <c r="AD798" t="s">
        <v>1207</v>
      </c>
      <c r="AE798">
        <v>1.1222385755156493E-4</v>
      </c>
    </row>
    <row r="799" spans="29:31" x14ac:dyDescent="0.45">
      <c r="AC799" t="s">
        <v>19</v>
      </c>
      <c r="AD799" t="s">
        <v>1208</v>
      </c>
      <c r="AE799">
        <v>1.1296772999989539E-4</v>
      </c>
    </row>
    <row r="800" spans="29:31" x14ac:dyDescent="0.45">
      <c r="AC800" t="s">
        <v>19</v>
      </c>
      <c r="AD800" t="s">
        <v>1209</v>
      </c>
      <c r="AE800">
        <v>1.1386780019725161E-4</v>
      </c>
    </row>
    <row r="801" spans="29:31" x14ac:dyDescent="0.45">
      <c r="AC801" t="s">
        <v>19</v>
      </c>
      <c r="AD801" t="s">
        <v>1210</v>
      </c>
      <c r="AE801">
        <v>1.1469479768528636E-4</v>
      </c>
    </row>
    <row r="802" spans="29:31" x14ac:dyDescent="0.45">
      <c r="AC802" t="s">
        <v>19</v>
      </c>
      <c r="AD802" t="s">
        <v>1211</v>
      </c>
      <c r="AE802">
        <v>1.1533930671406334E-4</v>
      </c>
    </row>
    <row r="803" spans="29:31" x14ac:dyDescent="0.45">
      <c r="AC803" t="s">
        <v>19</v>
      </c>
      <c r="AD803" t="s">
        <v>395</v>
      </c>
      <c r="AE803">
        <v>1.931998048369753E-2</v>
      </c>
    </row>
    <row r="804" spans="29:31" x14ac:dyDescent="0.45">
      <c r="AC804" t="s">
        <v>19</v>
      </c>
      <c r="AD804" t="s">
        <v>396</v>
      </c>
      <c r="AE804">
        <v>3.2222933825853256E-3</v>
      </c>
    </row>
    <row r="805" spans="29:31" x14ac:dyDescent="0.45">
      <c r="AC805" t="s">
        <v>19</v>
      </c>
      <c r="AD805" t="s">
        <v>397</v>
      </c>
      <c r="AE805">
        <v>3.2233109877225423E-3</v>
      </c>
    </row>
    <row r="806" spans="29:31" x14ac:dyDescent="0.45">
      <c r="AC806" t="s">
        <v>19</v>
      </c>
      <c r="AD806" t="s">
        <v>398</v>
      </c>
      <c r="AE806">
        <v>1.9255991988017446E-2</v>
      </c>
    </row>
    <row r="807" spans="29:31" x14ac:dyDescent="0.45">
      <c r="AC807" t="s">
        <v>19</v>
      </c>
      <c r="AD807" t="s">
        <v>399</v>
      </c>
      <c r="AE807">
        <v>9.4401111731617603E-3</v>
      </c>
    </row>
    <row r="808" spans="29:31" x14ac:dyDescent="0.45">
      <c r="AC808" t="s">
        <v>19</v>
      </c>
      <c r="AD808" t="s">
        <v>400</v>
      </c>
      <c r="AE808">
        <v>3.1367244667137302E-3</v>
      </c>
    </row>
    <row r="809" spans="29:31" x14ac:dyDescent="0.45">
      <c r="AC809" t="s">
        <v>19</v>
      </c>
      <c r="AD809" t="s">
        <v>401</v>
      </c>
      <c r="AE809">
        <v>3.1379902870857859E-3</v>
      </c>
    </row>
    <row r="810" spans="29:31" x14ac:dyDescent="0.45">
      <c r="AC810" t="s">
        <v>19</v>
      </c>
      <c r="AD810" t="s">
        <v>402</v>
      </c>
      <c r="AE810">
        <v>1.5960750003728093E-2</v>
      </c>
    </row>
    <row r="811" spans="29:31" x14ac:dyDescent="0.45">
      <c r="AC811" t="s">
        <v>19</v>
      </c>
      <c r="AD811" t="s">
        <v>1212</v>
      </c>
      <c r="AE811">
        <v>1.1542542558033359E-4</v>
      </c>
    </row>
    <row r="812" spans="29:31" x14ac:dyDescent="0.45">
      <c r="AC812" t="s">
        <v>19</v>
      </c>
      <c r="AD812" t="s">
        <v>1213</v>
      </c>
      <c r="AE812">
        <v>1.1550429771102976E-4</v>
      </c>
    </row>
    <row r="813" spans="29:31" x14ac:dyDescent="0.45">
      <c r="AC813" t="s">
        <v>19</v>
      </c>
      <c r="AD813" t="s">
        <v>1214</v>
      </c>
      <c r="AE813">
        <v>1.1550429771102976E-4</v>
      </c>
    </row>
    <row r="814" spans="29:31" x14ac:dyDescent="0.45">
      <c r="AC814" t="s">
        <v>19</v>
      </c>
      <c r="AD814" t="s">
        <v>1215</v>
      </c>
      <c r="AE814">
        <v>1.1550429771102976E-4</v>
      </c>
    </row>
    <row r="815" spans="29:31" x14ac:dyDescent="0.45">
      <c r="AC815" t="s">
        <v>19</v>
      </c>
      <c r="AD815" t="s">
        <v>1216</v>
      </c>
      <c r="AE815">
        <v>1.155499198258442E-4</v>
      </c>
    </row>
    <row r="816" spans="29:31" x14ac:dyDescent="0.45">
      <c r="AC816" t="s">
        <v>19</v>
      </c>
      <c r="AD816" t="s">
        <v>1217</v>
      </c>
      <c r="AE816">
        <v>1.1556383843714352E-4</v>
      </c>
    </row>
    <row r="817" spans="29:31" x14ac:dyDescent="0.45">
      <c r="AC817" t="s">
        <v>19</v>
      </c>
      <c r="AD817" t="s">
        <v>1218</v>
      </c>
      <c r="AE817">
        <v>1.1557311751134306E-4</v>
      </c>
    </row>
    <row r="818" spans="29:31" x14ac:dyDescent="0.45">
      <c r="AC818" t="s">
        <v>19</v>
      </c>
      <c r="AD818" t="s">
        <v>1219</v>
      </c>
      <c r="AE818">
        <v>1.1549115235591372E-4</v>
      </c>
    </row>
    <row r="819" spans="29:31" x14ac:dyDescent="0.45">
      <c r="AC819" t="s">
        <v>19</v>
      </c>
      <c r="AD819" t="s">
        <v>1220</v>
      </c>
      <c r="AE819">
        <v>1.1555185296630244E-4</v>
      </c>
    </row>
    <row r="820" spans="29:31" x14ac:dyDescent="0.45">
      <c r="AC820" t="s">
        <v>19</v>
      </c>
      <c r="AD820" t="s">
        <v>1221</v>
      </c>
      <c r="AE820">
        <v>1.1547994014125593E-4</v>
      </c>
    </row>
    <row r="821" spans="29:31" x14ac:dyDescent="0.45">
      <c r="AC821" t="s">
        <v>19</v>
      </c>
      <c r="AD821" t="s">
        <v>1222</v>
      </c>
      <c r="AE821">
        <v>1.1523249816260131E-4</v>
      </c>
    </row>
    <row r="822" spans="29:31" x14ac:dyDescent="0.45">
      <c r="AC822" t="s">
        <v>19</v>
      </c>
      <c r="AD822" t="s">
        <v>1223</v>
      </c>
      <c r="AE822">
        <v>1.1497616373783878E-4</v>
      </c>
    </row>
    <row r="823" spans="29:31" x14ac:dyDescent="0.45">
      <c r="AC823" t="s">
        <v>19</v>
      </c>
      <c r="AD823" t="s">
        <v>1224</v>
      </c>
      <c r="AE823">
        <v>1.1415264590262884E-4</v>
      </c>
    </row>
    <row r="824" spans="29:31" x14ac:dyDescent="0.45">
      <c r="AC824" t="s">
        <v>19</v>
      </c>
      <c r="AD824" t="s">
        <v>1225</v>
      </c>
      <c r="AE824">
        <v>1.1369719801066767E-4</v>
      </c>
    </row>
    <row r="825" spans="29:31" x14ac:dyDescent="0.45">
      <c r="AC825" t="s">
        <v>19</v>
      </c>
      <c r="AD825" t="s">
        <v>1226</v>
      </c>
      <c r="AE825">
        <v>1.1261425272596203E-4</v>
      </c>
    </row>
    <row r="826" spans="29:31" x14ac:dyDescent="0.45">
      <c r="AC826" t="s">
        <v>19</v>
      </c>
      <c r="AD826" t="s">
        <v>1227</v>
      </c>
      <c r="AE826">
        <v>1.1235946481356611E-4</v>
      </c>
    </row>
    <row r="827" spans="29:31" x14ac:dyDescent="0.45">
      <c r="AC827" t="s">
        <v>19</v>
      </c>
      <c r="AD827" t="s">
        <v>1228</v>
      </c>
      <c r="AE827">
        <v>1.1209153154605414E-4</v>
      </c>
    </row>
    <row r="828" spans="29:31" x14ac:dyDescent="0.45">
      <c r="AC828" t="s">
        <v>19</v>
      </c>
      <c r="AD828" t="s">
        <v>1229</v>
      </c>
      <c r="AE828">
        <v>1.1213754028896023E-4</v>
      </c>
    </row>
    <row r="829" spans="29:31" x14ac:dyDescent="0.45">
      <c r="AC829" t="s">
        <v>19</v>
      </c>
      <c r="AD829" t="s">
        <v>1230</v>
      </c>
      <c r="AE829">
        <v>1.1219862752744059E-4</v>
      </c>
    </row>
    <row r="830" spans="29:31" x14ac:dyDescent="0.45">
      <c r="AC830" t="s">
        <v>19</v>
      </c>
      <c r="AD830" t="s">
        <v>1231</v>
      </c>
      <c r="AE830">
        <v>1.1296724417363653E-4</v>
      </c>
    </row>
    <row r="831" spans="29:31" x14ac:dyDescent="0.45">
      <c r="AC831" t="s">
        <v>19</v>
      </c>
      <c r="AD831" t="s">
        <v>1232</v>
      </c>
      <c r="AE831">
        <v>1.1398755570749522E-4</v>
      </c>
    </row>
    <row r="832" spans="29:31" x14ac:dyDescent="0.45">
      <c r="AC832" t="s">
        <v>19</v>
      </c>
      <c r="AD832" t="s">
        <v>1233</v>
      </c>
      <c r="AE832">
        <v>1.1481919273262975E-4</v>
      </c>
    </row>
    <row r="833" spans="29:31" x14ac:dyDescent="0.45">
      <c r="AC833" t="s">
        <v>19</v>
      </c>
      <c r="AD833" t="s">
        <v>1234</v>
      </c>
      <c r="AE833">
        <v>1.1540841394430107E-4</v>
      </c>
    </row>
    <row r="834" spans="29:31" x14ac:dyDescent="0.45">
      <c r="AC834" t="s">
        <v>19</v>
      </c>
      <c r="AD834" t="s">
        <v>1235</v>
      </c>
      <c r="AE834">
        <v>1.1545558257148213E-4</v>
      </c>
    </row>
    <row r="835" spans="29:31" x14ac:dyDescent="0.45">
      <c r="AC835" t="s">
        <v>19</v>
      </c>
      <c r="AD835" t="s">
        <v>1236</v>
      </c>
      <c r="AE835">
        <v>1.1374320675357377E-4</v>
      </c>
    </row>
    <row r="836" spans="29:31" x14ac:dyDescent="0.45">
      <c r="AC836" t="s">
        <v>19</v>
      </c>
      <c r="AD836" t="s">
        <v>1237</v>
      </c>
      <c r="AE836">
        <v>1.136763200937187E-4</v>
      </c>
    </row>
    <row r="837" spans="29:31" x14ac:dyDescent="0.45">
      <c r="AC837" t="s">
        <v>19</v>
      </c>
      <c r="AD837" t="s">
        <v>1238</v>
      </c>
      <c r="AE837">
        <v>1.136763200937187E-4</v>
      </c>
    </row>
    <row r="838" spans="29:31" x14ac:dyDescent="0.45">
      <c r="AC838" t="s">
        <v>19</v>
      </c>
      <c r="AD838" t="s">
        <v>1239</v>
      </c>
      <c r="AE838">
        <v>1.1363572414409567E-4</v>
      </c>
    </row>
    <row r="839" spans="29:31" x14ac:dyDescent="0.45">
      <c r="AC839" t="s">
        <v>19</v>
      </c>
      <c r="AD839" t="s">
        <v>1240</v>
      </c>
      <c r="AE839">
        <v>1.1368250614318508E-4</v>
      </c>
    </row>
    <row r="840" spans="29:31" x14ac:dyDescent="0.45">
      <c r="AC840" t="s">
        <v>19</v>
      </c>
      <c r="AD840" t="s">
        <v>1241</v>
      </c>
      <c r="AE840">
        <v>1.1375480559632321E-4</v>
      </c>
    </row>
    <row r="841" spans="29:31" x14ac:dyDescent="0.45">
      <c r="AC841" t="s">
        <v>19</v>
      </c>
      <c r="AD841" t="s">
        <v>1242</v>
      </c>
      <c r="AE841">
        <v>1.1386499460244285E-4</v>
      </c>
    </row>
    <row r="842" spans="29:31" x14ac:dyDescent="0.45">
      <c r="AC842" t="s">
        <v>19</v>
      </c>
      <c r="AD842" t="s">
        <v>1243</v>
      </c>
      <c r="AE842">
        <v>1.1403549759085955E-4</v>
      </c>
    </row>
    <row r="843" spans="29:31" x14ac:dyDescent="0.45">
      <c r="AC843" t="s">
        <v>19</v>
      </c>
      <c r="AD843" t="s">
        <v>1244</v>
      </c>
      <c r="AE843">
        <v>1.1406604121009973E-4</v>
      </c>
    </row>
    <row r="844" spans="29:31" x14ac:dyDescent="0.45">
      <c r="AC844" t="s">
        <v>19</v>
      </c>
      <c r="AD844" t="s">
        <v>1245</v>
      </c>
      <c r="AE844">
        <v>1.1404941620215888E-4</v>
      </c>
    </row>
    <row r="845" spans="29:31" x14ac:dyDescent="0.45">
      <c r="AC845" t="s">
        <v>19</v>
      </c>
      <c r="AD845" t="s">
        <v>1246</v>
      </c>
      <c r="AE845">
        <v>1.139106167172573E-4</v>
      </c>
    </row>
    <row r="846" spans="29:31" x14ac:dyDescent="0.45">
      <c r="AC846" t="s">
        <v>19</v>
      </c>
      <c r="AD846" t="s">
        <v>1247</v>
      </c>
      <c r="AE846">
        <v>1.1376872420762254E-4</v>
      </c>
    </row>
    <row r="847" spans="29:31" x14ac:dyDescent="0.45">
      <c r="AC847" t="s">
        <v>19</v>
      </c>
      <c r="AD847" t="s">
        <v>1248</v>
      </c>
      <c r="AE847">
        <v>1.1342075892513948E-4</v>
      </c>
    </row>
    <row r="848" spans="29:31" x14ac:dyDescent="0.45">
      <c r="AC848" t="s">
        <v>19</v>
      </c>
      <c r="AD848" t="s">
        <v>1249</v>
      </c>
      <c r="AE848">
        <v>1.1320038091290019E-4</v>
      </c>
    </row>
    <row r="849" spans="29:31" x14ac:dyDescent="0.45">
      <c r="AC849" t="s">
        <v>19</v>
      </c>
      <c r="AD849" t="s">
        <v>1250</v>
      </c>
      <c r="AE849">
        <v>1.1261425272596205E-4</v>
      </c>
    </row>
    <row r="850" spans="29:31" x14ac:dyDescent="0.45">
      <c r="AC850" t="s">
        <v>19</v>
      </c>
      <c r="AD850" t="s">
        <v>1251</v>
      </c>
      <c r="AE850">
        <v>1.1235946481356611E-4</v>
      </c>
    </row>
    <row r="851" spans="29:31" x14ac:dyDescent="0.45">
      <c r="AC851" t="s">
        <v>19</v>
      </c>
      <c r="AD851" t="s">
        <v>1252</v>
      </c>
      <c r="AE851">
        <v>1.1209153154605414E-4</v>
      </c>
    </row>
    <row r="852" spans="29:31" x14ac:dyDescent="0.45">
      <c r="AC852" t="s">
        <v>19</v>
      </c>
      <c r="AD852" t="s">
        <v>1253</v>
      </c>
      <c r="AE852">
        <v>1.1213754028896025E-4</v>
      </c>
    </row>
    <row r="853" spans="29:31" x14ac:dyDescent="0.45">
      <c r="AC853" t="s">
        <v>19</v>
      </c>
      <c r="AD853" t="s">
        <v>1254</v>
      </c>
      <c r="AE853">
        <v>1.1219862752744061E-4</v>
      </c>
    </row>
    <row r="854" spans="29:31" x14ac:dyDescent="0.45">
      <c r="AC854" t="s">
        <v>19</v>
      </c>
      <c r="AD854" t="s">
        <v>1255</v>
      </c>
      <c r="AE854">
        <v>1.1296724417363653E-4</v>
      </c>
    </row>
    <row r="855" spans="29:31" x14ac:dyDescent="0.45">
      <c r="AC855" t="s">
        <v>19</v>
      </c>
      <c r="AD855" t="s">
        <v>1256</v>
      </c>
      <c r="AE855">
        <v>1.1398755570749522E-4</v>
      </c>
    </row>
    <row r="856" spans="29:31" x14ac:dyDescent="0.45">
      <c r="AC856" t="s">
        <v>19</v>
      </c>
      <c r="AD856" t="s">
        <v>1257</v>
      </c>
      <c r="AE856">
        <v>1.1481919273262975E-4</v>
      </c>
    </row>
    <row r="857" spans="29:31" x14ac:dyDescent="0.45">
      <c r="AC857" t="s">
        <v>19</v>
      </c>
      <c r="AD857" t="s">
        <v>1258</v>
      </c>
      <c r="AE857">
        <v>1.1549192561209703E-4</v>
      </c>
    </row>
    <row r="858" spans="29:31" x14ac:dyDescent="0.45">
      <c r="AC858" t="s">
        <v>19</v>
      </c>
      <c r="AD858" t="s">
        <v>1259</v>
      </c>
      <c r="AE858">
        <v>1.1552633551225369E-4</v>
      </c>
    </row>
    <row r="859" spans="29:31" x14ac:dyDescent="0.45">
      <c r="AC859" t="s">
        <v>19</v>
      </c>
      <c r="AD859" t="s">
        <v>1260</v>
      </c>
      <c r="AE859">
        <v>1.1540802731620944E-4</v>
      </c>
    </row>
    <row r="860" spans="29:31" x14ac:dyDescent="0.45">
      <c r="AC860" t="s">
        <v>19</v>
      </c>
      <c r="AD860" t="s">
        <v>1261</v>
      </c>
      <c r="AE860">
        <v>1.15423879067967E-4</v>
      </c>
    </row>
    <row r="861" spans="29:31" x14ac:dyDescent="0.45">
      <c r="AC861" t="s">
        <v>19</v>
      </c>
      <c r="AD861" t="s">
        <v>1262</v>
      </c>
      <c r="AE861">
        <v>1.15423879067967E-4</v>
      </c>
    </row>
    <row r="862" spans="29:31" x14ac:dyDescent="0.45">
      <c r="AC862" t="s">
        <v>19</v>
      </c>
      <c r="AD862" t="s">
        <v>1263</v>
      </c>
      <c r="AE862">
        <v>1.1542349243987534E-4</v>
      </c>
    </row>
    <row r="863" spans="29:31" x14ac:dyDescent="0.45">
      <c r="AC863" t="s">
        <v>19</v>
      </c>
      <c r="AD863" t="s">
        <v>1264</v>
      </c>
      <c r="AE863">
        <v>1.1542813197697512E-4</v>
      </c>
    </row>
    <row r="864" spans="29:31" x14ac:dyDescent="0.45">
      <c r="AC864" t="s">
        <v>19</v>
      </c>
      <c r="AD864" t="s">
        <v>1265</v>
      </c>
      <c r="AE864">
        <v>1.1543973081972457E-4</v>
      </c>
    </row>
    <row r="865" spans="29:31" x14ac:dyDescent="0.45">
      <c r="AC865" t="s">
        <v>19</v>
      </c>
      <c r="AD865" t="s">
        <v>1266</v>
      </c>
      <c r="AE865">
        <v>1.1549463200873856E-4</v>
      </c>
    </row>
    <row r="866" spans="29:31" x14ac:dyDescent="0.45">
      <c r="AC866" t="s">
        <v>19</v>
      </c>
      <c r="AD866" t="s">
        <v>1267</v>
      </c>
      <c r="AE866">
        <v>1.1546756804232321E-4</v>
      </c>
    </row>
    <row r="867" spans="29:31" x14ac:dyDescent="0.45">
      <c r="AC867" t="s">
        <v>19</v>
      </c>
      <c r="AD867" t="s">
        <v>1268</v>
      </c>
      <c r="AE867">
        <v>1.1552826865271192E-4</v>
      </c>
    </row>
    <row r="868" spans="29:31" x14ac:dyDescent="0.45">
      <c r="AC868" t="s">
        <v>19</v>
      </c>
      <c r="AD868" t="s">
        <v>1269</v>
      </c>
      <c r="AE868">
        <v>1.154586755962153E-4</v>
      </c>
    </row>
    <row r="869" spans="29:31" x14ac:dyDescent="0.45">
      <c r="AC869" t="s">
        <v>19</v>
      </c>
      <c r="AD869" t="s">
        <v>1270</v>
      </c>
      <c r="AE869">
        <v>1.152815999302406E-4</v>
      </c>
    </row>
    <row r="870" spans="29:31" x14ac:dyDescent="0.45">
      <c r="AC870" t="s">
        <v>19</v>
      </c>
      <c r="AD870" t="s">
        <v>1271</v>
      </c>
      <c r="AE870">
        <v>1.149664980355476E-4</v>
      </c>
    </row>
    <row r="871" spans="29:31" x14ac:dyDescent="0.45">
      <c r="AC871" t="s">
        <v>19</v>
      </c>
      <c r="AD871" t="s">
        <v>1272</v>
      </c>
      <c r="AE871">
        <v>1.1417352381957785E-4</v>
      </c>
    </row>
    <row r="872" spans="29:31" x14ac:dyDescent="0.45">
      <c r="AC872" t="s">
        <v>19</v>
      </c>
      <c r="AD872" t="s">
        <v>1273</v>
      </c>
      <c r="AE872">
        <v>1.1369371835784285E-4</v>
      </c>
    </row>
    <row r="873" spans="29:31" x14ac:dyDescent="0.45">
      <c r="AC873" t="s">
        <v>19</v>
      </c>
      <c r="AD873" t="s">
        <v>1274</v>
      </c>
      <c r="AE873">
        <v>1.1261425272596205E-4</v>
      </c>
    </row>
    <row r="874" spans="29:31" x14ac:dyDescent="0.45">
      <c r="AC874" t="s">
        <v>19</v>
      </c>
      <c r="AD874" t="s">
        <v>1275</v>
      </c>
      <c r="AE874">
        <v>1.1237570319341532E-4</v>
      </c>
    </row>
    <row r="875" spans="29:31" x14ac:dyDescent="0.45">
      <c r="AC875" t="s">
        <v>19</v>
      </c>
      <c r="AD875" t="s">
        <v>1276</v>
      </c>
      <c r="AE875">
        <v>1.1210815655399501E-4</v>
      </c>
    </row>
    <row r="876" spans="29:31" x14ac:dyDescent="0.45">
      <c r="AC876" t="s">
        <v>19</v>
      </c>
      <c r="AD876" t="s">
        <v>1277</v>
      </c>
      <c r="AE876">
        <v>1.1215377866880945E-4</v>
      </c>
    </row>
    <row r="877" spans="29:31" x14ac:dyDescent="0.45">
      <c r="AC877" t="s">
        <v>19</v>
      </c>
      <c r="AD877" t="s">
        <v>1278</v>
      </c>
      <c r="AE877">
        <v>1.1220094729599049E-4</v>
      </c>
    </row>
    <row r="878" spans="29:31" x14ac:dyDescent="0.45">
      <c r="AC878" t="s">
        <v>19</v>
      </c>
      <c r="AD878" t="s">
        <v>1279</v>
      </c>
      <c r="AE878">
        <v>1.1310952331136296E-4</v>
      </c>
    </row>
    <row r="879" spans="29:31" x14ac:dyDescent="0.45">
      <c r="AC879" t="s">
        <v>19</v>
      </c>
      <c r="AD879" t="s">
        <v>1280</v>
      </c>
      <c r="AE879">
        <v>1.1421218662874262E-4</v>
      </c>
    </row>
    <row r="880" spans="29:31" x14ac:dyDescent="0.45">
      <c r="AC880" t="s">
        <v>19</v>
      </c>
      <c r="AD880" t="s">
        <v>1281</v>
      </c>
      <c r="AE880">
        <v>1.152363644435178E-4</v>
      </c>
    </row>
    <row r="881" spans="29:31" x14ac:dyDescent="0.45">
      <c r="AC881" t="s">
        <v>19</v>
      </c>
      <c r="AD881" t="s">
        <v>1282</v>
      </c>
      <c r="AE881">
        <v>1.1549192561209703E-4</v>
      </c>
    </row>
    <row r="882" spans="29:31" x14ac:dyDescent="0.45">
      <c r="AC882" t="s">
        <v>19</v>
      </c>
      <c r="AD882" t="s">
        <v>1283</v>
      </c>
      <c r="AE882">
        <v>1.1552633551225369E-4</v>
      </c>
    </row>
    <row r="883" spans="29:31" x14ac:dyDescent="0.45">
      <c r="AC883" t="s">
        <v>19</v>
      </c>
      <c r="AD883" t="s">
        <v>403</v>
      </c>
      <c r="AE883">
        <v>2.0700732586758447E-2</v>
      </c>
    </row>
    <row r="884" spans="29:31" x14ac:dyDescent="0.45">
      <c r="AC884" t="s">
        <v>19</v>
      </c>
      <c r="AD884" t="s">
        <v>404</v>
      </c>
      <c r="AE884">
        <v>3.452575381910611E-3</v>
      </c>
    </row>
    <row r="885" spans="29:31" x14ac:dyDescent="0.45">
      <c r="AC885" t="s">
        <v>19</v>
      </c>
      <c r="AD885" t="s">
        <v>405</v>
      </c>
      <c r="AE885">
        <v>3.4535021294462907E-3</v>
      </c>
    </row>
    <row r="886" spans="29:31" x14ac:dyDescent="0.45">
      <c r="AC886" t="s">
        <v>19</v>
      </c>
      <c r="AD886" t="s">
        <v>406</v>
      </c>
      <c r="AE886">
        <v>2.0623439445188577E-2</v>
      </c>
    </row>
    <row r="887" spans="29:31" x14ac:dyDescent="0.45">
      <c r="AC887" t="s">
        <v>19</v>
      </c>
      <c r="AD887" t="s">
        <v>407</v>
      </c>
      <c r="AE887">
        <v>1.0111045051161569E-2</v>
      </c>
    </row>
    <row r="888" spans="29:31" x14ac:dyDescent="0.45">
      <c r="AC888" t="s">
        <v>19</v>
      </c>
      <c r="AD888" t="s">
        <v>408</v>
      </c>
      <c r="AE888">
        <v>3.3624407749047467E-3</v>
      </c>
    </row>
    <row r="889" spans="29:31" x14ac:dyDescent="0.45">
      <c r="AC889" t="s">
        <v>19</v>
      </c>
      <c r="AD889" t="s">
        <v>409</v>
      </c>
      <c r="AE889">
        <v>3.3637788947299399E-3</v>
      </c>
    </row>
    <row r="890" spans="29:31" x14ac:dyDescent="0.45">
      <c r="AC890" t="s">
        <v>19</v>
      </c>
      <c r="AD890" t="s">
        <v>410</v>
      </c>
      <c r="AE890">
        <v>1.7106455689490346E-2</v>
      </c>
    </row>
    <row r="891" spans="29:31" x14ac:dyDescent="0.45">
      <c r="AC891" t="s">
        <v>19</v>
      </c>
      <c r="AD891" t="s">
        <v>411</v>
      </c>
      <c r="AE891">
        <v>2.071797552491756E-2</v>
      </c>
    </row>
    <row r="892" spans="29:31" x14ac:dyDescent="0.45">
      <c r="AC892" t="s">
        <v>19</v>
      </c>
      <c r="AD892" t="s">
        <v>412</v>
      </c>
      <c r="AE892">
        <v>3.455631435644326E-3</v>
      </c>
    </row>
    <row r="893" spans="29:31" x14ac:dyDescent="0.45">
      <c r="AC893" t="s">
        <v>19</v>
      </c>
      <c r="AD893" t="s">
        <v>413</v>
      </c>
      <c r="AE893">
        <v>3.4552200633548129E-3</v>
      </c>
    </row>
    <row r="894" spans="29:31" x14ac:dyDescent="0.45">
      <c r="AC894" t="s">
        <v>19</v>
      </c>
      <c r="AD894" t="s">
        <v>414</v>
      </c>
      <c r="AE894">
        <v>2.0620833670378671E-2</v>
      </c>
    </row>
    <row r="895" spans="29:31" x14ac:dyDescent="0.45">
      <c r="AC895" t="s">
        <v>19</v>
      </c>
      <c r="AD895" t="s">
        <v>415</v>
      </c>
      <c r="AE895">
        <v>1.0114950044151113E-2</v>
      </c>
    </row>
    <row r="896" spans="29:31" x14ac:dyDescent="0.45">
      <c r="AC896" t="s">
        <v>19</v>
      </c>
      <c r="AD896" t="s">
        <v>416</v>
      </c>
      <c r="AE896">
        <v>3.3632439467484298E-3</v>
      </c>
    </row>
    <row r="897" spans="29:31" x14ac:dyDescent="0.45">
      <c r="AC897" t="s">
        <v>19</v>
      </c>
      <c r="AD897" t="s">
        <v>417</v>
      </c>
      <c r="AE897">
        <v>3.3643721275198584E-3</v>
      </c>
    </row>
    <row r="898" spans="29:31" x14ac:dyDescent="0.45">
      <c r="AC898" t="s">
        <v>19</v>
      </c>
      <c r="AD898" t="s">
        <v>418</v>
      </c>
      <c r="AE898">
        <v>1.7114934783398747E-2</v>
      </c>
    </row>
    <row r="899" spans="29:31" x14ac:dyDescent="0.45">
      <c r="AC899" t="s">
        <v>19</v>
      </c>
      <c r="AD899" t="s">
        <v>1284</v>
      </c>
      <c r="AE899">
        <v>1.1373609357617957E-4</v>
      </c>
    </row>
    <row r="900" spans="29:31" x14ac:dyDescent="0.45">
      <c r="AC900" t="s">
        <v>19</v>
      </c>
      <c r="AD900" t="s">
        <v>1285</v>
      </c>
      <c r="AE900">
        <v>1.1366108772639988E-4</v>
      </c>
    </row>
    <row r="901" spans="29:31" x14ac:dyDescent="0.45">
      <c r="AC901" t="s">
        <v>19</v>
      </c>
      <c r="AD901" t="s">
        <v>1286</v>
      </c>
      <c r="AE901">
        <v>1.1366108772639988E-4</v>
      </c>
    </row>
    <row r="902" spans="29:31" x14ac:dyDescent="0.45">
      <c r="AC902" t="s">
        <v>19</v>
      </c>
      <c r="AD902" t="s">
        <v>1287</v>
      </c>
      <c r="AE902">
        <v>1.1368003250289063E-4</v>
      </c>
    </row>
    <row r="903" spans="29:31" x14ac:dyDescent="0.45">
      <c r="AC903" t="s">
        <v>19</v>
      </c>
      <c r="AD903" t="s">
        <v>1288</v>
      </c>
      <c r="AE903">
        <v>1.1370323018838949E-4</v>
      </c>
    </row>
    <row r="904" spans="29:31" x14ac:dyDescent="0.45">
      <c r="AC904" t="s">
        <v>19</v>
      </c>
      <c r="AD904" t="s">
        <v>1289</v>
      </c>
      <c r="AE904">
        <v>1.1374459939419582E-4</v>
      </c>
    </row>
    <row r="905" spans="29:31" x14ac:dyDescent="0.45">
      <c r="AC905" t="s">
        <v>19</v>
      </c>
      <c r="AD905" t="s">
        <v>1290</v>
      </c>
      <c r="AE905">
        <v>1.1388455876337235E-4</v>
      </c>
    </row>
    <row r="906" spans="29:31" x14ac:dyDescent="0.45">
      <c r="AC906" t="s">
        <v>19</v>
      </c>
      <c r="AD906" t="s">
        <v>1291</v>
      </c>
      <c r="AE906">
        <v>1.1403611697529829E-4</v>
      </c>
    </row>
    <row r="907" spans="29:31" x14ac:dyDescent="0.45">
      <c r="AC907" t="s">
        <v>19</v>
      </c>
      <c r="AD907" t="s">
        <v>1292</v>
      </c>
      <c r="AE907">
        <v>1.1406704722263012E-4</v>
      </c>
    </row>
    <row r="908" spans="29:31" x14ac:dyDescent="0.45">
      <c r="AC908" t="s">
        <v>19</v>
      </c>
      <c r="AD908" t="s">
        <v>1293</v>
      </c>
      <c r="AE908">
        <v>1.1405003558659761E-4</v>
      </c>
    </row>
    <row r="909" spans="29:31" x14ac:dyDescent="0.45">
      <c r="AC909" t="s">
        <v>19</v>
      </c>
      <c r="AD909" t="s">
        <v>1294</v>
      </c>
      <c r="AE909">
        <v>1.1391394249833757E-4</v>
      </c>
    </row>
    <row r="910" spans="29:31" x14ac:dyDescent="0.45">
      <c r="AC910" t="s">
        <v>19</v>
      </c>
      <c r="AD910" t="s">
        <v>1295</v>
      </c>
      <c r="AE910">
        <v>1.1376973022015293E-4</v>
      </c>
    </row>
    <row r="911" spans="29:31" x14ac:dyDescent="0.45">
      <c r="AC911" t="s">
        <v>19</v>
      </c>
      <c r="AD911" t="s">
        <v>1296</v>
      </c>
      <c r="AE911">
        <v>1.1340088702072086E-4</v>
      </c>
    </row>
    <row r="912" spans="29:31" x14ac:dyDescent="0.45">
      <c r="AC912" t="s">
        <v>19</v>
      </c>
      <c r="AD912" t="s">
        <v>1297</v>
      </c>
      <c r="AE912">
        <v>1.1313024735656737E-4</v>
      </c>
    </row>
    <row r="913" spans="29:31" x14ac:dyDescent="0.45">
      <c r="AC913" t="s">
        <v>19</v>
      </c>
      <c r="AD913" t="s">
        <v>1298</v>
      </c>
      <c r="AE913">
        <v>1.1247645925359084E-4</v>
      </c>
    </row>
    <row r="914" spans="29:31" x14ac:dyDescent="0.45">
      <c r="AC914" t="s">
        <v>19</v>
      </c>
      <c r="AD914" t="s">
        <v>1299</v>
      </c>
      <c r="AE914">
        <v>1.1214125269813216E-4</v>
      </c>
    </row>
    <row r="915" spans="29:31" x14ac:dyDescent="0.45">
      <c r="AC915" t="s">
        <v>19</v>
      </c>
      <c r="AD915" t="s">
        <v>1300</v>
      </c>
      <c r="AE915">
        <v>1.1178555485381613E-4</v>
      </c>
    </row>
    <row r="916" spans="29:31" x14ac:dyDescent="0.45">
      <c r="AC916" t="s">
        <v>19</v>
      </c>
      <c r="AD916" t="s">
        <v>1301</v>
      </c>
      <c r="AE916">
        <v>1.117828484571746E-4</v>
      </c>
    </row>
    <row r="917" spans="29:31" x14ac:dyDescent="0.45">
      <c r="AC917" t="s">
        <v>19</v>
      </c>
      <c r="AD917" t="s">
        <v>1302</v>
      </c>
      <c r="AE917">
        <v>1.1179676706847394E-4</v>
      </c>
    </row>
    <row r="918" spans="29:31" x14ac:dyDescent="0.45">
      <c r="AC918" t="s">
        <v>19</v>
      </c>
      <c r="AD918" t="s">
        <v>1303</v>
      </c>
      <c r="AE918">
        <v>1.1210452302942562E-4</v>
      </c>
    </row>
    <row r="919" spans="29:31" x14ac:dyDescent="0.45">
      <c r="AC919" t="s">
        <v>19</v>
      </c>
      <c r="AD919" t="s">
        <v>1304</v>
      </c>
      <c r="AE919">
        <v>1.1247491274122427E-4</v>
      </c>
    </row>
    <row r="920" spans="29:31" x14ac:dyDescent="0.45">
      <c r="AC920" t="s">
        <v>19</v>
      </c>
      <c r="AD920" t="s">
        <v>1305</v>
      </c>
      <c r="AE920">
        <v>1.1302044497853938E-4</v>
      </c>
    </row>
    <row r="921" spans="29:31" x14ac:dyDescent="0.45">
      <c r="AC921" t="s">
        <v>19</v>
      </c>
      <c r="AD921" t="s">
        <v>1306</v>
      </c>
      <c r="AE921">
        <v>1.1348903822561658E-4</v>
      </c>
    </row>
    <row r="922" spans="29:31" x14ac:dyDescent="0.45">
      <c r="AC922" t="s">
        <v>19</v>
      </c>
      <c r="AD922" t="s">
        <v>1307</v>
      </c>
      <c r="AE922">
        <v>1.1342872424331952E-4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780D-C22B-4A87-97EA-39084CE3352E}">
  <dimension ref="A9:AN87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106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124</v>
      </c>
      <c r="K10" t="s">
        <v>248</v>
      </c>
      <c r="L10" t="s">
        <v>30</v>
      </c>
      <c r="N10" t="s">
        <v>13</v>
      </c>
      <c r="O10" t="s">
        <v>124</v>
      </c>
      <c r="P10" t="s">
        <v>248</v>
      </c>
      <c r="Q10" t="s">
        <v>30</v>
      </c>
      <c r="S10" t="s">
        <v>13</v>
      </c>
      <c r="T10" t="s">
        <v>124</v>
      </c>
      <c r="U10" t="s">
        <v>248</v>
      </c>
      <c r="V10" t="s">
        <v>30</v>
      </c>
      <c r="X10" t="s">
        <v>421</v>
      </c>
      <c r="Y10" t="s">
        <v>248</v>
      </c>
      <c r="Z10" t="s">
        <v>124</v>
      </c>
      <c r="AA10" t="s">
        <v>13</v>
      </c>
      <c r="AC10" t="s">
        <v>13</v>
      </c>
      <c r="AD10" t="s">
        <v>124</v>
      </c>
      <c r="AE10" t="s">
        <v>248</v>
      </c>
      <c r="AG10" t="s">
        <v>13</v>
      </c>
      <c r="AH10" t="s">
        <v>124</v>
      </c>
      <c r="AI10" t="s">
        <v>427</v>
      </c>
      <c r="AK10" t="s">
        <v>47</v>
      </c>
      <c r="AL10" t="s">
        <v>124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1310</v>
      </c>
      <c r="F11" t="s">
        <v>154</v>
      </c>
      <c r="G11" t="s">
        <v>155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3.2023983738383797E-2</v>
      </c>
      <c r="Q11" t="s">
        <v>251</v>
      </c>
      <c r="S11" t="s">
        <v>420</v>
      </c>
      <c r="T11" t="s">
        <v>250</v>
      </c>
      <c r="U11">
        <v>1.7877727916413823E-2</v>
      </c>
      <c r="V11" t="s">
        <v>251</v>
      </c>
      <c r="X11">
        <v>2.1232876712328767E-2</v>
      </c>
      <c r="Y11">
        <v>4.5420116185598634E-3</v>
      </c>
      <c r="Z11" t="s">
        <v>250</v>
      </c>
      <c r="AA11" t="s">
        <v>25</v>
      </c>
      <c r="AC11" t="s">
        <v>22</v>
      </c>
      <c r="AD11" t="s">
        <v>250</v>
      </c>
      <c r="AE11">
        <v>2.5333277982719261E-2</v>
      </c>
      <c r="AG11" t="s">
        <v>99</v>
      </c>
      <c r="AH11" t="s">
        <v>250</v>
      </c>
      <c r="AI11">
        <v>0.14041549864646474</v>
      </c>
    </row>
    <row r="12" spans="1:40" x14ac:dyDescent="0.45">
      <c r="C12" t="s">
        <v>156</v>
      </c>
      <c r="D12" t="s">
        <v>155</v>
      </c>
      <c r="E12" t="s">
        <v>1311</v>
      </c>
      <c r="F12" t="s">
        <v>166</v>
      </c>
      <c r="G12" t="s">
        <v>155</v>
      </c>
      <c r="I12" t="s">
        <v>249</v>
      </c>
      <c r="J12" t="s">
        <v>252</v>
      </c>
      <c r="K12">
        <v>2.1566995796228287E-3</v>
      </c>
      <c r="L12" t="s">
        <v>251</v>
      </c>
      <c r="N12" t="s">
        <v>419</v>
      </c>
      <c r="O12" t="s">
        <v>252</v>
      </c>
      <c r="P12">
        <v>4.6753520212145542E-3</v>
      </c>
      <c r="Q12" t="s">
        <v>251</v>
      </c>
      <c r="S12" t="s">
        <v>420</v>
      </c>
      <c r="T12" t="s">
        <v>252</v>
      </c>
      <c r="U12">
        <v>2.9400777924750939E-3</v>
      </c>
      <c r="V12" t="s">
        <v>251</v>
      </c>
      <c r="X12">
        <v>3.5388127853881279E-3</v>
      </c>
      <c r="Y12">
        <v>5.240782636799844E-3</v>
      </c>
      <c r="Z12" t="s">
        <v>252</v>
      </c>
      <c r="AA12" t="s">
        <v>25</v>
      </c>
      <c r="AC12" t="s">
        <v>22</v>
      </c>
      <c r="AD12" t="s">
        <v>252</v>
      </c>
      <c r="AE12">
        <v>4.2213820286558E-3</v>
      </c>
      <c r="AG12" t="s">
        <v>99</v>
      </c>
      <c r="AH12" t="s">
        <v>252</v>
      </c>
      <c r="AI12">
        <v>0.10695568022603918</v>
      </c>
    </row>
    <row r="13" spans="1:40" x14ac:dyDescent="0.45">
      <c r="C13" t="s">
        <v>159</v>
      </c>
      <c r="D13" t="s">
        <v>160</v>
      </c>
      <c r="E13" t="s">
        <v>1312</v>
      </c>
      <c r="F13" t="s">
        <v>158</v>
      </c>
      <c r="G13" t="s">
        <v>155</v>
      </c>
      <c r="I13" t="s">
        <v>249</v>
      </c>
      <c r="J13" t="s">
        <v>253</v>
      </c>
      <c r="K13">
        <v>5.7351265280208997E-3</v>
      </c>
      <c r="L13" t="s">
        <v>251</v>
      </c>
      <c r="N13" t="s">
        <v>419</v>
      </c>
      <c r="O13" t="s">
        <v>253</v>
      </c>
      <c r="P13">
        <v>4.1117343163884672E-3</v>
      </c>
      <c r="Q13" t="s">
        <v>251</v>
      </c>
      <c r="S13" t="s">
        <v>420</v>
      </c>
      <c r="T13" t="s">
        <v>253</v>
      </c>
      <c r="U13">
        <v>2.9873619792351001E-3</v>
      </c>
      <c r="V13" t="s">
        <v>251</v>
      </c>
      <c r="X13">
        <v>3.5388127853881279E-3</v>
      </c>
      <c r="Y13">
        <v>5.9087255218821738E-3</v>
      </c>
      <c r="Z13" t="s">
        <v>253</v>
      </c>
      <c r="AA13" t="s">
        <v>25</v>
      </c>
      <c r="AC13" t="s">
        <v>22</v>
      </c>
      <c r="AD13" t="s">
        <v>253</v>
      </c>
      <c r="AE13">
        <v>4.1846049727618205E-3</v>
      </c>
      <c r="AG13" t="s">
        <v>99</v>
      </c>
      <c r="AH13" t="s">
        <v>253</v>
      </c>
      <c r="AI13">
        <v>0.10918176237600519</v>
      </c>
    </row>
    <row r="14" spans="1:40" x14ac:dyDescent="0.45">
      <c r="C14" t="s">
        <v>163</v>
      </c>
      <c r="E14" t="s">
        <v>1313</v>
      </c>
      <c r="G14" t="s">
        <v>155</v>
      </c>
      <c r="I14" t="s">
        <v>249</v>
      </c>
      <c r="J14" t="s">
        <v>254</v>
      </c>
      <c r="K14">
        <v>5.6741174349457101E-2</v>
      </c>
      <c r="L14" t="s">
        <v>251</v>
      </c>
      <c r="N14" t="s">
        <v>419</v>
      </c>
      <c r="O14" t="s">
        <v>254</v>
      </c>
      <c r="P14">
        <v>1.8148492540508484E-2</v>
      </c>
      <c r="Q14" t="s">
        <v>251</v>
      </c>
      <c r="S14" t="s">
        <v>420</v>
      </c>
      <c r="T14" t="s">
        <v>254</v>
      </c>
      <c r="U14">
        <v>1.9091430054603994E-2</v>
      </c>
      <c r="V14" t="s">
        <v>251</v>
      </c>
      <c r="X14">
        <v>2.1232876712328767E-2</v>
      </c>
      <c r="Y14">
        <v>2.6758819580836844E-2</v>
      </c>
      <c r="Z14" t="s">
        <v>254</v>
      </c>
      <c r="AA14" t="s">
        <v>25</v>
      </c>
      <c r="AC14" t="s">
        <v>22</v>
      </c>
      <c r="AD14" t="s">
        <v>254</v>
      </c>
      <c r="AE14">
        <v>2.3058390122999334E-2</v>
      </c>
      <c r="AG14" t="s">
        <v>99</v>
      </c>
      <c r="AH14" t="s">
        <v>254</v>
      </c>
      <c r="AI14">
        <v>0.17850472951247887</v>
      </c>
    </row>
    <row r="15" spans="1:40" x14ac:dyDescent="0.45">
      <c r="C15" t="s">
        <v>166</v>
      </c>
      <c r="E15" t="s">
        <v>1314</v>
      </c>
      <c r="G15" t="s">
        <v>155</v>
      </c>
      <c r="I15" t="s">
        <v>249</v>
      </c>
      <c r="J15" t="s">
        <v>255</v>
      </c>
      <c r="K15">
        <v>2.6611029620498401E-2</v>
      </c>
      <c r="L15" t="s">
        <v>251</v>
      </c>
      <c r="N15" t="s">
        <v>419</v>
      </c>
      <c r="O15" t="s">
        <v>255</v>
      </c>
      <c r="P15">
        <v>8.3608854468542309E-3</v>
      </c>
      <c r="Q15" t="s">
        <v>251</v>
      </c>
      <c r="S15" t="s">
        <v>420</v>
      </c>
      <c r="T15" t="s">
        <v>255</v>
      </c>
      <c r="U15">
        <v>1.057631646936439E-2</v>
      </c>
      <c r="V15" t="s">
        <v>251</v>
      </c>
      <c r="X15">
        <v>1.0616438356164383E-2</v>
      </c>
      <c r="Y15">
        <v>1.6893816970390073E-2</v>
      </c>
      <c r="Z15" t="s">
        <v>255</v>
      </c>
      <c r="AA15" t="s">
        <v>25</v>
      </c>
      <c r="AC15" t="s">
        <v>22</v>
      </c>
      <c r="AD15" t="s">
        <v>255</v>
      </c>
      <c r="AE15">
        <v>8.2765194171414147E-3</v>
      </c>
      <c r="AG15" t="s">
        <v>99</v>
      </c>
      <c r="AH15" t="s">
        <v>255</v>
      </c>
      <c r="AI15">
        <v>0.11116120742126734</v>
      </c>
    </row>
    <row r="16" spans="1:40" x14ac:dyDescent="0.45">
      <c r="C16" t="s">
        <v>158</v>
      </c>
      <c r="E16" t="s">
        <v>1315</v>
      </c>
      <c r="G16" t="s">
        <v>155</v>
      </c>
      <c r="I16" t="s">
        <v>249</v>
      </c>
      <c r="J16" t="s">
        <v>256</v>
      </c>
      <c r="K16">
        <v>6.8186755141492004E-3</v>
      </c>
      <c r="L16" t="s">
        <v>251</v>
      </c>
      <c r="N16" t="s">
        <v>419</v>
      </c>
      <c r="O16" t="s">
        <v>256</v>
      </c>
      <c r="P16">
        <v>3.4758049043377842E-3</v>
      </c>
      <c r="Q16" t="s">
        <v>251</v>
      </c>
      <c r="S16" t="s">
        <v>420</v>
      </c>
      <c r="T16" t="s">
        <v>256</v>
      </c>
      <c r="U16">
        <v>3.6162519572219168E-3</v>
      </c>
      <c r="V16" t="s">
        <v>251</v>
      </c>
      <c r="X16">
        <v>3.5388127853881279E-3</v>
      </c>
      <c r="Y16">
        <v>6.8849497385409693E-3</v>
      </c>
      <c r="Z16" t="s">
        <v>256</v>
      </c>
      <c r="AA16" t="s">
        <v>25</v>
      </c>
      <c r="AC16" t="s">
        <v>22</v>
      </c>
      <c r="AD16" t="s">
        <v>256</v>
      </c>
      <c r="AE16">
        <v>2.6039599917713476E-3</v>
      </c>
      <c r="AG16" t="s">
        <v>99</v>
      </c>
      <c r="AH16" t="s">
        <v>256</v>
      </c>
      <c r="AI16">
        <v>9.0743392615567409E-2</v>
      </c>
    </row>
    <row r="17" spans="3:35" x14ac:dyDescent="0.45">
      <c r="C17" t="s">
        <v>169</v>
      </c>
      <c r="E17" t="s">
        <v>1316</v>
      </c>
      <c r="G17" t="s">
        <v>155</v>
      </c>
      <c r="I17" t="s">
        <v>249</v>
      </c>
      <c r="J17" t="s">
        <v>257</v>
      </c>
      <c r="K17">
        <v>4.8522002634973837E-3</v>
      </c>
      <c r="L17" t="s">
        <v>251</v>
      </c>
      <c r="N17" t="s">
        <v>419</v>
      </c>
      <c r="O17" t="s">
        <v>257</v>
      </c>
      <c r="P17">
        <v>3.7771415098806268E-3</v>
      </c>
      <c r="Q17" t="s">
        <v>251</v>
      </c>
      <c r="S17" t="s">
        <v>420</v>
      </c>
      <c r="T17" t="s">
        <v>257</v>
      </c>
      <c r="U17">
        <v>3.5228871449100416E-3</v>
      </c>
      <c r="V17" t="s">
        <v>251</v>
      </c>
      <c r="X17">
        <v>3.5388127853881279E-3</v>
      </c>
      <c r="Y17">
        <v>5.3435430806586613E-3</v>
      </c>
      <c r="Z17" t="s">
        <v>257</v>
      </c>
      <c r="AA17" t="s">
        <v>25</v>
      </c>
      <c r="AC17" t="s">
        <v>22</v>
      </c>
      <c r="AD17" t="s">
        <v>257</v>
      </c>
      <c r="AE17">
        <v>2.61882807267698E-3</v>
      </c>
      <c r="AG17" t="s">
        <v>99</v>
      </c>
      <c r="AH17" t="s">
        <v>257</v>
      </c>
      <c r="AI17">
        <v>0.1011496097588569</v>
      </c>
    </row>
    <row r="18" spans="3:35" x14ac:dyDescent="0.45">
      <c r="C18" t="s">
        <v>171</v>
      </c>
      <c r="E18" t="s">
        <v>1317</v>
      </c>
      <c r="G18" t="s">
        <v>155</v>
      </c>
      <c r="I18" t="s">
        <v>249</v>
      </c>
      <c r="J18" t="s">
        <v>258</v>
      </c>
      <c r="K18">
        <v>1.6361687235408717E-3</v>
      </c>
      <c r="L18" t="s">
        <v>251</v>
      </c>
      <c r="N18" t="s">
        <v>419</v>
      </c>
      <c r="O18" t="s">
        <v>258</v>
      </c>
      <c r="P18">
        <v>2.4660282460977644E-2</v>
      </c>
      <c r="Q18" t="s">
        <v>251</v>
      </c>
      <c r="S18" t="s">
        <v>420</v>
      </c>
      <c r="T18" t="s">
        <v>258</v>
      </c>
      <c r="U18">
        <v>1.5757336683578368E-2</v>
      </c>
      <c r="V18" t="s">
        <v>251</v>
      </c>
      <c r="X18">
        <v>1.7694063926940638E-2</v>
      </c>
      <c r="Y18">
        <v>1.3358857701646654E-2</v>
      </c>
      <c r="Z18" t="s">
        <v>258</v>
      </c>
      <c r="AA18" t="s">
        <v>25</v>
      </c>
      <c r="AC18" t="s">
        <v>22</v>
      </c>
      <c r="AD18" t="s">
        <v>258</v>
      </c>
      <c r="AE18">
        <v>1.7530475484761106E-2</v>
      </c>
      <c r="AG18" t="s">
        <v>99</v>
      </c>
      <c r="AH18" t="s">
        <v>258</v>
      </c>
      <c r="AI18">
        <v>0.18108104719035567</v>
      </c>
    </row>
    <row r="19" spans="3:35" x14ac:dyDescent="0.45">
      <c r="C19" t="s">
        <v>162</v>
      </c>
      <c r="E19" t="s">
        <v>1318</v>
      </c>
      <c r="G19" t="s">
        <v>155</v>
      </c>
      <c r="I19" t="s">
        <v>249</v>
      </c>
      <c r="J19" t="s">
        <v>259</v>
      </c>
      <c r="K19">
        <v>0</v>
      </c>
      <c r="L19" t="s">
        <v>251</v>
      </c>
      <c r="N19" t="s">
        <v>419</v>
      </c>
      <c r="O19" t="s">
        <v>259</v>
      </c>
      <c r="P19">
        <v>2.6859085503510967E-2</v>
      </c>
      <c r="Q19" t="s">
        <v>251</v>
      </c>
      <c r="S19" t="s">
        <v>420</v>
      </c>
      <c r="T19" t="s">
        <v>259</v>
      </c>
      <c r="U19">
        <v>1.5570388743208208E-2</v>
      </c>
      <c r="V19" t="s">
        <v>251</v>
      </c>
      <c r="X19">
        <v>1.9178082191780823E-2</v>
      </c>
      <c r="Y19">
        <v>4.1024621070863279E-3</v>
      </c>
      <c r="Z19" t="s">
        <v>259</v>
      </c>
      <c r="AA19" t="s">
        <v>25</v>
      </c>
      <c r="AC19" t="s">
        <v>22</v>
      </c>
      <c r="AD19" t="s">
        <v>259</v>
      </c>
      <c r="AE19">
        <v>2.161888624949352E-2</v>
      </c>
      <c r="AG19" t="s">
        <v>99</v>
      </c>
      <c r="AH19" t="s">
        <v>259</v>
      </c>
      <c r="AI19">
        <v>6.725101334592587E-2</v>
      </c>
    </row>
    <row r="20" spans="3:35" x14ac:dyDescent="0.45">
      <c r="C20" t="s">
        <v>174</v>
      </c>
      <c r="E20" t="s">
        <v>1319</v>
      </c>
      <c r="G20" t="s">
        <v>155</v>
      </c>
      <c r="I20" t="s">
        <v>249</v>
      </c>
      <c r="J20" t="s">
        <v>260</v>
      </c>
      <c r="K20">
        <v>1.339658701922193E-3</v>
      </c>
      <c r="L20" t="s">
        <v>251</v>
      </c>
      <c r="N20" t="s">
        <v>419</v>
      </c>
      <c r="O20" t="s">
        <v>260</v>
      </c>
      <c r="P20">
        <v>3.8927029331353872E-3</v>
      </c>
      <c r="Q20" t="s">
        <v>251</v>
      </c>
      <c r="S20" t="s">
        <v>420</v>
      </c>
      <c r="T20" t="s">
        <v>260</v>
      </c>
      <c r="U20">
        <v>2.5524247052464877E-3</v>
      </c>
      <c r="V20" t="s">
        <v>251</v>
      </c>
      <c r="X20">
        <v>3.1963470319634705E-3</v>
      </c>
      <c r="Y20">
        <v>4.7336101235611484E-3</v>
      </c>
      <c r="Z20" t="s">
        <v>260</v>
      </c>
      <c r="AA20" t="s">
        <v>25</v>
      </c>
      <c r="AC20" t="s">
        <v>22</v>
      </c>
      <c r="AD20" t="s">
        <v>260</v>
      </c>
      <c r="AE20">
        <v>3.6358344534236685E-3</v>
      </c>
      <c r="AG20" t="s">
        <v>99</v>
      </c>
      <c r="AH20" t="s">
        <v>260</v>
      </c>
      <c r="AI20">
        <v>6.2737773474196734E-2</v>
      </c>
    </row>
    <row r="21" spans="3:35" x14ac:dyDescent="0.45">
      <c r="C21" t="s">
        <v>176</v>
      </c>
      <c r="E21" t="s">
        <v>1320</v>
      </c>
      <c r="G21" t="s">
        <v>155</v>
      </c>
      <c r="I21" t="s">
        <v>249</v>
      </c>
      <c r="J21" t="s">
        <v>261</v>
      </c>
      <c r="K21">
        <v>4.4976164179348485E-3</v>
      </c>
      <c r="L21" t="s">
        <v>251</v>
      </c>
      <c r="N21" t="s">
        <v>419</v>
      </c>
      <c r="O21" t="s">
        <v>261</v>
      </c>
      <c r="P21">
        <v>3.4166545041474372E-3</v>
      </c>
      <c r="Q21" t="s">
        <v>251</v>
      </c>
      <c r="S21" t="s">
        <v>420</v>
      </c>
      <c r="T21" t="s">
        <v>261</v>
      </c>
      <c r="U21">
        <v>2.5094079632623409E-3</v>
      </c>
      <c r="V21" t="s">
        <v>251</v>
      </c>
      <c r="X21">
        <v>3.1963470319634705E-3</v>
      </c>
      <c r="Y21">
        <v>5.3369133746032542E-3</v>
      </c>
      <c r="Z21" t="s">
        <v>261</v>
      </c>
      <c r="AA21" t="s">
        <v>25</v>
      </c>
      <c r="AC21" t="s">
        <v>22</v>
      </c>
      <c r="AD21" t="s">
        <v>261</v>
      </c>
      <c r="AE21">
        <v>3.6344703546546822E-3</v>
      </c>
      <c r="AG21" t="s">
        <v>99</v>
      </c>
      <c r="AH21" t="s">
        <v>261</v>
      </c>
      <c r="AI21">
        <v>5.5388514883157214E-2</v>
      </c>
    </row>
    <row r="22" spans="3:35" x14ac:dyDescent="0.45">
      <c r="C22" t="s">
        <v>178</v>
      </c>
      <c r="E22" t="s">
        <v>1321</v>
      </c>
      <c r="G22" t="s">
        <v>155</v>
      </c>
      <c r="I22" t="s">
        <v>249</v>
      </c>
      <c r="J22" t="s">
        <v>262</v>
      </c>
      <c r="K22">
        <v>4.7312849365851707E-2</v>
      </c>
      <c r="L22" t="s">
        <v>251</v>
      </c>
      <c r="N22" t="s">
        <v>419</v>
      </c>
      <c r="O22" t="s">
        <v>262</v>
      </c>
      <c r="P22">
        <v>1.5332261546275745E-2</v>
      </c>
      <c r="Q22" t="s">
        <v>251</v>
      </c>
      <c r="S22" t="s">
        <v>420</v>
      </c>
      <c r="T22" t="s">
        <v>262</v>
      </c>
      <c r="U22">
        <v>1.5549107374137295E-2</v>
      </c>
      <c r="V22" t="s">
        <v>251</v>
      </c>
      <c r="X22">
        <v>1.9178082191780823E-2</v>
      </c>
      <c r="Y22">
        <v>2.4169256395594564E-2</v>
      </c>
      <c r="Z22" t="s">
        <v>262</v>
      </c>
      <c r="AA22" t="s">
        <v>25</v>
      </c>
      <c r="AC22" t="s">
        <v>22</v>
      </c>
      <c r="AD22" t="s">
        <v>262</v>
      </c>
      <c r="AE22">
        <v>2.0108209408854633E-2</v>
      </c>
      <c r="AG22" t="s">
        <v>99</v>
      </c>
      <c r="AH22" t="s">
        <v>262</v>
      </c>
      <c r="AI22">
        <v>0.11604443548905641</v>
      </c>
    </row>
    <row r="23" spans="3:35" x14ac:dyDescent="0.45">
      <c r="E23" t="s">
        <v>1322</v>
      </c>
      <c r="G23" t="s">
        <v>155</v>
      </c>
      <c r="I23" t="s">
        <v>249</v>
      </c>
      <c r="J23" t="s">
        <v>263</v>
      </c>
      <c r="K23">
        <v>2.1487248563208199E-2</v>
      </c>
      <c r="L23" t="s">
        <v>251</v>
      </c>
      <c r="N23" t="s">
        <v>419</v>
      </c>
      <c r="O23" t="s">
        <v>263</v>
      </c>
      <c r="P23">
        <v>6.9159360614657866E-3</v>
      </c>
      <c r="Q23" t="s">
        <v>251</v>
      </c>
      <c r="S23" t="s">
        <v>420</v>
      </c>
      <c r="T23" t="s">
        <v>263</v>
      </c>
      <c r="U23">
        <v>8.3281989093384225E-3</v>
      </c>
      <c r="V23" t="s">
        <v>251</v>
      </c>
      <c r="X23">
        <v>9.5890410958904115E-3</v>
      </c>
      <c r="Y23">
        <v>1.5258931457126519E-2</v>
      </c>
      <c r="Z23" t="s">
        <v>263</v>
      </c>
      <c r="AA23" t="s">
        <v>25</v>
      </c>
      <c r="AC23" t="s">
        <v>22</v>
      </c>
      <c r="AD23" t="s">
        <v>263</v>
      </c>
      <c r="AE23">
        <v>7.3804323982535015E-3</v>
      </c>
      <c r="AG23" t="s">
        <v>99</v>
      </c>
      <c r="AH23" t="s">
        <v>263</v>
      </c>
      <c r="AI23">
        <v>0.11196228135959285</v>
      </c>
    </row>
    <row r="24" spans="3:35" x14ac:dyDescent="0.45">
      <c r="E24" t="s">
        <v>1323</v>
      </c>
      <c r="G24" t="s">
        <v>155</v>
      </c>
      <c r="I24" t="s">
        <v>249</v>
      </c>
      <c r="J24" t="s">
        <v>264</v>
      </c>
      <c r="K24">
        <v>5.3228780119697807E-3</v>
      </c>
      <c r="L24" t="s">
        <v>251</v>
      </c>
      <c r="N24" t="s">
        <v>419</v>
      </c>
      <c r="O24" t="s">
        <v>264</v>
      </c>
      <c r="P24">
        <v>2.8972208796751299E-3</v>
      </c>
      <c r="Q24" t="s">
        <v>251</v>
      </c>
      <c r="S24" t="s">
        <v>420</v>
      </c>
      <c r="T24" t="s">
        <v>264</v>
      </c>
      <c r="U24">
        <v>2.8530080087175195E-3</v>
      </c>
      <c r="V24" t="s">
        <v>251</v>
      </c>
      <c r="X24">
        <v>3.1963470319634705E-3</v>
      </c>
      <c r="Y24">
        <v>6.2186642799724884E-3</v>
      </c>
      <c r="Z24" t="s">
        <v>264</v>
      </c>
      <c r="AA24" t="s">
        <v>25</v>
      </c>
      <c r="AC24" t="s">
        <v>22</v>
      </c>
      <c r="AD24" t="s">
        <v>264</v>
      </c>
      <c r="AE24">
        <v>2.3245185630050126E-3</v>
      </c>
      <c r="AG24" t="s">
        <v>99</v>
      </c>
      <c r="AH24" t="s">
        <v>264</v>
      </c>
      <c r="AI24">
        <v>6.2711363706509315E-2</v>
      </c>
    </row>
    <row r="25" spans="3:35" x14ac:dyDescent="0.45">
      <c r="E25" t="s">
        <v>1324</v>
      </c>
      <c r="G25" t="s">
        <v>155</v>
      </c>
      <c r="I25" t="s">
        <v>249</v>
      </c>
      <c r="J25" t="s">
        <v>265</v>
      </c>
      <c r="K25">
        <v>3.6504304492904721E-3</v>
      </c>
      <c r="L25" t="s">
        <v>251</v>
      </c>
      <c r="N25" t="s">
        <v>419</v>
      </c>
      <c r="O25" t="s">
        <v>265</v>
      </c>
      <c r="P25">
        <v>3.1606032717252232E-3</v>
      </c>
      <c r="Q25" t="s">
        <v>251</v>
      </c>
      <c r="S25" t="s">
        <v>420</v>
      </c>
      <c r="T25" t="s">
        <v>265</v>
      </c>
      <c r="U25">
        <v>2.841370638053637E-3</v>
      </c>
      <c r="V25" t="s">
        <v>251</v>
      </c>
      <c r="X25">
        <v>3.1963470319634705E-3</v>
      </c>
      <c r="Y25">
        <v>4.8264260083368555E-3</v>
      </c>
      <c r="Z25" t="s">
        <v>265</v>
      </c>
      <c r="AA25" t="s">
        <v>25</v>
      </c>
      <c r="AC25" t="s">
        <v>22</v>
      </c>
      <c r="AD25" t="s">
        <v>265</v>
      </c>
      <c r="AE25">
        <v>2.3297486010799904E-3</v>
      </c>
      <c r="AG25" t="s">
        <v>99</v>
      </c>
      <c r="AH25" t="s">
        <v>265</v>
      </c>
      <c r="AI25">
        <v>5.8752555846999899E-2</v>
      </c>
    </row>
    <row r="26" spans="3:35" x14ac:dyDescent="0.45">
      <c r="E26" t="s">
        <v>1325</v>
      </c>
      <c r="G26" t="s">
        <v>155</v>
      </c>
      <c r="I26" t="s">
        <v>249</v>
      </c>
      <c r="J26" t="s">
        <v>266</v>
      </c>
      <c r="K26">
        <v>1.0742479766925439E-3</v>
      </c>
      <c r="L26" t="s">
        <v>251</v>
      </c>
      <c r="N26" t="s">
        <v>419</v>
      </c>
      <c r="O26" t="s">
        <v>266</v>
      </c>
      <c r="P26">
        <v>2.1056926725522049E-2</v>
      </c>
      <c r="Q26" t="s">
        <v>251</v>
      </c>
      <c r="S26" t="s">
        <v>420</v>
      </c>
      <c r="T26" t="s">
        <v>266</v>
      </c>
      <c r="U26">
        <v>1.3771904585956271E-2</v>
      </c>
      <c r="V26" t="s">
        <v>251</v>
      </c>
      <c r="X26">
        <v>1.5981735159817351E-2</v>
      </c>
      <c r="Y26">
        <v>1.2066065020842141E-2</v>
      </c>
      <c r="Z26" t="s">
        <v>266</v>
      </c>
      <c r="AA26" t="s">
        <v>25</v>
      </c>
      <c r="AC26" t="s">
        <v>22</v>
      </c>
      <c r="AD26" t="s">
        <v>266</v>
      </c>
      <c r="AE26">
        <v>1.5517970444668863E-2</v>
      </c>
      <c r="AG26" t="s">
        <v>99</v>
      </c>
      <c r="AH26" t="s">
        <v>266</v>
      </c>
      <c r="AI26">
        <v>0.15352800830975277</v>
      </c>
    </row>
    <row r="27" spans="3:35" x14ac:dyDescent="0.45">
      <c r="E27" t="s">
        <v>1326</v>
      </c>
      <c r="G27" t="s">
        <v>155</v>
      </c>
      <c r="I27" t="s">
        <v>249</v>
      </c>
      <c r="J27" t="s">
        <v>267</v>
      </c>
      <c r="K27">
        <v>0</v>
      </c>
      <c r="L27" t="s">
        <v>251</v>
      </c>
      <c r="N27" t="s">
        <v>419</v>
      </c>
      <c r="O27" t="s">
        <v>267</v>
      </c>
      <c r="P27">
        <v>2.8256257914633733E-2</v>
      </c>
      <c r="Q27" t="s">
        <v>251</v>
      </c>
      <c r="S27" t="s">
        <v>420</v>
      </c>
      <c r="T27" t="s">
        <v>267</v>
      </c>
      <c r="U27">
        <v>1.9682460027021023E-2</v>
      </c>
      <c r="V27" t="s">
        <v>251</v>
      </c>
      <c r="X27">
        <v>2.1232876712328767E-2</v>
      </c>
      <c r="Y27">
        <v>4.5420116185598634E-3</v>
      </c>
      <c r="Z27" t="s">
        <v>267</v>
      </c>
      <c r="AA27" t="s">
        <v>25</v>
      </c>
      <c r="AC27" t="s">
        <v>22</v>
      </c>
      <c r="AD27" t="s">
        <v>267</v>
      </c>
      <c r="AE27">
        <v>2.3711587136367566E-2</v>
      </c>
      <c r="AG27" t="s">
        <v>99</v>
      </c>
      <c r="AH27" t="s">
        <v>267</v>
      </c>
      <c r="AI27">
        <v>0.11638577900886826</v>
      </c>
    </row>
    <row r="28" spans="3:35" x14ac:dyDescent="0.45">
      <c r="E28" t="s">
        <v>1327</v>
      </c>
      <c r="G28" t="s">
        <v>155</v>
      </c>
      <c r="I28" t="s">
        <v>249</v>
      </c>
      <c r="J28" t="s">
        <v>268</v>
      </c>
      <c r="K28">
        <v>3.8870564019590214E-4</v>
      </c>
      <c r="L28" t="s">
        <v>251</v>
      </c>
      <c r="N28" t="s">
        <v>419</v>
      </c>
      <c r="O28" t="s">
        <v>268</v>
      </c>
      <c r="P28">
        <v>4.3642596673502199E-3</v>
      </c>
      <c r="Q28" t="s">
        <v>251</v>
      </c>
      <c r="S28" t="s">
        <v>420</v>
      </c>
      <c r="T28" t="s">
        <v>268</v>
      </c>
      <c r="U28">
        <v>3.2677551220692386E-3</v>
      </c>
      <c r="V28" t="s">
        <v>251</v>
      </c>
      <c r="X28">
        <v>3.5388127853881279E-3</v>
      </c>
      <c r="Y28">
        <v>5.240782636799844E-3</v>
      </c>
      <c r="Z28" t="s">
        <v>268</v>
      </c>
      <c r="AA28" t="s">
        <v>25</v>
      </c>
      <c r="AC28" t="s">
        <v>22</v>
      </c>
      <c r="AD28" t="s">
        <v>268</v>
      </c>
      <c r="AE28">
        <v>3.9961661127941236E-3</v>
      </c>
      <c r="AG28" t="s">
        <v>99</v>
      </c>
      <c r="AH28" t="s">
        <v>268</v>
      </c>
      <c r="AI28">
        <v>9.82212681904302E-2</v>
      </c>
    </row>
    <row r="29" spans="3:35" x14ac:dyDescent="0.45">
      <c r="E29" t="s">
        <v>1328</v>
      </c>
      <c r="G29" t="s">
        <v>155</v>
      </c>
      <c r="I29" t="s">
        <v>249</v>
      </c>
      <c r="J29" t="s">
        <v>269</v>
      </c>
      <c r="K29">
        <v>4.9796343443622004E-3</v>
      </c>
      <c r="L29" t="s">
        <v>251</v>
      </c>
      <c r="N29" t="s">
        <v>419</v>
      </c>
      <c r="O29" t="s">
        <v>269</v>
      </c>
      <c r="P29">
        <v>3.9802360242095422E-3</v>
      </c>
      <c r="Q29" t="s">
        <v>251</v>
      </c>
      <c r="S29" t="s">
        <v>420</v>
      </c>
      <c r="T29" t="s">
        <v>269</v>
      </c>
      <c r="U29">
        <v>3.2577080412417832E-3</v>
      </c>
      <c r="V29" t="s">
        <v>251</v>
      </c>
      <c r="X29">
        <v>3.5388127853881279E-3</v>
      </c>
      <c r="Y29">
        <v>5.9087255218821738E-3</v>
      </c>
      <c r="Z29" t="s">
        <v>269</v>
      </c>
      <c r="AA29" t="s">
        <v>25</v>
      </c>
      <c r="AC29" t="s">
        <v>22</v>
      </c>
      <c r="AD29" t="s">
        <v>269</v>
      </c>
      <c r="AE29">
        <v>3.9885176288667074E-3</v>
      </c>
      <c r="AG29" t="s">
        <v>99</v>
      </c>
      <c r="AH29" t="s">
        <v>269</v>
      </c>
      <c r="AI29">
        <v>6.8143564656164113E-2</v>
      </c>
    </row>
    <row r="30" spans="3:35" x14ac:dyDescent="0.45">
      <c r="E30" t="s">
        <v>1329</v>
      </c>
      <c r="G30" t="s">
        <v>155</v>
      </c>
      <c r="I30" t="s">
        <v>249</v>
      </c>
      <c r="J30" t="s">
        <v>270</v>
      </c>
      <c r="K30">
        <v>5.1897645322585798E-2</v>
      </c>
      <c r="L30" t="s">
        <v>251</v>
      </c>
      <c r="N30" t="s">
        <v>419</v>
      </c>
      <c r="O30" t="s">
        <v>270</v>
      </c>
      <c r="P30">
        <v>1.8503689500717891E-2</v>
      </c>
      <c r="Q30" t="s">
        <v>251</v>
      </c>
      <c r="S30" t="s">
        <v>420</v>
      </c>
      <c r="T30" t="s">
        <v>270</v>
      </c>
      <c r="U30">
        <v>1.9330486528263999E-2</v>
      </c>
      <c r="V30" t="s">
        <v>251</v>
      </c>
      <c r="X30">
        <v>2.1232876712328767E-2</v>
      </c>
      <c r="Y30">
        <v>2.6758819580836844E-2</v>
      </c>
      <c r="Z30" t="s">
        <v>270</v>
      </c>
      <c r="AA30" t="s">
        <v>25</v>
      </c>
      <c r="AC30" t="s">
        <v>22</v>
      </c>
      <c r="AD30" t="s">
        <v>270</v>
      </c>
      <c r="AE30">
        <v>2.2135749263266054E-2</v>
      </c>
      <c r="AG30" t="s">
        <v>99</v>
      </c>
      <c r="AH30" t="s">
        <v>270</v>
      </c>
      <c r="AI30">
        <v>0.13173562310592568</v>
      </c>
    </row>
    <row r="31" spans="3:35" x14ac:dyDescent="0.45">
      <c r="E31" t="s">
        <v>1330</v>
      </c>
      <c r="G31" t="s">
        <v>155</v>
      </c>
      <c r="I31" t="s">
        <v>249</v>
      </c>
      <c r="J31" t="s">
        <v>271</v>
      </c>
      <c r="K31">
        <v>2.3890633137586399E-2</v>
      </c>
      <c r="L31" t="s">
        <v>251</v>
      </c>
      <c r="N31" t="s">
        <v>419</v>
      </c>
      <c r="O31" t="s">
        <v>271</v>
      </c>
      <c r="P31">
        <v>8.4908130991335727E-3</v>
      </c>
      <c r="Q31" t="s">
        <v>251</v>
      </c>
      <c r="S31" t="s">
        <v>420</v>
      </c>
      <c r="T31" t="s">
        <v>271</v>
      </c>
      <c r="U31">
        <v>9.3069590820403277E-3</v>
      </c>
      <c r="V31" t="s">
        <v>251</v>
      </c>
      <c r="X31">
        <v>1.0616438356164383E-2</v>
      </c>
      <c r="Y31">
        <v>1.6893816970390073E-2</v>
      </c>
      <c r="Z31" t="s">
        <v>271</v>
      </c>
      <c r="AA31" t="s">
        <v>25</v>
      </c>
      <c r="AC31" t="s">
        <v>22</v>
      </c>
      <c r="AD31" t="s">
        <v>271</v>
      </c>
      <c r="AE31">
        <v>8.0994765750551992E-3</v>
      </c>
      <c r="AG31" t="s">
        <v>99</v>
      </c>
      <c r="AH31" t="s">
        <v>271</v>
      </c>
      <c r="AI31">
        <v>8.4242662862822781E-2</v>
      </c>
    </row>
    <row r="32" spans="3:35" x14ac:dyDescent="0.45">
      <c r="E32" t="s">
        <v>1331</v>
      </c>
      <c r="G32" t="s">
        <v>155</v>
      </c>
      <c r="I32" t="s">
        <v>249</v>
      </c>
      <c r="J32" t="s">
        <v>272</v>
      </c>
      <c r="K32">
        <v>6.1164188379895998E-3</v>
      </c>
      <c r="L32" t="s">
        <v>251</v>
      </c>
      <c r="N32" t="s">
        <v>419</v>
      </c>
      <c r="O32" t="s">
        <v>272</v>
      </c>
      <c r="P32">
        <v>3.2255779984932246E-3</v>
      </c>
      <c r="Q32" t="s">
        <v>251</v>
      </c>
      <c r="S32" t="s">
        <v>420</v>
      </c>
      <c r="T32" t="s">
        <v>272</v>
      </c>
      <c r="U32">
        <v>3.1185031283167E-3</v>
      </c>
      <c r="V32" t="s">
        <v>251</v>
      </c>
      <c r="X32">
        <v>3.5388127853881279E-3</v>
      </c>
      <c r="Y32">
        <v>6.8849497385409693E-3</v>
      </c>
      <c r="Z32" t="s">
        <v>272</v>
      </c>
      <c r="AA32" t="s">
        <v>25</v>
      </c>
      <c r="AC32" t="s">
        <v>22</v>
      </c>
      <c r="AD32" t="s">
        <v>272</v>
      </c>
      <c r="AE32">
        <v>2.5503286394059593E-3</v>
      </c>
      <c r="AG32" t="s">
        <v>99</v>
      </c>
      <c r="AH32" t="s">
        <v>272</v>
      </c>
      <c r="AI32">
        <v>5.8054213283028178E-2</v>
      </c>
    </row>
    <row r="33" spans="5:35" x14ac:dyDescent="0.45">
      <c r="E33" t="s">
        <v>1332</v>
      </c>
      <c r="G33" t="s">
        <v>155</v>
      </c>
      <c r="I33" t="s">
        <v>249</v>
      </c>
      <c r="J33" t="s">
        <v>273</v>
      </c>
      <c r="K33">
        <v>3.7733047864497546E-3</v>
      </c>
      <c r="L33" t="s">
        <v>251</v>
      </c>
      <c r="N33" t="s">
        <v>419</v>
      </c>
      <c r="O33" t="s">
        <v>273</v>
      </c>
      <c r="P33">
        <v>3.419858473822849E-3</v>
      </c>
      <c r="Q33" t="s">
        <v>251</v>
      </c>
      <c r="S33" t="s">
        <v>420</v>
      </c>
      <c r="T33" t="s">
        <v>273</v>
      </c>
      <c r="U33">
        <v>3.1769901080109329E-3</v>
      </c>
      <c r="V33" t="s">
        <v>251</v>
      </c>
      <c r="X33">
        <v>3.5388127853881279E-3</v>
      </c>
      <c r="Y33">
        <v>5.3435430806586613E-3</v>
      </c>
      <c r="Z33" t="s">
        <v>273</v>
      </c>
      <c r="AA33" t="s">
        <v>25</v>
      </c>
      <c r="AC33" t="s">
        <v>22</v>
      </c>
      <c r="AD33" t="s">
        <v>273</v>
      </c>
      <c r="AE33">
        <v>2.5599130713679637E-3</v>
      </c>
      <c r="AG33" t="s">
        <v>99</v>
      </c>
      <c r="AH33" t="s">
        <v>273</v>
      </c>
      <c r="AI33">
        <v>4.435631490733738E-2</v>
      </c>
    </row>
    <row r="34" spans="5:35" x14ac:dyDescent="0.45">
      <c r="E34" t="s">
        <v>1333</v>
      </c>
      <c r="G34" t="s">
        <v>155</v>
      </c>
      <c r="I34" t="s">
        <v>249</v>
      </c>
      <c r="J34" t="s">
        <v>274</v>
      </c>
      <c r="K34">
        <v>5.3177883933484631E-5</v>
      </c>
      <c r="L34" t="s">
        <v>251</v>
      </c>
      <c r="N34" t="s">
        <v>419</v>
      </c>
      <c r="O34" t="s">
        <v>274</v>
      </c>
      <c r="P34">
        <v>2.3181079674091134E-2</v>
      </c>
      <c r="Q34" t="s">
        <v>251</v>
      </c>
      <c r="S34" t="s">
        <v>420</v>
      </c>
      <c r="T34" t="s">
        <v>274</v>
      </c>
      <c r="U34">
        <v>1.613114842353618E-2</v>
      </c>
      <c r="V34" t="s">
        <v>251</v>
      </c>
      <c r="X34">
        <v>1.7694063926940638E-2</v>
      </c>
      <c r="Y34">
        <v>1.3358857701646654E-2</v>
      </c>
      <c r="Z34" t="s">
        <v>274</v>
      </c>
      <c r="AA34" t="s">
        <v>25</v>
      </c>
      <c r="AC34" t="s">
        <v>22</v>
      </c>
      <c r="AD34" t="s">
        <v>274</v>
      </c>
      <c r="AE34">
        <v>1.7047916945675982E-2</v>
      </c>
      <c r="AG34" t="s">
        <v>99</v>
      </c>
      <c r="AH34" t="s">
        <v>274</v>
      </c>
      <c r="AI34">
        <v>0.15879766383465954</v>
      </c>
    </row>
    <row r="35" spans="5:35" x14ac:dyDescent="0.45">
      <c r="E35" t="s">
        <v>1334</v>
      </c>
      <c r="G35" t="s">
        <v>155</v>
      </c>
      <c r="I35" t="s">
        <v>249</v>
      </c>
      <c r="J35" t="s">
        <v>275</v>
      </c>
      <c r="K35">
        <v>0</v>
      </c>
      <c r="L35" t="s">
        <v>251</v>
      </c>
      <c r="N35" t="s">
        <v>419</v>
      </c>
      <c r="O35" t="s">
        <v>275</v>
      </c>
      <c r="P35">
        <v>2.0389424056945722E-2</v>
      </c>
      <c r="Q35" t="s">
        <v>251</v>
      </c>
      <c r="S35" t="s">
        <v>420</v>
      </c>
      <c r="T35" t="s">
        <v>275</v>
      </c>
      <c r="U35">
        <v>1.9415336490079316E-2</v>
      </c>
      <c r="V35" t="s">
        <v>251</v>
      </c>
      <c r="X35">
        <v>2.0547945205479451E-2</v>
      </c>
      <c r="Y35">
        <v>4.3954951147353507E-3</v>
      </c>
      <c r="Z35" t="s">
        <v>275</v>
      </c>
      <c r="AA35" t="s">
        <v>25</v>
      </c>
      <c r="AC35" t="s">
        <v>22</v>
      </c>
      <c r="AD35" t="s">
        <v>275</v>
      </c>
      <c r="AE35">
        <v>2.2301014114127767E-2</v>
      </c>
      <c r="AG35" t="s">
        <v>99</v>
      </c>
      <c r="AH35" t="s">
        <v>275</v>
      </c>
      <c r="AI35">
        <v>4.9626454518111318E-2</v>
      </c>
    </row>
    <row r="36" spans="5:35" x14ac:dyDescent="0.45">
      <c r="E36" t="s">
        <v>1335</v>
      </c>
      <c r="G36" t="s">
        <v>155</v>
      </c>
      <c r="I36" t="s">
        <v>249</v>
      </c>
      <c r="J36" t="s">
        <v>276</v>
      </c>
      <c r="K36">
        <v>2.0517109116268366E-6</v>
      </c>
      <c r="L36" t="s">
        <v>251</v>
      </c>
      <c r="N36" t="s">
        <v>419</v>
      </c>
      <c r="O36" t="s">
        <v>276</v>
      </c>
      <c r="P36">
        <v>3.1607267371689613E-3</v>
      </c>
      <c r="Q36" t="s">
        <v>251</v>
      </c>
      <c r="S36" t="s">
        <v>420</v>
      </c>
      <c r="T36" t="s">
        <v>276</v>
      </c>
      <c r="U36">
        <v>3.2289324244967454E-3</v>
      </c>
      <c r="V36" t="s">
        <v>251</v>
      </c>
      <c r="X36">
        <v>3.4246575342465752E-3</v>
      </c>
      <c r="Y36">
        <v>5.0717251323869452E-3</v>
      </c>
      <c r="Z36" t="s">
        <v>276</v>
      </c>
      <c r="AA36" t="s">
        <v>25</v>
      </c>
      <c r="AC36" t="s">
        <v>22</v>
      </c>
      <c r="AD36" t="s">
        <v>276</v>
      </c>
      <c r="AE36">
        <v>3.73658632681621E-3</v>
      </c>
      <c r="AG36" t="s">
        <v>99</v>
      </c>
      <c r="AH36" t="s">
        <v>276</v>
      </c>
      <c r="AI36">
        <v>4.0869223385679998E-2</v>
      </c>
    </row>
    <row r="37" spans="5:35" x14ac:dyDescent="0.45">
      <c r="E37" t="s">
        <v>1336</v>
      </c>
      <c r="G37" t="s">
        <v>155</v>
      </c>
      <c r="I37" t="s">
        <v>249</v>
      </c>
      <c r="J37" t="s">
        <v>277</v>
      </c>
      <c r="K37">
        <v>4.2034545150900051E-3</v>
      </c>
      <c r="L37" t="s">
        <v>251</v>
      </c>
      <c r="N37" t="s">
        <v>419</v>
      </c>
      <c r="O37" t="s">
        <v>277</v>
      </c>
      <c r="P37">
        <v>2.976389370092905E-3</v>
      </c>
      <c r="Q37" t="s">
        <v>251</v>
      </c>
      <c r="S37" t="s">
        <v>420</v>
      </c>
      <c r="T37" t="s">
        <v>277</v>
      </c>
      <c r="U37">
        <v>3.1787996386982288E-3</v>
      </c>
      <c r="V37" t="s">
        <v>251</v>
      </c>
      <c r="X37">
        <v>3.4246575342465752E-3</v>
      </c>
      <c r="Y37">
        <v>5.7181214727892006E-3</v>
      </c>
      <c r="Z37" t="s">
        <v>277</v>
      </c>
      <c r="AA37" t="s">
        <v>25</v>
      </c>
      <c r="AC37" t="s">
        <v>22</v>
      </c>
      <c r="AD37" t="s">
        <v>277</v>
      </c>
      <c r="AE37">
        <v>3.764362713540153E-3</v>
      </c>
      <c r="AG37" t="s">
        <v>99</v>
      </c>
      <c r="AH37" t="s">
        <v>277</v>
      </c>
      <c r="AI37">
        <v>3.5724129158097861E-2</v>
      </c>
    </row>
    <row r="38" spans="5:35" x14ac:dyDescent="0.45">
      <c r="E38" t="s">
        <v>1337</v>
      </c>
      <c r="G38" t="s">
        <v>155</v>
      </c>
      <c r="I38" t="s">
        <v>249</v>
      </c>
      <c r="J38" t="s">
        <v>278</v>
      </c>
      <c r="K38">
        <v>4.4356241580810703E-2</v>
      </c>
      <c r="L38" t="s">
        <v>251</v>
      </c>
      <c r="N38" t="s">
        <v>419</v>
      </c>
      <c r="O38" t="s">
        <v>278</v>
      </c>
      <c r="P38">
        <v>1.0653333459856721E-2</v>
      </c>
      <c r="Q38" t="s">
        <v>251</v>
      </c>
      <c r="S38" t="s">
        <v>420</v>
      </c>
      <c r="T38" t="s">
        <v>278</v>
      </c>
      <c r="U38">
        <v>1.8406815010020155E-2</v>
      </c>
      <c r="V38" t="s">
        <v>251</v>
      </c>
      <c r="X38">
        <v>2.0547945205479451E-2</v>
      </c>
      <c r="Y38">
        <v>2.5895631852422749E-2</v>
      </c>
      <c r="Z38" t="s">
        <v>278</v>
      </c>
      <c r="AA38" t="s">
        <v>25</v>
      </c>
      <c r="AC38" t="s">
        <v>22</v>
      </c>
      <c r="AD38" t="s">
        <v>278</v>
      </c>
      <c r="AE38">
        <v>2.1776342412938632E-2</v>
      </c>
      <c r="AG38" t="s">
        <v>99</v>
      </c>
      <c r="AH38" t="s">
        <v>278</v>
      </c>
      <c r="AI38">
        <v>6.7959091165817664E-2</v>
      </c>
    </row>
    <row r="39" spans="5:35" x14ac:dyDescent="0.45">
      <c r="E39" t="s">
        <v>1338</v>
      </c>
      <c r="G39" t="s">
        <v>155</v>
      </c>
      <c r="I39" t="s">
        <v>249</v>
      </c>
      <c r="J39" t="s">
        <v>279</v>
      </c>
      <c r="K39">
        <v>2.00173866079956E-2</v>
      </c>
      <c r="L39" t="s">
        <v>251</v>
      </c>
      <c r="N39" t="s">
        <v>419</v>
      </c>
      <c r="O39" t="s">
        <v>279</v>
      </c>
      <c r="P39">
        <v>4.6384492328032031E-3</v>
      </c>
      <c r="Q39" t="s">
        <v>251</v>
      </c>
      <c r="S39" t="s">
        <v>420</v>
      </c>
      <c r="T39" t="s">
        <v>279</v>
      </c>
      <c r="U39">
        <v>9.3006190060524845E-3</v>
      </c>
      <c r="V39" t="s">
        <v>251</v>
      </c>
      <c r="X39">
        <v>1.0273972602739725E-2</v>
      </c>
      <c r="Y39">
        <v>1.6348855132635558E-2</v>
      </c>
      <c r="Z39" t="s">
        <v>279</v>
      </c>
      <c r="AA39" t="s">
        <v>25</v>
      </c>
      <c r="AC39" t="s">
        <v>22</v>
      </c>
      <c r="AD39" t="s">
        <v>279</v>
      </c>
      <c r="AE39">
        <v>8.0391169002698298E-3</v>
      </c>
      <c r="AG39" t="s">
        <v>99</v>
      </c>
      <c r="AH39" t="s">
        <v>279</v>
      </c>
      <c r="AI39">
        <v>0.10474634976168629</v>
      </c>
    </row>
    <row r="40" spans="5:35" x14ac:dyDescent="0.45">
      <c r="E40" t="s">
        <v>1339</v>
      </c>
      <c r="G40" t="s">
        <v>155</v>
      </c>
      <c r="I40" t="s">
        <v>249</v>
      </c>
      <c r="J40" t="s">
        <v>280</v>
      </c>
      <c r="K40">
        <v>4.9464738077248001E-3</v>
      </c>
      <c r="L40" t="s">
        <v>251</v>
      </c>
      <c r="N40" t="s">
        <v>419</v>
      </c>
      <c r="O40" t="s">
        <v>280</v>
      </c>
      <c r="P40">
        <v>1.7672870015609293E-3</v>
      </c>
      <c r="Q40" t="s">
        <v>251</v>
      </c>
      <c r="S40" t="s">
        <v>420</v>
      </c>
      <c r="T40" t="s">
        <v>280</v>
      </c>
      <c r="U40">
        <v>3.1644740752954916E-3</v>
      </c>
      <c r="V40" t="s">
        <v>251</v>
      </c>
      <c r="X40">
        <v>3.4246575342465752E-3</v>
      </c>
      <c r="Y40">
        <v>6.662854585684809E-3</v>
      </c>
      <c r="Z40" t="s">
        <v>280</v>
      </c>
      <c r="AA40" t="s">
        <v>25</v>
      </c>
      <c r="AC40" t="s">
        <v>22</v>
      </c>
      <c r="AD40" t="s">
        <v>280</v>
      </c>
      <c r="AE40">
        <v>2.3604012853309128E-3</v>
      </c>
      <c r="AG40" t="s">
        <v>99</v>
      </c>
      <c r="AH40" t="s">
        <v>280</v>
      </c>
      <c r="AI40">
        <v>1.3512367730849295E-2</v>
      </c>
    </row>
    <row r="41" spans="5:35" x14ac:dyDescent="0.45">
      <c r="E41" t="s">
        <v>1340</v>
      </c>
      <c r="G41" t="s">
        <v>155</v>
      </c>
      <c r="I41" t="s">
        <v>249</v>
      </c>
      <c r="J41" t="s">
        <v>281</v>
      </c>
      <c r="K41">
        <v>2.0025868097443083E-3</v>
      </c>
      <c r="L41" t="s">
        <v>251</v>
      </c>
      <c r="N41" t="s">
        <v>419</v>
      </c>
      <c r="O41" t="s">
        <v>281</v>
      </c>
      <c r="P41">
        <v>2.0148571403143531E-3</v>
      </c>
      <c r="Q41" t="s">
        <v>251</v>
      </c>
      <c r="S41" t="s">
        <v>420</v>
      </c>
      <c r="T41" t="s">
        <v>281</v>
      </c>
      <c r="U41">
        <v>3.1611429117214063E-3</v>
      </c>
      <c r="V41" t="s">
        <v>251</v>
      </c>
      <c r="X41">
        <v>3.4246575342465752E-3</v>
      </c>
      <c r="Y41">
        <v>5.1711707232180593E-3</v>
      </c>
      <c r="Z41" t="s">
        <v>281</v>
      </c>
      <c r="AA41" t="s">
        <v>25</v>
      </c>
      <c r="AC41" t="s">
        <v>22</v>
      </c>
      <c r="AD41" t="s">
        <v>281</v>
      </c>
      <c r="AE41">
        <v>2.3763594538990973E-3</v>
      </c>
      <c r="AG41" t="s">
        <v>99</v>
      </c>
      <c r="AH41" t="s">
        <v>281</v>
      </c>
      <c r="AI41">
        <v>1.7165333712501507E-2</v>
      </c>
    </row>
    <row r="42" spans="5:35" x14ac:dyDescent="0.45">
      <c r="E42" t="s">
        <v>1341</v>
      </c>
      <c r="G42" t="s">
        <v>155</v>
      </c>
      <c r="I42" t="s">
        <v>249</v>
      </c>
      <c r="J42" t="s">
        <v>282</v>
      </c>
      <c r="K42">
        <v>0</v>
      </c>
      <c r="L42" t="s">
        <v>251</v>
      </c>
      <c r="N42" t="s">
        <v>419</v>
      </c>
      <c r="O42" t="s">
        <v>282</v>
      </c>
      <c r="P42">
        <v>1.4925971407484051E-2</v>
      </c>
      <c r="Q42" t="s">
        <v>251</v>
      </c>
      <c r="S42" t="s">
        <v>420</v>
      </c>
      <c r="T42" t="s">
        <v>282</v>
      </c>
      <c r="U42">
        <v>1.5948499659726105E-2</v>
      </c>
      <c r="V42" t="s">
        <v>251</v>
      </c>
      <c r="X42">
        <v>1.7123287671232876E-2</v>
      </c>
      <c r="Y42">
        <v>1.2927926808045149E-2</v>
      </c>
      <c r="Z42" t="s">
        <v>282</v>
      </c>
      <c r="AA42" t="s">
        <v>25</v>
      </c>
      <c r="AC42" t="s">
        <v>22</v>
      </c>
      <c r="AD42" t="s">
        <v>282</v>
      </c>
      <c r="AE42">
        <v>1.5578099873551859E-2</v>
      </c>
      <c r="AG42" t="s">
        <v>99</v>
      </c>
      <c r="AH42" t="s">
        <v>282</v>
      </c>
      <c r="AI42">
        <v>0.17748445228691057</v>
      </c>
    </row>
    <row r="43" spans="5:35" x14ac:dyDescent="0.45">
      <c r="E43" t="s">
        <v>1342</v>
      </c>
      <c r="G43" t="s">
        <v>155</v>
      </c>
      <c r="I43" t="s">
        <v>249</v>
      </c>
      <c r="J43" t="s">
        <v>283</v>
      </c>
      <c r="K43">
        <v>0</v>
      </c>
      <c r="L43" t="s">
        <v>251</v>
      </c>
      <c r="N43" t="s">
        <v>419</v>
      </c>
      <c r="O43" t="s">
        <v>283</v>
      </c>
      <c r="P43">
        <v>1.9452816991817064E-2</v>
      </c>
      <c r="Q43" t="s">
        <v>251</v>
      </c>
      <c r="S43" t="s">
        <v>420</v>
      </c>
      <c r="T43" t="s">
        <v>283</v>
      </c>
      <c r="U43">
        <v>1.3991670967335374E-2</v>
      </c>
      <c r="V43" t="s">
        <v>251</v>
      </c>
      <c r="X43">
        <v>1.643835616438356E-2</v>
      </c>
      <c r="Y43">
        <v>3.5163960917882816E-3</v>
      </c>
      <c r="Z43" t="s">
        <v>283</v>
      </c>
      <c r="AA43" t="s">
        <v>25</v>
      </c>
      <c r="AC43" t="s">
        <v>22</v>
      </c>
      <c r="AD43" t="s">
        <v>283</v>
      </c>
      <c r="AE43">
        <v>1.7952263081939455E-2</v>
      </c>
      <c r="AG43" t="s">
        <v>99</v>
      </c>
      <c r="AH43" t="s">
        <v>283</v>
      </c>
      <c r="AI43">
        <v>7.2489331777557897E-2</v>
      </c>
    </row>
    <row r="44" spans="5:35" x14ac:dyDescent="0.45">
      <c r="E44" t="s">
        <v>1343</v>
      </c>
      <c r="G44" t="s">
        <v>155</v>
      </c>
      <c r="I44" t="s">
        <v>249</v>
      </c>
      <c r="J44" t="s">
        <v>284</v>
      </c>
      <c r="K44">
        <v>0</v>
      </c>
      <c r="L44" t="s">
        <v>251</v>
      </c>
      <c r="N44" t="s">
        <v>419</v>
      </c>
      <c r="O44" t="s">
        <v>284</v>
      </c>
      <c r="P44">
        <v>3.1449990821093765E-3</v>
      </c>
      <c r="Q44" t="s">
        <v>251</v>
      </c>
      <c r="S44" t="s">
        <v>420</v>
      </c>
      <c r="T44" t="s">
        <v>284</v>
      </c>
      <c r="U44">
        <v>2.1541292449213999E-3</v>
      </c>
      <c r="V44" t="s">
        <v>251</v>
      </c>
      <c r="X44">
        <v>2.7397260273972603E-3</v>
      </c>
      <c r="Y44">
        <v>4.0573801059095556E-3</v>
      </c>
      <c r="Z44" t="s">
        <v>284</v>
      </c>
      <c r="AA44" t="s">
        <v>25</v>
      </c>
      <c r="AC44" t="s">
        <v>22</v>
      </c>
      <c r="AD44" t="s">
        <v>284</v>
      </c>
      <c r="AE44">
        <v>2.9903431911010641E-3</v>
      </c>
      <c r="AG44" t="s">
        <v>99</v>
      </c>
      <c r="AH44" t="s">
        <v>284</v>
      </c>
      <c r="AI44">
        <v>6.1358860238595492E-2</v>
      </c>
    </row>
    <row r="45" spans="5:35" x14ac:dyDescent="0.45">
      <c r="E45" t="s">
        <v>1344</v>
      </c>
      <c r="G45" t="s">
        <v>155</v>
      </c>
      <c r="I45" t="s">
        <v>249</v>
      </c>
      <c r="J45" t="s">
        <v>285</v>
      </c>
      <c r="K45">
        <v>1.560030814631772E-3</v>
      </c>
      <c r="L45" t="s">
        <v>251</v>
      </c>
      <c r="N45" t="s">
        <v>419</v>
      </c>
      <c r="O45" t="s">
        <v>285</v>
      </c>
      <c r="P45">
        <v>3.0580743838868577E-3</v>
      </c>
      <c r="Q45" t="s">
        <v>251</v>
      </c>
      <c r="S45" t="s">
        <v>420</v>
      </c>
      <c r="T45" t="s">
        <v>285</v>
      </c>
      <c r="U45">
        <v>2.1156886964398148E-3</v>
      </c>
      <c r="V45" t="s">
        <v>251</v>
      </c>
      <c r="X45">
        <v>2.7397260273972603E-3</v>
      </c>
      <c r="Y45">
        <v>4.5744971782313605E-3</v>
      </c>
      <c r="Z45" t="s">
        <v>285</v>
      </c>
      <c r="AA45" t="s">
        <v>25</v>
      </c>
      <c r="AC45" t="s">
        <v>22</v>
      </c>
      <c r="AD45" t="s">
        <v>285</v>
      </c>
      <c r="AE45">
        <v>3.0312959379865693E-3</v>
      </c>
      <c r="AG45" t="s">
        <v>99</v>
      </c>
      <c r="AH45" t="s">
        <v>285</v>
      </c>
      <c r="AI45">
        <v>5.0430936076825583E-2</v>
      </c>
    </row>
    <row r="46" spans="5:35" x14ac:dyDescent="0.45">
      <c r="E46" t="s">
        <v>1345</v>
      </c>
      <c r="G46" t="s">
        <v>155</v>
      </c>
      <c r="I46" t="s">
        <v>249</v>
      </c>
      <c r="J46" t="s">
        <v>286</v>
      </c>
      <c r="K46">
        <v>2.8068453761397171E-2</v>
      </c>
      <c r="L46" t="s">
        <v>251</v>
      </c>
      <c r="N46" t="s">
        <v>419</v>
      </c>
      <c r="O46" t="s">
        <v>286</v>
      </c>
      <c r="P46">
        <v>1.3718257208797248E-2</v>
      </c>
      <c r="Q46" t="s">
        <v>251</v>
      </c>
      <c r="S46" t="s">
        <v>420</v>
      </c>
      <c r="T46" t="s">
        <v>286</v>
      </c>
      <c r="U46">
        <v>1.2463216906813842E-2</v>
      </c>
      <c r="V46" t="s">
        <v>251</v>
      </c>
      <c r="X46">
        <v>1.643835616438356E-2</v>
      </c>
      <c r="Y46">
        <v>2.0716505481938197E-2</v>
      </c>
      <c r="Z46" t="s">
        <v>286</v>
      </c>
      <c r="AA46" t="s">
        <v>25</v>
      </c>
      <c r="AC46" t="s">
        <v>22</v>
      </c>
      <c r="AD46" t="s">
        <v>286</v>
      </c>
      <c r="AE46">
        <v>1.7872108876544349E-2</v>
      </c>
      <c r="AG46" t="s">
        <v>99</v>
      </c>
      <c r="AH46" t="s">
        <v>286</v>
      </c>
      <c r="AI46">
        <v>0.11364265032587295</v>
      </c>
    </row>
    <row r="47" spans="5:35" x14ac:dyDescent="0.45">
      <c r="E47" t="s">
        <v>1346</v>
      </c>
      <c r="G47" t="s">
        <v>155</v>
      </c>
      <c r="I47" t="s">
        <v>249</v>
      </c>
      <c r="J47" t="s">
        <v>287</v>
      </c>
      <c r="K47">
        <v>1.2248871437902655E-2</v>
      </c>
      <c r="L47" t="s">
        <v>251</v>
      </c>
      <c r="N47" t="s">
        <v>419</v>
      </c>
      <c r="O47" t="s">
        <v>287</v>
      </c>
      <c r="P47">
        <v>6.0185270605368144E-3</v>
      </c>
      <c r="Q47" t="s">
        <v>251</v>
      </c>
      <c r="S47" t="s">
        <v>420</v>
      </c>
      <c r="T47" t="s">
        <v>287</v>
      </c>
      <c r="U47">
        <v>6.289468962186455E-3</v>
      </c>
      <c r="V47" t="s">
        <v>251</v>
      </c>
      <c r="X47">
        <v>8.21917808219178E-3</v>
      </c>
      <c r="Y47">
        <v>1.3079084106108448E-2</v>
      </c>
      <c r="Z47" t="s">
        <v>287</v>
      </c>
      <c r="AA47" t="s">
        <v>25</v>
      </c>
      <c r="AC47" t="s">
        <v>22</v>
      </c>
      <c r="AD47" t="s">
        <v>287</v>
      </c>
      <c r="AE47">
        <v>6.6017865847590616E-3</v>
      </c>
      <c r="AG47" t="s">
        <v>99</v>
      </c>
      <c r="AH47" t="s">
        <v>287</v>
      </c>
      <c r="AI47">
        <v>9.2454642786674812E-2</v>
      </c>
    </row>
    <row r="48" spans="5:35" x14ac:dyDescent="0.45">
      <c r="E48" t="s">
        <v>1347</v>
      </c>
      <c r="G48" t="s">
        <v>155</v>
      </c>
      <c r="I48" t="s">
        <v>249</v>
      </c>
      <c r="J48" t="s">
        <v>288</v>
      </c>
      <c r="K48">
        <v>2.9156164249753386E-3</v>
      </c>
      <c r="L48" t="s">
        <v>251</v>
      </c>
      <c r="N48" t="s">
        <v>419</v>
      </c>
      <c r="O48" t="s">
        <v>288</v>
      </c>
      <c r="P48">
        <v>2.0704064576592871E-3</v>
      </c>
      <c r="Q48" t="s">
        <v>251</v>
      </c>
      <c r="S48" t="s">
        <v>420</v>
      </c>
      <c r="T48" t="s">
        <v>288</v>
      </c>
      <c r="U48">
        <v>2.2324988042672048E-3</v>
      </c>
      <c r="V48" t="s">
        <v>251</v>
      </c>
      <c r="X48">
        <v>2.7397260273972603E-3</v>
      </c>
      <c r="Y48">
        <v>5.3302836685478472E-3</v>
      </c>
      <c r="Z48" t="s">
        <v>288</v>
      </c>
      <c r="AA48" t="s">
        <v>25</v>
      </c>
      <c r="AC48" t="s">
        <v>22</v>
      </c>
      <c r="AD48" t="s">
        <v>288</v>
      </c>
      <c r="AE48">
        <v>1.902274871267858E-3</v>
      </c>
      <c r="AG48" t="s">
        <v>99</v>
      </c>
      <c r="AH48" t="s">
        <v>288</v>
      </c>
      <c r="AI48">
        <v>1.0374265486164935E-2</v>
      </c>
    </row>
    <row r="49" spans="5:35" x14ac:dyDescent="0.45">
      <c r="E49" t="s">
        <v>1348</v>
      </c>
      <c r="G49" t="s">
        <v>155</v>
      </c>
      <c r="I49" t="s">
        <v>249</v>
      </c>
      <c r="J49" t="s">
        <v>289</v>
      </c>
      <c r="K49">
        <v>4.4195169969677957E-4</v>
      </c>
      <c r="L49" t="s">
        <v>251</v>
      </c>
      <c r="N49" t="s">
        <v>419</v>
      </c>
      <c r="O49" t="s">
        <v>289</v>
      </c>
      <c r="P49">
        <v>2.3473613527375341E-3</v>
      </c>
      <c r="Q49" t="s">
        <v>251</v>
      </c>
      <c r="S49" t="s">
        <v>420</v>
      </c>
      <c r="T49" t="s">
        <v>289</v>
      </c>
      <c r="U49">
        <v>2.2829317771128543E-3</v>
      </c>
      <c r="V49" t="s">
        <v>251</v>
      </c>
      <c r="X49">
        <v>2.7397260273972603E-3</v>
      </c>
      <c r="Y49">
        <v>4.1369365785744487E-3</v>
      </c>
      <c r="Z49" t="s">
        <v>289</v>
      </c>
      <c r="AA49" t="s">
        <v>25</v>
      </c>
      <c r="AC49" t="s">
        <v>22</v>
      </c>
      <c r="AD49" t="s">
        <v>289</v>
      </c>
      <c r="AE49">
        <v>1.9222657685111677E-3</v>
      </c>
      <c r="AG49" t="s">
        <v>99</v>
      </c>
      <c r="AH49" t="s">
        <v>289</v>
      </c>
      <c r="AI49">
        <v>1.3007598116828722E-2</v>
      </c>
    </row>
    <row r="50" spans="5:35" x14ac:dyDescent="0.45">
      <c r="E50" t="s">
        <v>1349</v>
      </c>
      <c r="G50" t="s">
        <v>155</v>
      </c>
      <c r="I50" t="s">
        <v>249</v>
      </c>
      <c r="J50" t="s">
        <v>290</v>
      </c>
      <c r="K50">
        <v>0</v>
      </c>
      <c r="L50" t="s">
        <v>251</v>
      </c>
      <c r="N50" t="s">
        <v>419</v>
      </c>
      <c r="O50" t="s">
        <v>290</v>
      </c>
      <c r="P50">
        <v>1.5269179030948094E-2</v>
      </c>
      <c r="Q50" t="s">
        <v>251</v>
      </c>
      <c r="S50" t="s">
        <v>420</v>
      </c>
      <c r="T50" t="s">
        <v>290</v>
      </c>
      <c r="U50">
        <v>1.2041068772588962E-2</v>
      </c>
      <c r="V50" t="s">
        <v>251</v>
      </c>
      <c r="X50">
        <v>1.3698630136986301E-2</v>
      </c>
      <c r="Y50">
        <v>1.0342341446436119E-2</v>
      </c>
      <c r="Z50" t="s">
        <v>290</v>
      </c>
      <c r="AA50" t="s">
        <v>25</v>
      </c>
      <c r="AC50" t="s">
        <v>22</v>
      </c>
      <c r="AD50" t="s">
        <v>290</v>
      </c>
      <c r="AE50">
        <v>1.2521171917041373E-2</v>
      </c>
      <c r="AG50" t="s">
        <v>99</v>
      </c>
      <c r="AH50" t="s">
        <v>290</v>
      </c>
      <c r="AI50">
        <v>0.22286406535424685</v>
      </c>
    </row>
    <row r="51" spans="5:35" x14ac:dyDescent="0.45">
      <c r="E51" t="s">
        <v>1350</v>
      </c>
      <c r="G51" t="s">
        <v>155</v>
      </c>
      <c r="I51" t="s">
        <v>249</v>
      </c>
      <c r="J51" t="s">
        <v>1574</v>
      </c>
      <c r="K51">
        <v>0</v>
      </c>
      <c r="L51" t="s">
        <v>251</v>
      </c>
      <c r="N51" t="s">
        <v>419</v>
      </c>
      <c r="O51" t="s">
        <v>1574</v>
      </c>
      <c r="P51">
        <v>1.3420059583660001E-4</v>
      </c>
      <c r="Q51" t="s">
        <v>251</v>
      </c>
      <c r="S51" t="s">
        <v>420</v>
      </c>
      <c r="T51" t="s">
        <v>1574</v>
      </c>
      <c r="U51">
        <v>4.8924194221229866E-5</v>
      </c>
      <c r="V51" t="s">
        <v>251</v>
      </c>
      <c r="X51">
        <v>1.1415525114155251E-4</v>
      </c>
      <c r="Y51">
        <v>2.1546544680075254E-5</v>
      </c>
      <c r="Z51" t="s">
        <v>1574</v>
      </c>
      <c r="AA51" t="s">
        <v>25</v>
      </c>
      <c r="AC51" t="s">
        <v>22</v>
      </c>
      <c r="AD51" t="s">
        <v>1574</v>
      </c>
      <c r="AE51">
        <v>1.3529449044903831E-4</v>
      </c>
      <c r="AG51" t="s">
        <v>99</v>
      </c>
      <c r="AH51" t="s">
        <v>1574</v>
      </c>
      <c r="AI51">
        <v>0</v>
      </c>
    </row>
    <row r="52" spans="5:35" x14ac:dyDescent="0.45">
      <c r="E52" t="s">
        <v>1351</v>
      </c>
      <c r="G52" t="s">
        <v>155</v>
      </c>
      <c r="I52" t="s">
        <v>249</v>
      </c>
      <c r="J52" t="s">
        <v>1575</v>
      </c>
      <c r="K52">
        <v>0</v>
      </c>
      <c r="L52" t="s">
        <v>251</v>
      </c>
      <c r="N52" t="s">
        <v>419</v>
      </c>
      <c r="O52" t="s">
        <v>1575</v>
      </c>
      <c r="P52">
        <v>1.2411620958980001E-4</v>
      </c>
      <c r="Q52" t="s">
        <v>251</v>
      </c>
      <c r="S52" t="s">
        <v>420</v>
      </c>
      <c r="T52" t="s">
        <v>1575</v>
      </c>
      <c r="U52">
        <v>4.4478926062982202E-5</v>
      </c>
      <c r="V52" t="s">
        <v>251</v>
      </c>
      <c r="X52">
        <v>1.1415525114155251E-4</v>
      </c>
      <c r="Y52">
        <v>1.4916838624667481E-5</v>
      </c>
      <c r="Z52" t="s">
        <v>1575</v>
      </c>
      <c r="AA52" t="s">
        <v>25</v>
      </c>
      <c r="AC52" t="s">
        <v>22</v>
      </c>
      <c r="AD52" t="s">
        <v>1575</v>
      </c>
      <c r="AE52">
        <v>1.3192296248726437E-4</v>
      </c>
      <c r="AG52" t="s">
        <v>99</v>
      </c>
      <c r="AH52" t="s">
        <v>1575</v>
      </c>
      <c r="AI52">
        <v>0</v>
      </c>
    </row>
    <row r="53" spans="5:35" x14ac:dyDescent="0.45">
      <c r="E53" t="s">
        <v>1352</v>
      </c>
      <c r="G53" t="s">
        <v>155</v>
      </c>
      <c r="I53" t="s">
        <v>249</v>
      </c>
      <c r="J53" t="s">
        <v>1576</v>
      </c>
      <c r="K53">
        <v>0</v>
      </c>
      <c r="L53" t="s">
        <v>251</v>
      </c>
      <c r="N53" t="s">
        <v>419</v>
      </c>
      <c r="O53" t="s">
        <v>1576</v>
      </c>
      <c r="P53">
        <v>1.2021826847490001E-4</v>
      </c>
      <c r="Q53" t="s">
        <v>251</v>
      </c>
      <c r="S53" t="s">
        <v>420</v>
      </c>
      <c r="T53" t="s">
        <v>1576</v>
      </c>
      <c r="U53">
        <v>4.1429861928085213E-5</v>
      </c>
      <c r="V53" t="s">
        <v>251</v>
      </c>
      <c r="X53">
        <v>1.1415525114155251E-4</v>
      </c>
      <c r="Y53">
        <v>1.6574265138519424E-5</v>
      </c>
      <c r="Z53" t="s">
        <v>1576</v>
      </c>
      <c r="AA53" t="s">
        <v>25</v>
      </c>
      <c r="AC53" t="s">
        <v>22</v>
      </c>
      <c r="AD53" t="s">
        <v>1576</v>
      </c>
      <c r="AE53">
        <v>1.3152385935398013E-4</v>
      </c>
      <c r="AG53" t="s">
        <v>99</v>
      </c>
      <c r="AH53" t="s">
        <v>1576</v>
      </c>
      <c r="AI53">
        <v>0</v>
      </c>
    </row>
    <row r="54" spans="5:35" x14ac:dyDescent="0.45">
      <c r="E54" t="s">
        <v>1353</v>
      </c>
      <c r="G54" t="s">
        <v>155</v>
      </c>
      <c r="I54" t="s">
        <v>249</v>
      </c>
      <c r="J54" t="s">
        <v>1577</v>
      </c>
      <c r="K54">
        <v>0</v>
      </c>
      <c r="L54" t="s">
        <v>251</v>
      </c>
      <c r="N54" t="s">
        <v>419</v>
      </c>
      <c r="O54" t="s">
        <v>1577</v>
      </c>
      <c r="P54">
        <v>1.185117570853E-4</v>
      </c>
      <c r="Q54" t="s">
        <v>251</v>
      </c>
      <c r="S54" t="s">
        <v>420</v>
      </c>
      <c r="T54" t="s">
        <v>1577</v>
      </c>
      <c r="U54">
        <v>3.8780877339127432E-5</v>
      </c>
      <c r="V54" t="s">
        <v>251</v>
      </c>
      <c r="X54">
        <v>1.1415525114155251E-4</v>
      </c>
      <c r="Y54">
        <v>1.4585353321897093E-5</v>
      </c>
      <c r="Z54" t="s">
        <v>1577</v>
      </c>
      <c r="AA54" t="s">
        <v>25</v>
      </c>
      <c r="AC54" t="s">
        <v>22</v>
      </c>
      <c r="AD54" t="s">
        <v>1577</v>
      </c>
      <c r="AE54">
        <v>1.3152385935398013E-4</v>
      </c>
      <c r="AG54" t="s">
        <v>99</v>
      </c>
      <c r="AH54" t="s">
        <v>1577</v>
      </c>
      <c r="AI54">
        <v>0</v>
      </c>
    </row>
    <row r="55" spans="5:35" x14ac:dyDescent="0.45">
      <c r="E55" t="s">
        <v>1354</v>
      </c>
      <c r="G55" t="s">
        <v>155</v>
      </c>
      <c r="I55" t="s">
        <v>249</v>
      </c>
      <c r="J55" t="s">
        <v>1578</v>
      </c>
      <c r="K55">
        <v>0</v>
      </c>
      <c r="L55" t="s">
        <v>251</v>
      </c>
      <c r="N55" t="s">
        <v>419</v>
      </c>
      <c r="O55" t="s">
        <v>1578</v>
      </c>
      <c r="P55">
        <v>1.120770613935E-4</v>
      </c>
      <c r="Q55" t="s">
        <v>251</v>
      </c>
      <c r="S55" t="s">
        <v>420</v>
      </c>
      <c r="T55" t="s">
        <v>1578</v>
      </c>
      <c r="U55">
        <v>3.904615733143097E-5</v>
      </c>
      <c r="V55" t="s">
        <v>251</v>
      </c>
      <c r="X55">
        <v>1.1415525114155251E-4</v>
      </c>
      <c r="Y55">
        <v>2.1215059377304864E-5</v>
      </c>
      <c r="Z55" t="s">
        <v>1578</v>
      </c>
      <c r="AA55" t="s">
        <v>25</v>
      </c>
      <c r="AC55" t="s">
        <v>22</v>
      </c>
      <c r="AD55" t="s">
        <v>1578</v>
      </c>
      <c r="AE55">
        <v>1.3111879945751261E-4</v>
      </c>
      <c r="AG55" t="s">
        <v>99</v>
      </c>
      <c r="AH55" t="s">
        <v>1578</v>
      </c>
      <c r="AI55">
        <v>0</v>
      </c>
    </row>
    <row r="56" spans="5:35" x14ac:dyDescent="0.45">
      <c r="E56" t="s">
        <v>1355</v>
      </c>
      <c r="G56" t="s">
        <v>155</v>
      </c>
      <c r="I56" t="s">
        <v>249</v>
      </c>
      <c r="J56" t="s">
        <v>1579</v>
      </c>
      <c r="K56">
        <v>0</v>
      </c>
      <c r="L56" t="s">
        <v>251</v>
      </c>
      <c r="N56" t="s">
        <v>419</v>
      </c>
      <c r="O56" t="s">
        <v>1579</v>
      </c>
      <c r="P56">
        <v>1.049261064353E-4</v>
      </c>
      <c r="Q56" t="s">
        <v>251</v>
      </c>
      <c r="S56" t="s">
        <v>420</v>
      </c>
      <c r="T56" t="s">
        <v>1579</v>
      </c>
      <c r="U56">
        <v>4.0082788178570797E-5</v>
      </c>
      <c r="V56" t="s">
        <v>251</v>
      </c>
      <c r="X56">
        <v>1.1415525114155251E-4</v>
      </c>
      <c r="Y56">
        <v>5.7678442682047593E-5</v>
      </c>
      <c r="Z56" t="s">
        <v>1579</v>
      </c>
      <c r="AA56" t="s">
        <v>25</v>
      </c>
      <c r="AC56" t="s">
        <v>22</v>
      </c>
      <c r="AD56" t="s">
        <v>1579</v>
      </c>
      <c r="AE56">
        <v>1.3111879945751261E-4</v>
      </c>
      <c r="AG56" t="s">
        <v>99</v>
      </c>
      <c r="AH56" t="s">
        <v>1579</v>
      </c>
      <c r="AI56">
        <v>0</v>
      </c>
    </row>
    <row r="57" spans="5:35" x14ac:dyDescent="0.45">
      <c r="E57" t="s">
        <v>1356</v>
      </c>
      <c r="G57" t="s">
        <v>155</v>
      </c>
      <c r="I57" t="s">
        <v>249</v>
      </c>
      <c r="J57" t="s">
        <v>1580</v>
      </c>
      <c r="K57">
        <v>0</v>
      </c>
      <c r="L57" t="s">
        <v>251</v>
      </c>
      <c r="N57" t="s">
        <v>419</v>
      </c>
      <c r="O57" t="s">
        <v>1580</v>
      </c>
      <c r="P57">
        <v>1.001313538732E-4</v>
      </c>
      <c r="Q57" t="s">
        <v>251</v>
      </c>
      <c r="S57" t="s">
        <v>420</v>
      </c>
      <c r="T57" t="s">
        <v>1580</v>
      </c>
      <c r="U57">
        <v>3.3130698201370332E-5</v>
      </c>
      <c r="V57" t="s">
        <v>251</v>
      </c>
      <c r="X57">
        <v>1.1415525114155251E-4</v>
      </c>
      <c r="Y57">
        <v>1.6905750441289813E-4</v>
      </c>
      <c r="Z57" t="s">
        <v>1580</v>
      </c>
      <c r="AA57" t="s">
        <v>25</v>
      </c>
      <c r="AC57" t="s">
        <v>22</v>
      </c>
      <c r="AD57" t="s">
        <v>1580</v>
      </c>
      <c r="AE57">
        <v>1.3133324293211309E-4</v>
      </c>
      <c r="AG57" t="s">
        <v>99</v>
      </c>
      <c r="AH57" t="s">
        <v>1580</v>
      </c>
      <c r="AI57">
        <v>0</v>
      </c>
    </row>
    <row r="58" spans="5:35" x14ac:dyDescent="0.45">
      <c r="E58" t="s">
        <v>1357</v>
      </c>
      <c r="G58" t="s">
        <v>155</v>
      </c>
      <c r="I58" t="s">
        <v>249</v>
      </c>
      <c r="J58" t="s">
        <v>1581</v>
      </c>
      <c r="K58">
        <v>4.1086826431466202E-5</v>
      </c>
      <c r="L58" t="s">
        <v>251</v>
      </c>
      <c r="N58" t="s">
        <v>419</v>
      </c>
      <c r="O58" t="s">
        <v>1581</v>
      </c>
      <c r="P58">
        <v>9.9200945732793767E-5</v>
      </c>
      <c r="Q58" t="s">
        <v>251</v>
      </c>
      <c r="S58" t="s">
        <v>420</v>
      </c>
      <c r="T58" t="s">
        <v>1581</v>
      </c>
      <c r="U58">
        <v>2.2294458210501924E-5</v>
      </c>
      <c r="V58" t="s">
        <v>251</v>
      </c>
      <c r="X58">
        <v>1.1415525114155251E-4</v>
      </c>
      <c r="Y58">
        <v>1.9060404909297337E-4</v>
      </c>
      <c r="Z58" t="s">
        <v>1581</v>
      </c>
      <c r="AA58" t="s">
        <v>25</v>
      </c>
      <c r="AC58" t="s">
        <v>22</v>
      </c>
      <c r="AD58" t="s">
        <v>1581</v>
      </c>
      <c r="AE58">
        <v>1.3290582841251648E-4</v>
      </c>
      <c r="AG58" t="s">
        <v>99</v>
      </c>
      <c r="AH58" t="s">
        <v>1581</v>
      </c>
      <c r="AI58">
        <v>0</v>
      </c>
    </row>
    <row r="59" spans="5:35" x14ac:dyDescent="0.45">
      <c r="E59" t="s">
        <v>1358</v>
      </c>
      <c r="G59" t="s">
        <v>155</v>
      </c>
      <c r="I59" t="s">
        <v>249</v>
      </c>
      <c r="J59" t="s">
        <v>1582</v>
      </c>
      <c r="K59">
        <v>7.7933719821852732E-5</v>
      </c>
      <c r="L59" t="s">
        <v>251</v>
      </c>
      <c r="N59" t="s">
        <v>419</v>
      </c>
      <c r="O59" t="s">
        <v>1582</v>
      </c>
      <c r="P59">
        <v>8.194115153067945E-5</v>
      </c>
      <c r="Q59" t="s">
        <v>251</v>
      </c>
      <c r="S59" t="s">
        <v>420</v>
      </c>
      <c r="T59" t="s">
        <v>1582</v>
      </c>
      <c r="U59">
        <v>4.0264423536034043E-5</v>
      </c>
      <c r="V59" t="s">
        <v>251</v>
      </c>
      <c r="X59">
        <v>1.1415525114155251E-4</v>
      </c>
      <c r="Y59">
        <v>1.4585353321897094E-4</v>
      </c>
      <c r="Z59" t="s">
        <v>1582</v>
      </c>
      <c r="AA59" t="s">
        <v>25</v>
      </c>
      <c r="AC59" t="s">
        <v>22</v>
      </c>
      <c r="AD59" t="s">
        <v>1582</v>
      </c>
      <c r="AE59">
        <v>1.3322153686123384E-4</v>
      </c>
      <c r="AG59" t="s">
        <v>99</v>
      </c>
      <c r="AH59" t="s">
        <v>1582</v>
      </c>
      <c r="AI59">
        <v>0</v>
      </c>
    </row>
    <row r="60" spans="5:35" x14ac:dyDescent="0.45">
      <c r="E60" t="s">
        <v>1359</v>
      </c>
      <c r="G60" t="s">
        <v>155</v>
      </c>
      <c r="I60" t="s">
        <v>249</v>
      </c>
      <c r="J60" t="s">
        <v>1583</v>
      </c>
      <c r="K60">
        <v>8.8022255348996009E-5</v>
      </c>
      <c r="L60" t="s">
        <v>251</v>
      </c>
      <c r="N60" t="s">
        <v>419</v>
      </c>
      <c r="O60" t="s">
        <v>1583</v>
      </c>
      <c r="P60">
        <v>7.2133603447139299E-5</v>
      </c>
      <c r="Q60" t="s">
        <v>251</v>
      </c>
      <c r="S60" t="s">
        <v>420</v>
      </c>
      <c r="T60" t="s">
        <v>1583</v>
      </c>
      <c r="U60">
        <v>3.6526600836927197E-5</v>
      </c>
      <c r="V60" t="s">
        <v>251</v>
      </c>
      <c r="X60">
        <v>1.1415525114155251E-4</v>
      </c>
      <c r="Y60">
        <v>1.4452759200788939E-4</v>
      </c>
      <c r="Z60" t="s">
        <v>1583</v>
      </c>
      <c r="AA60" t="s">
        <v>25</v>
      </c>
      <c r="AC60" t="s">
        <v>22</v>
      </c>
      <c r="AD60" t="s">
        <v>1583</v>
      </c>
      <c r="AE60">
        <v>1.3415674868101919E-4</v>
      </c>
      <c r="AG60" t="s">
        <v>99</v>
      </c>
      <c r="AH60" t="s">
        <v>1583</v>
      </c>
      <c r="AI60">
        <v>0</v>
      </c>
    </row>
    <row r="61" spans="5:35" x14ac:dyDescent="0.45">
      <c r="E61" t="s">
        <v>1360</v>
      </c>
      <c r="G61" t="s">
        <v>155</v>
      </c>
      <c r="I61" t="s">
        <v>249</v>
      </c>
      <c r="J61" t="s">
        <v>1584</v>
      </c>
      <c r="K61">
        <v>9.4974760018876259E-5</v>
      </c>
      <c r="L61" t="s">
        <v>251</v>
      </c>
      <c r="N61" t="s">
        <v>419</v>
      </c>
      <c r="O61" t="s">
        <v>1584</v>
      </c>
      <c r="P61">
        <v>8.0052258723966457E-5</v>
      </c>
      <c r="Q61" t="s">
        <v>251</v>
      </c>
      <c r="S61" t="s">
        <v>420</v>
      </c>
      <c r="T61" t="s">
        <v>1584</v>
      </c>
      <c r="U61">
        <v>3.8045757916209542E-5</v>
      </c>
      <c r="V61" t="s">
        <v>251</v>
      </c>
      <c r="X61">
        <v>1.1415525114155251E-4</v>
      </c>
      <c r="Y61">
        <v>1.408812536774151E-4</v>
      </c>
      <c r="Z61" t="s">
        <v>1584</v>
      </c>
      <c r="AA61" t="s">
        <v>25</v>
      </c>
      <c r="AC61" t="s">
        <v>22</v>
      </c>
      <c r="AD61" t="s">
        <v>1584</v>
      </c>
      <c r="AE61">
        <v>1.3450224094565326E-4</v>
      </c>
      <c r="AG61" t="s">
        <v>99</v>
      </c>
      <c r="AH61" t="s">
        <v>1584</v>
      </c>
      <c r="AI61">
        <v>0</v>
      </c>
    </row>
    <row r="62" spans="5:35" x14ac:dyDescent="0.45">
      <c r="E62" t="s">
        <v>1361</v>
      </c>
      <c r="G62" t="s">
        <v>155</v>
      </c>
      <c r="I62" t="s">
        <v>249</v>
      </c>
      <c r="J62" t="s">
        <v>1585</v>
      </c>
      <c r="K62">
        <v>1.104999890349E-4</v>
      </c>
      <c r="L62" t="s">
        <v>251</v>
      </c>
      <c r="N62" t="s">
        <v>419</v>
      </c>
      <c r="O62" t="s">
        <v>1585</v>
      </c>
      <c r="P62">
        <v>8.3369624636098915E-5</v>
      </c>
      <c r="Q62" t="s">
        <v>251</v>
      </c>
      <c r="S62" t="s">
        <v>420</v>
      </c>
      <c r="T62" t="s">
        <v>1585</v>
      </c>
      <c r="U62">
        <v>3.9112958616467131E-5</v>
      </c>
      <c r="V62" t="s">
        <v>251</v>
      </c>
      <c r="X62">
        <v>1.1415525114155251E-4</v>
      </c>
      <c r="Y62">
        <v>1.4054976837464471E-4</v>
      </c>
      <c r="Z62" t="s">
        <v>1585</v>
      </c>
      <c r="AA62" t="s">
        <v>25</v>
      </c>
      <c r="AC62" t="s">
        <v>22</v>
      </c>
      <c r="AD62" t="s">
        <v>1585</v>
      </c>
      <c r="AE62">
        <v>1.3113666974706265E-4</v>
      </c>
      <c r="AG62" t="s">
        <v>99</v>
      </c>
      <c r="AH62" t="s">
        <v>1585</v>
      </c>
      <c r="AI62">
        <v>0</v>
      </c>
    </row>
    <row r="63" spans="5:35" x14ac:dyDescent="0.45">
      <c r="E63" t="s">
        <v>1362</v>
      </c>
      <c r="G63" t="s">
        <v>155</v>
      </c>
      <c r="I63" t="s">
        <v>249</v>
      </c>
      <c r="J63" t="s">
        <v>1586</v>
      </c>
      <c r="K63">
        <v>1.2860728100319999E-4</v>
      </c>
      <c r="L63" t="s">
        <v>251</v>
      </c>
      <c r="N63" t="s">
        <v>419</v>
      </c>
      <c r="O63" t="s">
        <v>1586</v>
      </c>
      <c r="P63">
        <v>7.7921692255875996E-5</v>
      </c>
      <c r="Q63" t="s">
        <v>251</v>
      </c>
      <c r="S63" t="s">
        <v>420</v>
      </c>
      <c r="T63" t="s">
        <v>1586</v>
      </c>
      <c r="U63">
        <v>4.7639175387781842E-5</v>
      </c>
      <c r="V63" t="s">
        <v>251</v>
      </c>
      <c r="X63">
        <v>1.1415525114155251E-4</v>
      </c>
      <c r="Y63">
        <v>1.4253868019126702E-4</v>
      </c>
      <c r="Z63" t="s">
        <v>1586</v>
      </c>
      <c r="AA63" t="s">
        <v>25</v>
      </c>
      <c r="AC63" t="s">
        <v>22</v>
      </c>
      <c r="AD63" t="s">
        <v>1586</v>
      </c>
      <c r="AE63">
        <v>1.2718137899332075E-4</v>
      </c>
      <c r="AG63" t="s">
        <v>99</v>
      </c>
      <c r="AH63" t="s">
        <v>1586</v>
      </c>
      <c r="AI63">
        <v>0</v>
      </c>
    </row>
    <row r="64" spans="5:35" x14ac:dyDescent="0.45">
      <c r="E64" t="s">
        <v>1363</v>
      </c>
      <c r="G64" t="s">
        <v>155</v>
      </c>
      <c r="I64" t="s">
        <v>249</v>
      </c>
      <c r="J64" t="s">
        <v>1587</v>
      </c>
      <c r="K64">
        <v>1.116923700687E-4</v>
      </c>
      <c r="L64" t="s">
        <v>251</v>
      </c>
      <c r="N64" t="s">
        <v>419</v>
      </c>
      <c r="O64" t="s">
        <v>1587</v>
      </c>
      <c r="P64">
        <v>7.1214221059411295E-5</v>
      </c>
      <c r="Q64" t="s">
        <v>251</v>
      </c>
      <c r="S64" t="s">
        <v>420</v>
      </c>
      <c r="T64" t="s">
        <v>1587</v>
      </c>
      <c r="U64">
        <v>5.9974156474087416E-5</v>
      </c>
      <c r="V64" t="s">
        <v>251</v>
      </c>
      <c r="X64">
        <v>1.1415525114155251E-4</v>
      </c>
      <c r="Y64">
        <v>1.4883690094390442E-4</v>
      </c>
      <c r="Z64" t="s">
        <v>1587</v>
      </c>
      <c r="AA64" t="s">
        <v>25</v>
      </c>
      <c r="AC64" t="s">
        <v>22</v>
      </c>
      <c r="AD64" t="s">
        <v>1587</v>
      </c>
      <c r="AE64">
        <v>1.1497001446746098E-4</v>
      </c>
      <c r="AG64" t="s">
        <v>99</v>
      </c>
      <c r="AH64" t="s">
        <v>1587</v>
      </c>
      <c r="AI64">
        <v>0</v>
      </c>
    </row>
    <row r="65" spans="5:35" x14ac:dyDescent="0.45">
      <c r="E65" t="s">
        <v>1364</v>
      </c>
      <c r="G65" t="s">
        <v>155</v>
      </c>
      <c r="I65" t="s">
        <v>249</v>
      </c>
      <c r="J65" t="s">
        <v>1588</v>
      </c>
      <c r="K65">
        <v>9.345096338755206E-5</v>
      </c>
      <c r="L65" t="s">
        <v>251</v>
      </c>
      <c r="N65" t="s">
        <v>419</v>
      </c>
      <c r="O65" t="s">
        <v>1588</v>
      </c>
      <c r="P65">
        <v>6.3506552384384475E-5</v>
      </c>
      <c r="Q65" t="s">
        <v>251</v>
      </c>
      <c r="S65" t="s">
        <v>420</v>
      </c>
      <c r="T65" t="s">
        <v>1588</v>
      </c>
      <c r="U65">
        <v>6.6537612781267626E-5</v>
      </c>
      <c r="V65" t="s">
        <v>251</v>
      </c>
      <c r="X65">
        <v>1.1415525114155251E-4</v>
      </c>
      <c r="Y65">
        <v>1.5049432745775637E-4</v>
      </c>
      <c r="Z65" t="s">
        <v>1588</v>
      </c>
      <c r="AA65" t="s">
        <v>25</v>
      </c>
      <c r="AC65" t="s">
        <v>22</v>
      </c>
      <c r="AD65" t="s">
        <v>1588</v>
      </c>
      <c r="AE65">
        <v>1.0452185184387167E-4</v>
      </c>
      <c r="AG65" t="s">
        <v>99</v>
      </c>
      <c r="AH65" t="s">
        <v>1588</v>
      </c>
      <c r="AI65">
        <v>0</v>
      </c>
    </row>
    <row r="66" spans="5:35" x14ac:dyDescent="0.45">
      <c r="E66" t="s">
        <v>1365</v>
      </c>
      <c r="G66" t="s">
        <v>155</v>
      </c>
      <c r="I66" t="s">
        <v>249</v>
      </c>
      <c r="J66" t="s">
        <v>1589</v>
      </c>
      <c r="K66">
        <v>8.1062763666634843E-5</v>
      </c>
      <c r="L66" t="s">
        <v>251</v>
      </c>
      <c r="N66" t="s">
        <v>419</v>
      </c>
      <c r="O66" t="s">
        <v>1589</v>
      </c>
      <c r="P66">
        <v>5.6255294304747601E-5</v>
      </c>
      <c r="Q66" t="s">
        <v>251</v>
      </c>
      <c r="S66" t="s">
        <v>420</v>
      </c>
      <c r="T66" t="s">
        <v>1589</v>
      </c>
      <c r="U66">
        <v>6.7610851821029699E-5</v>
      </c>
      <c r="V66" t="s">
        <v>251</v>
      </c>
      <c r="X66">
        <v>1.1415525114155251E-4</v>
      </c>
      <c r="Y66">
        <v>1.7237235744060203E-4</v>
      </c>
      <c r="Z66" t="s">
        <v>1589</v>
      </c>
      <c r="AA66" t="s">
        <v>25</v>
      </c>
      <c r="AC66" t="s">
        <v>22</v>
      </c>
      <c r="AD66" t="s">
        <v>1589</v>
      </c>
      <c r="AE66">
        <v>8.8575596802053833E-5</v>
      </c>
      <c r="AG66" t="s">
        <v>99</v>
      </c>
      <c r="AH66" t="s">
        <v>1589</v>
      </c>
      <c r="AI66">
        <v>0</v>
      </c>
    </row>
    <row r="67" spans="5:35" x14ac:dyDescent="0.45">
      <c r="E67" t="s">
        <v>1366</v>
      </c>
      <c r="G67" t="s">
        <v>155</v>
      </c>
      <c r="I67" t="s">
        <v>249</v>
      </c>
      <c r="J67" t="s">
        <v>1590</v>
      </c>
      <c r="K67">
        <v>6.4441857651801996E-5</v>
      </c>
      <c r="L67" t="s">
        <v>251</v>
      </c>
      <c r="N67" t="s">
        <v>419</v>
      </c>
      <c r="O67" t="s">
        <v>1590</v>
      </c>
      <c r="P67">
        <v>5.3123888011135917E-5</v>
      </c>
      <c r="Q67" t="s">
        <v>251</v>
      </c>
      <c r="S67" t="s">
        <v>420</v>
      </c>
      <c r="T67" t="s">
        <v>1590</v>
      </c>
      <c r="U67">
        <v>6.755957650368223E-5</v>
      </c>
      <c r="V67" t="s">
        <v>251</v>
      </c>
      <c r="X67">
        <v>1.1415525114155251E-4</v>
      </c>
      <c r="Y67">
        <v>2.2209515285616027E-4</v>
      </c>
      <c r="Z67" t="s">
        <v>1590</v>
      </c>
      <c r="AA67" t="s">
        <v>25</v>
      </c>
      <c r="AC67" t="s">
        <v>22</v>
      </c>
      <c r="AD67" t="s">
        <v>1590</v>
      </c>
      <c r="AE67">
        <v>8.4852619812462429E-5</v>
      </c>
      <c r="AG67" t="s">
        <v>99</v>
      </c>
      <c r="AH67" t="s">
        <v>1590</v>
      </c>
      <c r="AI67">
        <v>0</v>
      </c>
    </row>
    <row r="68" spans="5:35" x14ac:dyDescent="0.45">
      <c r="E68" t="s">
        <v>1367</v>
      </c>
      <c r="G68" t="s">
        <v>155</v>
      </c>
      <c r="I68" t="s">
        <v>249</v>
      </c>
      <c r="J68" t="s">
        <v>1591</v>
      </c>
      <c r="K68">
        <v>4.6046458258193625E-5</v>
      </c>
      <c r="L68" t="s">
        <v>251</v>
      </c>
      <c r="N68" t="s">
        <v>419</v>
      </c>
      <c r="O68" t="s">
        <v>1591</v>
      </c>
      <c r="P68">
        <v>5.1073654420206722E-5</v>
      </c>
      <c r="Q68" t="s">
        <v>251</v>
      </c>
      <c r="S68" t="s">
        <v>420</v>
      </c>
      <c r="T68" t="s">
        <v>1591</v>
      </c>
      <c r="U68">
        <v>7.1276362564081161E-5</v>
      </c>
      <c r="V68" t="s">
        <v>251</v>
      </c>
      <c r="X68">
        <v>1.1415525114155251E-4</v>
      </c>
      <c r="Y68">
        <v>2.2209515285616027E-4</v>
      </c>
      <c r="Z68" t="s">
        <v>1591</v>
      </c>
      <c r="AA68" t="s">
        <v>25</v>
      </c>
      <c r="AC68" t="s">
        <v>22</v>
      </c>
      <c r="AD68" t="s">
        <v>1591</v>
      </c>
      <c r="AE68">
        <v>8.0724582926403499E-5</v>
      </c>
      <c r="AG68" t="s">
        <v>99</v>
      </c>
      <c r="AH68" t="s">
        <v>1591</v>
      </c>
      <c r="AI68">
        <v>0</v>
      </c>
    </row>
    <row r="69" spans="5:35" x14ac:dyDescent="0.45">
      <c r="E69" t="s">
        <v>1368</v>
      </c>
      <c r="G69" t="s">
        <v>155</v>
      </c>
      <c r="I69" t="s">
        <v>249</v>
      </c>
      <c r="J69" t="s">
        <v>1592</v>
      </c>
      <c r="K69">
        <v>2.8910705715559888E-7</v>
      </c>
      <c r="L69" t="s">
        <v>251</v>
      </c>
      <c r="N69" t="s">
        <v>419</v>
      </c>
      <c r="O69" t="s">
        <v>1592</v>
      </c>
      <c r="P69">
        <v>4.8174405043128293E-5</v>
      </c>
      <c r="Q69" t="s">
        <v>251</v>
      </c>
      <c r="S69" t="s">
        <v>420</v>
      </c>
      <c r="T69" t="s">
        <v>1592</v>
      </c>
      <c r="U69">
        <v>8.7663263352618972E-5</v>
      </c>
      <c r="V69" t="s">
        <v>251</v>
      </c>
      <c r="X69">
        <v>1.1415525114155251E-4</v>
      </c>
      <c r="Y69">
        <v>1.7237235744060203E-4</v>
      </c>
      <c r="Z69" t="s">
        <v>1592</v>
      </c>
      <c r="AA69" t="s">
        <v>25</v>
      </c>
      <c r="AC69" t="s">
        <v>22</v>
      </c>
      <c r="AD69" t="s">
        <v>1592</v>
      </c>
      <c r="AE69">
        <v>8.1939762615806133E-5</v>
      </c>
      <c r="AG69" t="s">
        <v>99</v>
      </c>
      <c r="AH69" t="s">
        <v>1592</v>
      </c>
      <c r="AI69">
        <v>0</v>
      </c>
    </row>
    <row r="70" spans="5:35" x14ac:dyDescent="0.45">
      <c r="E70" t="s">
        <v>1369</v>
      </c>
      <c r="G70" t="s">
        <v>155</v>
      </c>
      <c r="I70" t="s">
        <v>249</v>
      </c>
      <c r="J70" t="s">
        <v>1593</v>
      </c>
      <c r="K70">
        <v>0</v>
      </c>
      <c r="L70" t="s">
        <v>251</v>
      </c>
      <c r="N70" t="s">
        <v>419</v>
      </c>
      <c r="O70" t="s">
        <v>1593</v>
      </c>
      <c r="P70">
        <v>5.8598265011704391E-5</v>
      </c>
      <c r="Q70" t="s">
        <v>251</v>
      </c>
      <c r="S70" t="s">
        <v>420</v>
      </c>
      <c r="T70" t="s">
        <v>1593</v>
      </c>
      <c r="U70">
        <v>9.81490010507776E-5</v>
      </c>
      <c r="V70" t="s">
        <v>251</v>
      </c>
      <c r="X70">
        <v>1.1415525114155251E-4</v>
      </c>
      <c r="Y70">
        <v>1.5579809230208258E-4</v>
      </c>
      <c r="Z70" t="s">
        <v>1593</v>
      </c>
      <c r="AA70" t="s">
        <v>25</v>
      </c>
      <c r="AC70" t="s">
        <v>22</v>
      </c>
      <c r="AD70" t="s">
        <v>1593</v>
      </c>
      <c r="AE70">
        <v>8.245800101275725E-5</v>
      </c>
      <c r="AG70" t="s">
        <v>99</v>
      </c>
      <c r="AH70" t="s">
        <v>1593</v>
      </c>
      <c r="AI70">
        <v>0</v>
      </c>
    </row>
    <row r="71" spans="5:35" x14ac:dyDescent="0.45">
      <c r="E71" t="s">
        <v>1370</v>
      </c>
      <c r="G71" t="s">
        <v>155</v>
      </c>
      <c r="I71" t="s">
        <v>249</v>
      </c>
      <c r="J71" t="s">
        <v>1594</v>
      </c>
      <c r="K71">
        <v>0</v>
      </c>
      <c r="L71" t="s">
        <v>251</v>
      </c>
      <c r="N71" t="s">
        <v>419</v>
      </c>
      <c r="O71" t="s">
        <v>1594</v>
      </c>
      <c r="P71">
        <v>6.3815346198383408E-5</v>
      </c>
      <c r="Q71" t="s">
        <v>251</v>
      </c>
      <c r="S71" t="s">
        <v>420</v>
      </c>
      <c r="T71" t="s">
        <v>1594</v>
      </c>
      <c r="U71">
        <v>8.4304684385002457E-5</v>
      </c>
      <c r="V71" t="s">
        <v>251</v>
      </c>
      <c r="X71">
        <v>1.1415525114155251E-4</v>
      </c>
      <c r="Y71">
        <v>1.093901499142282E-4</v>
      </c>
      <c r="Z71" t="s">
        <v>1594</v>
      </c>
      <c r="AA71" t="s">
        <v>25</v>
      </c>
      <c r="AC71" t="s">
        <v>22</v>
      </c>
      <c r="AD71" t="s">
        <v>1594</v>
      </c>
      <c r="AE71">
        <v>9.8702094213742403E-5</v>
      </c>
      <c r="AG71" t="s">
        <v>99</v>
      </c>
      <c r="AH71" t="s">
        <v>1594</v>
      </c>
      <c r="AI71">
        <v>0</v>
      </c>
    </row>
    <row r="72" spans="5:35" x14ac:dyDescent="0.45">
      <c r="E72" t="s">
        <v>1371</v>
      </c>
      <c r="G72" t="s">
        <v>155</v>
      </c>
      <c r="I72" t="s">
        <v>249</v>
      </c>
      <c r="J72" t="s">
        <v>1595</v>
      </c>
      <c r="K72">
        <v>0</v>
      </c>
      <c r="L72" t="s">
        <v>251</v>
      </c>
      <c r="N72" t="s">
        <v>419</v>
      </c>
      <c r="O72" t="s">
        <v>1595</v>
      </c>
      <c r="P72">
        <v>6.7457926404251896E-5</v>
      </c>
      <c r="Q72" t="s">
        <v>251</v>
      </c>
      <c r="S72" t="s">
        <v>420</v>
      </c>
      <c r="T72" t="s">
        <v>1595</v>
      </c>
      <c r="U72">
        <v>7.7166834536636396E-5</v>
      </c>
      <c r="V72" t="s">
        <v>251</v>
      </c>
      <c r="X72">
        <v>1.1415525114155251E-4</v>
      </c>
      <c r="Y72">
        <v>7.9556472664893237E-5</v>
      </c>
      <c r="Z72" t="s">
        <v>1595</v>
      </c>
      <c r="AA72" t="s">
        <v>25</v>
      </c>
      <c r="AC72" t="s">
        <v>22</v>
      </c>
      <c r="AD72" t="s">
        <v>1595</v>
      </c>
      <c r="AE72">
        <v>1.1467217630829366E-4</v>
      </c>
      <c r="AG72" t="s">
        <v>99</v>
      </c>
      <c r="AH72" t="s">
        <v>1595</v>
      </c>
      <c r="AI72">
        <v>0</v>
      </c>
    </row>
    <row r="73" spans="5:35" x14ac:dyDescent="0.45">
      <c r="E73" t="s">
        <v>1372</v>
      </c>
      <c r="G73" t="s">
        <v>155</v>
      </c>
      <c r="I73" t="s">
        <v>249</v>
      </c>
      <c r="J73" t="s">
        <v>1596</v>
      </c>
      <c r="K73">
        <v>0</v>
      </c>
      <c r="L73" t="s">
        <v>251</v>
      </c>
      <c r="N73" t="s">
        <v>419</v>
      </c>
      <c r="O73" t="s">
        <v>1596</v>
      </c>
      <c r="P73">
        <v>7.4155037093908996E-5</v>
      </c>
      <c r="Q73" t="s">
        <v>251</v>
      </c>
      <c r="S73" t="s">
        <v>420</v>
      </c>
      <c r="T73" t="s">
        <v>1596</v>
      </c>
      <c r="U73">
        <v>8.455438974672028E-5</v>
      </c>
      <c r="V73" t="s">
        <v>251</v>
      </c>
      <c r="X73">
        <v>1.1415525114155251E-4</v>
      </c>
      <c r="Y73">
        <v>5.6352501470966035E-5</v>
      </c>
      <c r="Z73" t="s">
        <v>1596</v>
      </c>
      <c r="AA73" t="s">
        <v>25</v>
      </c>
      <c r="AC73" t="s">
        <v>22</v>
      </c>
      <c r="AD73" t="s">
        <v>1596</v>
      </c>
      <c r="AE73">
        <v>1.2580536669796777E-4</v>
      </c>
      <c r="AG73" t="s">
        <v>99</v>
      </c>
      <c r="AH73" t="s">
        <v>1596</v>
      </c>
      <c r="AI73">
        <v>0</v>
      </c>
    </row>
    <row r="74" spans="5:35" x14ac:dyDescent="0.45">
      <c r="E74" t="s">
        <v>1373</v>
      </c>
      <c r="G74" t="s">
        <v>155</v>
      </c>
      <c r="I74" t="s">
        <v>249</v>
      </c>
      <c r="J74" t="s">
        <v>1597</v>
      </c>
      <c r="K74">
        <v>0</v>
      </c>
      <c r="L74" t="s">
        <v>251</v>
      </c>
      <c r="N74" t="s">
        <v>419</v>
      </c>
      <c r="O74" t="s">
        <v>1597</v>
      </c>
      <c r="P74">
        <v>8.1439934298499668E-5</v>
      </c>
      <c r="Q74" t="s">
        <v>251</v>
      </c>
      <c r="S74" t="s">
        <v>420</v>
      </c>
      <c r="T74" t="s">
        <v>1597</v>
      </c>
      <c r="U74">
        <v>9.5956765413074082E-5</v>
      </c>
      <c r="V74" t="s">
        <v>251</v>
      </c>
      <c r="X74">
        <v>1.1415525114155251E-4</v>
      </c>
      <c r="Y74">
        <v>2.9833677249334962E-5</v>
      </c>
      <c r="Z74" t="s">
        <v>1597</v>
      </c>
      <c r="AA74" t="s">
        <v>25</v>
      </c>
      <c r="AC74" t="s">
        <v>22</v>
      </c>
      <c r="AD74" t="s">
        <v>1597</v>
      </c>
      <c r="AE74">
        <v>1.3630118342702384E-4</v>
      </c>
      <c r="AG74" t="s">
        <v>99</v>
      </c>
      <c r="AH74" t="s">
        <v>1597</v>
      </c>
      <c r="AI74">
        <v>0</v>
      </c>
    </row>
    <row r="75" spans="5:35" x14ac:dyDescent="0.45">
      <c r="E75" t="s">
        <v>1374</v>
      </c>
      <c r="G75" t="s">
        <v>155</v>
      </c>
      <c r="I75" t="s">
        <v>249</v>
      </c>
      <c r="J75" t="s">
        <v>1598</v>
      </c>
      <c r="K75">
        <v>0</v>
      </c>
      <c r="L75" t="s">
        <v>251</v>
      </c>
      <c r="N75" t="s">
        <v>419</v>
      </c>
      <c r="O75" t="s">
        <v>1598</v>
      </c>
      <c r="P75">
        <v>8.4591746982718495E-5</v>
      </c>
      <c r="Q75" t="s">
        <v>251</v>
      </c>
      <c r="S75" t="s">
        <v>420</v>
      </c>
      <c r="T75" t="s">
        <v>1598</v>
      </c>
      <c r="U75">
        <v>1.020613004567E-4</v>
      </c>
      <c r="V75" t="s">
        <v>251</v>
      </c>
      <c r="X75">
        <v>1.1415525114155251E-4</v>
      </c>
      <c r="Y75">
        <v>2.1546544680075254E-5</v>
      </c>
      <c r="Z75" t="s">
        <v>1598</v>
      </c>
      <c r="AA75" t="s">
        <v>25</v>
      </c>
      <c r="AC75" t="s">
        <v>22</v>
      </c>
      <c r="AD75" t="s">
        <v>1598</v>
      </c>
      <c r="AE75">
        <v>1.3529449044903831E-4</v>
      </c>
      <c r="AG75" t="s">
        <v>99</v>
      </c>
      <c r="AH75" t="s">
        <v>1598</v>
      </c>
      <c r="AI75">
        <v>0</v>
      </c>
    </row>
    <row r="76" spans="5:35" x14ac:dyDescent="0.45">
      <c r="E76" t="s">
        <v>1375</v>
      </c>
      <c r="G76" t="s">
        <v>155</v>
      </c>
      <c r="I76" t="s">
        <v>249</v>
      </c>
      <c r="J76" t="s">
        <v>1599</v>
      </c>
      <c r="K76">
        <v>0</v>
      </c>
      <c r="L76" t="s">
        <v>251</v>
      </c>
      <c r="N76" t="s">
        <v>419</v>
      </c>
      <c r="O76" t="s">
        <v>1599</v>
      </c>
      <c r="P76">
        <v>8.5354458972413132E-5</v>
      </c>
      <c r="Q76" t="s">
        <v>251</v>
      </c>
      <c r="S76" t="s">
        <v>420</v>
      </c>
      <c r="T76" t="s">
        <v>1599</v>
      </c>
      <c r="U76">
        <v>1.030662208488E-4</v>
      </c>
      <c r="V76" t="s">
        <v>251</v>
      </c>
      <c r="X76">
        <v>1.1415525114155251E-4</v>
      </c>
      <c r="Y76">
        <v>1.4916838624667481E-5</v>
      </c>
      <c r="Z76" t="s">
        <v>1599</v>
      </c>
      <c r="AA76" t="s">
        <v>25</v>
      </c>
      <c r="AC76" t="s">
        <v>22</v>
      </c>
      <c r="AD76" t="s">
        <v>1599</v>
      </c>
      <c r="AE76">
        <v>1.3119028061571276E-4</v>
      </c>
      <c r="AG76" t="s">
        <v>99</v>
      </c>
      <c r="AH76" t="s">
        <v>1599</v>
      </c>
      <c r="AI76">
        <v>0</v>
      </c>
    </row>
    <row r="77" spans="5:35" x14ac:dyDescent="0.45">
      <c r="E77" t="s">
        <v>1376</v>
      </c>
      <c r="G77" t="s">
        <v>155</v>
      </c>
      <c r="I77" t="s">
        <v>249</v>
      </c>
      <c r="J77" t="s">
        <v>1600</v>
      </c>
      <c r="K77">
        <v>0</v>
      </c>
      <c r="L77" t="s">
        <v>251</v>
      </c>
      <c r="N77" t="s">
        <v>419</v>
      </c>
      <c r="O77" t="s">
        <v>1600</v>
      </c>
      <c r="P77">
        <v>8.4301250728656185E-5</v>
      </c>
      <c r="Q77" t="s">
        <v>251</v>
      </c>
      <c r="S77" t="s">
        <v>420</v>
      </c>
      <c r="T77" t="s">
        <v>1600</v>
      </c>
      <c r="U77">
        <v>1.095928135904E-4</v>
      </c>
      <c r="V77" t="s">
        <v>251</v>
      </c>
      <c r="X77">
        <v>1.1415525114155251E-4</v>
      </c>
      <c r="Y77">
        <v>1.6574265138519424E-5</v>
      </c>
      <c r="Z77" t="s">
        <v>1600</v>
      </c>
      <c r="AA77" t="s">
        <v>25</v>
      </c>
      <c r="AC77" t="s">
        <v>22</v>
      </c>
      <c r="AD77" t="s">
        <v>1600</v>
      </c>
      <c r="AE77">
        <v>1.3130941587937968E-4</v>
      </c>
      <c r="AG77" t="s">
        <v>99</v>
      </c>
      <c r="AH77" t="s">
        <v>1600</v>
      </c>
      <c r="AI77">
        <v>0</v>
      </c>
    </row>
    <row r="78" spans="5:35" x14ac:dyDescent="0.45">
      <c r="E78" t="s">
        <v>1377</v>
      </c>
      <c r="G78" t="s">
        <v>155</v>
      </c>
      <c r="I78" t="s">
        <v>249</v>
      </c>
      <c r="J78" t="s">
        <v>1601</v>
      </c>
      <c r="K78">
        <v>0</v>
      </c>
      <c r="L78" t="s">
        <v>251</v>
      </c>
      <c r="N78" t="s">
        <v>419</v>
      </c>
      <c r="O78" t="s">
        <v>1601</v>
      </c>
      <c r="P78">
        <v>8.2056265333692519E-5</v>
      </c>
      <c r="Q78" t="s">
        <v>251</v>
      </c>
      <c r="S78" t="s">
        <v>420</v>
      </c>
      <c r="T78" t="s">
        <v>1601</v>
      </c>
      <c r="U78">
        <v>1.2513336905320001E-4</v>
      </c>
      <c r="V78" t="s">
        <v>251</v>
      </c>
      <c r="X78">
        <v>1.1415525114155251E-4</v>
      </c>
      <c r="Y78">
        <v>1.4585353321897093E-5</v>
      </c>
      <c r="Z78" t="s">
        <v>1601</v>
      </c>
      <c r="AA78" t="s">
        <v>25</v>
      </c>
      <c r="AC78" t="s">
        <v>22</v>
      </c>
      <c r="AD78" t="s">
        <v>1601</v>
      </c>
      <c r="AE78">
        <v>1.3071373956104505E-4</v>
      </c>
      <c r="AG78" t="s">
        <v>99</v>
      </c>
      <c r="AH78" t="s">
        <v>1601</v>
      </c>
      <c r="AI78">
        <v>0</v>
      </c>
    </row>
    <row r="79" spans="5:35" x14ac:dyDescent="0.45">
      <c r="E79" t="s">
        <v>1378</v>
      </c>
      <c r="G79" t="s">
        <v>155</v>
      </c>
      <c r="I79" t="s">
        <v>249</v>
      </c>
      <c r="J79" t="s">
        <v>1602</v>
      </c>
      <c r="K79">
        <v>0</v>
      </c>
      <c r="L79" t="s">
        <v>251</v>
      </c>
      <c r="N79" t="s">
        <v>419</v>
      </c>
      <c r="O79" t="s">
        <v>1602</v>
      </c>
      <c r="P79">
        <v>7.804026469906588E-5</v>
      </c>
      <c r="Q79" t="s">
        <v>251</v>
      </c>
      <c r="S79" t="s">
        <v>420</v>
      </c>
      <c r="T79" t="s">
        <v>1602</v>
      </c>
      <c r="U79">
        <v>1.365733523982E-4</v>
      </c>
      <c r="V79" t="s">
        <v>251</v>
      </c>
      <c r="X79">
        <v>1.1415525114155251E-4</v>
      </c>
      <c r="Y79">
        <v>2.1215059377304864E-5</v>
      </c>
      <c r="Z79" t="s">
        <v>1602</v>
      </c>
      <c r="AA79" t="s">
        <v>25</v>
      </c>
      <c r="AC79" t="s">
        <v>22</v>
      </c>
      <c r="AD79" t="s">
        <v>1602</v>
      </c>
      <c r="AE79">
        <v>1.3052312313917796E-4</v>
      </c>
      <c r="AG79" t="s">
        <v>99</v>
      </c>
      <c r="AH79" t="s">
        <v>1602</v>
      </c>
      <c r="AI79">
        <v>0</v>
      </c>
    </row>
    <row r="80" spans="5:35" x14ac:dyDescent="0.45">
      <c r="E80" t="s">
        <v>1379</v>
      </c>
      <c r="G80" t="s">
        <v>155</v>
      </c>
      <c r="I80" t="s">
        <v>249</v>
      </c>
      <c r="J80" t="s">
        <v>1603</v>
      </c>
      <c r="K80">
        <v>0</v>
      </c>
      <c r="L80" t="s">
        <v>251</v>
      </c>
      <c r="N80" t="s">
        <v>419</v>
      </c>
      <c r="O80" t="s">
        <v>1603</v>
      </c>
      <c r="P80">
        <v>7.5091141046313412E-5</v>
      </c>
      <c r="Q80" t="s">
        <v>251</v>
      </c>
      <c r="S80" t="s">
        <v>420</v>
      </c>
      <c r="T80" t="s">
        <v>1603</v>
      </c>
      <c r="U80">
        <v>1.3985705931980001E-4</v>
      </c>
      <c r="V80" t="s">
        <v>251</v>
      </c>
      <c r="X80">
        <v>1.1415525114155251E-4</v>
      </c>
      <c r="Y80">
        <v>5.7678442682047593E-5</v>
      </c>
      <c r="Z80" t="s">
        <v>1603</v>
      </c>
      <c r="AA80" t="s">
        <v>25</v>
      </c>
      <c r="AC80" t="s">
        <v>22</v>
      </c>
      <c r="AD80" t="s">
        <v>1603</v>
      </c>
      <c r="AE80">
        <v>1.3052312313917796E-4</v>
      </c>
      <c r="AG80" t="s">
        <v>99</v>
      </c>
      <c r="AH80" t="s">
        <v>1603</v>
      </c>
      <c r="AI80">
        <v>0</v>
      </c>
    </row>
    <row r="81" spans="5:35" x14ac:dyDescent="0.45">
      <c r="E81" t="s">
        <v>1380</v>
      </c>
      <c r="G81" t="s">
        <v>155</v>
      </c>
      <c r="I81" t="s">
        <v>249</v>
      </c>
      <c r="J81" t="s">
        <v>1604</v>
      </c>
      <c r="K81">
        <v>0</v>
      </c>
      <c r="L81" t="s">
        <v>251</v>
      </c>
      <c r="N81" t="s">
        <v>419</v>
      </c>
      <c r="O81" t="s">
        <v>1604</v>
      </c>
      <c r="P81">
        <v>7.0398298958350072E-5</v>
      </c>
      <c r="Q81" t="s">
        <v>251</v>
      </c>
      <c r="S81" t="s">
        <v>420</v>
      </c>
      <c r="T81" t="s">
        <v>1604</v>
      </c>
      <c r="U81">
        <v>1.436574988834E-4</v>
      </c>
      <c r="V81" t="s">
        <v>251</v>
      </c>
      <c r="X81">
        <v>1.1415525114155251E-4</v>
      </c>
      <c r="Y81">
        <v>1.6905750441289813E-4</v>
      </c>
      <c r="Z81" t="s">
        <v>1604</v>
      </c>
      <c r="AA81" t="s">
        <v>25</v>
      </c>
      <c r="AC81" t="s">
        <v>22</v>
      </c>
      <c r="AD81" t="s">
        <v>1604</v>
      </c>
      <c r="AE81">
        <v>1.3073756661377846E-4</v>
      </c>
      <c r="AG81" t="s">
        <v>99</v>
      </c>
      <c r="AH81" t="s">
        <v>1604</v>
      </c>
      <c r="AI81">
        <v>0</v>
      </c>
    </row>
    <row r="82" spans="5:35" x14ac:dyDescent="0.45">
      <c r="E82" t="s">
        <v>1381</v>
      </c>
      <c r="G82" t="s">
        <v>155</v>
      </c>
      <c r="I82" t="s">
        <v>249</v>
      </c>
      <c r="J82" t="s">
        <v>1605</v>
      </c>
      <c r="K82">
        <v>3.7719530001832748E-5</v>
      </c>
      <c r="L82" t="s">
        <v>251</v>
      </c>
      <c r="N82" t="s">
        <v>419</v>
      </c>
      <c r="O82" t="s">
        <v>1605</v>
      </c>
      <c r="P82">
        <v>6.8320911903875094E-5</v>
      </c>
      <c r="Q82" t="s">
        <v>251</v>
      </c>
      <c r="S82" t="s">
        <v>420</v>
      </c>
      <c r="T82" t="s">
        <v>1605</v>
      </c>
      <c r="U82">
        <v>1.293732809581E-4</v>
      </c>
      <c r="V82" t="s">
        <v>251</v>
      </c>
      <c r="X82">
        <v>1.1415525114155251E-4</v>
      </c>
      <c r="Y82">
        <v>1.9060404909297337E-4</v>
      </c>
      <c r="Z82" t="s">
        <v>1605</v>
      </c>
      <c r="AA82" t="s">
        <v>25</v>
      </c>
      <c r="AC82" t="s">
        <v>22</v>
      </c>
      <c r="AD82" t="s">
        <v>1605</v>
      </c>
      <c r="AE82">
        <v>1.3239950354193203E-4</v>
      </c>
      <c r="AG82" t="s">
        <v>99</v>
      </c>
      <c r="AH82" t="s">
        <v>1605</v>
      </c>
      <c r="AI82">
        <v>0</v>
      </c>
    </row>
    <row r="83" spans="5:35" x14ac:dyDescent="0.45">
      <c r="E83" t="s">
        <v>1382</v>
      </c>
      <c r="G83" t="s">
        <v>155</v>
      </c>
      <c r="I83" t="s">
        <v>249</v>
      </c>
      <c r="J83" t="s">
        <v>1606</v>
      </c>
      <c r="K83">
        <v>1.2471788978149999E-4</v>
      </c>
      <c r="L83" t="s">
        <v>251</v>
      </c>
      <c r="N83" t="s">
        <v>419</v>
      </c>
      <c r="O83" t="s">
        <v>1606</v>
      </c>
      <c r="P83">
        <v>6.6925824008403449E-5</v>
      </c>
      <c r="Q83" t="s">
        <v>251</v>
      </c>
      <c r="S83" t="s">
        <v>420</v>
      </c>
      <c r="T83" t="s">
        <v>1606</v>
      </c>
      <c r="U83">
        <v>1.2974870022489999E-4</v>
      </c>
      <c r="V83" t="s">
        <v>251</v>
      </c>
      <c r="X83">
        <v>1.1415525114155251E-4</v>
      </c>
      <c r="Y83">
        <v>1.4585353321897094E-4</v>
      </c>
      <c r="Z83" t="s">
        <v>1606</v>
      </c>
      <c r="AA83" t="s">
        <v>25</v>
      </c>
      <c r="AC83" t="s">
        <v>22</v>
      </c>
      <c r="AD83" t="s">
        <v>1606</v>
      </c>
      <c r="AE83">
        <v>1.3322153686123382E-4</v>
      </c>
      <c r="AG83" t="s">
        <v>99</v>
      </c>
      <c r="AH83" t="s">
        <v>1606</v>
      </c>
      <c r="AI83">
        <v>0</v>
      </c>
    </row>
    <row r="84" spans="5:35" x14ac:dyDescent="0.45">
      <c r="E84" t="s">
        <v>1383</v>
      </c>
      <c r="G84" t="s">
        <v>155</v>
      </c>
      <c r="I84" t="s">
        <v>249</v>
      </c>
      <c r="J84" t="s">
        <v>1607</v>
      </c>
      <c r="K84">
        <v>1.6471406420730001E-4</v>
      </c>
      <c r="L84" t="s">
        <v>251</v>
      </c>
      <c r="N84" t="s">
        <v>419</v>
      </c>
      <c r="O84" t="s">
        <v>1607</v>
      </c>
      <c r="P84">
        <v>6.0450058917603427E-5</v>
      </c>
      <c r="Q84" t="s">
        <v>251</v>
      </c>
      <c r="S84" t="s">
        <v>420</v>
      </c>
      <c r="T84" t="s">
        <v>1607</v>
      </c>
      <c r="U84">
        <v>1.287598121901E-4</v>
      </c>
      <c r="V84" t="s">
        <v>251</v>
      </c>
      <c r="X84">
        <v>1.1415525114155251E-4</v>
      </c>
      <c r="Y84">
        <v>1.4452759200788939E-4</v>
      </c>
      <c r="Z84" t="s">
        <v>1607</v>
      </c>
      <c r="AA84" t="s">
        <v>25</v>
      </c>
      <c r="AC84" t="s">
        <v>22</v>
      </c>
      <c r="AD84" t="s">
        <v>1607</v>
      </c>
      <c r="AE84">
        <v>1.3415674868101919E-4</v>
      </c>
      <c r="AG84" t="s">
        <v>99</v>
      </c>
      <c r="AH84" t="s">
        <v>1607</v>
      </c>
      <c r="AI84">
        <v>0</v>
      </c>
    </row>
    <row r="85" spans="5:35" x14ac:dyDescent="0.45">
      <c r="E85" t="s">
        <v>1384</v>
      </c>
      <c r="G85" t="s">
        <v>155</v>
      </c>
      <c r="I85" t="s">
        <v>249</v>
      </c>
      <c r="J85" t="s">
        <v>1608</v>
      </c>
      <c r="K85">
        <v>1.8327755395779999E-4</v>
      </c>
      <c r="L85" t="s">
        <v>251</v>
      </c>
      <c r="N85" t="s">
        <v>419</v>
      </c>
      <c r="O85" t="s">
        <v>1608</v>
      </c>
      <c r="P85">
        <v>6.1223250677341779E-5</v>
      </c>
      <c r="Q85" t="s">
        <v>251</v>
      </c>
      <c r="S85" t="s">
        <v>420</v>
      </c>
      <c r="T85" t="s">
        <v>1608</v>
      </c>
      <c r="U85">
        <v>1.286129220589E-4</v>
      </c>
      <c r="V85" t="s">
        <v>251</v>
      </c>
      <c r="X85">
        <v>1.1415525114155251E-4</v>
      </c>
      <c r="Y85">
        <v>1.408812536774151E-4</v>
      </c>
      <c r="Z85" t="s">
        <v>1608</v>
      </c>
      <c r="AA85" t="s">
        <v>25</v>
      </c>
      <c r="AC85" t="s">
        <v>22</v>
      </c>
      <c r="AD85" t="s">
        <v>1608</v>
      </c>
      <c r="AE85">
        <v>1.3419248926011925E-4</v>
      </c>
      <c r="AG85" t="s">
        <v>99</v>
      </c>
      <c r="AH85" t="s">
        <v>1608</v>
      </c>
      <c r="AI85">
        <v>0</v>
      </c>
    </row>
    <row r="86" spans="5:35" x14ac:dyDescent="0.45">
      <c r="E86" t="s">
        <v>1385</v>
      </c>
      <c r="G86" t="s">
        <v>155</v>
      </c>
      <c r="I86" t="s">
        <v>249</v>
      </c>
      <c r="J86" t="s">
        <v>1609</v>
      </c>
      <c r="K86">
        <v>2.054213492138E-4</v>
      </c>
      <c r="L86" t="s">
        <v>251</v>
      </c>
      <c r="N86" t="s">
        <v>419</v>
      </c>
      <c r="O86" t="s">
        <v>1609</v>
      </c>
      <c r="P86">
        <v>5.5399503665923322E-5</v>
      </c>
      <c r="Q86" t="s">
        <v>251</v>
      </c>
      <c r="S86" t="s">
        <v>420</v>
      </c>
      <c r="T86" t="s">
        <v>1609</v>
      </c>
      <c r="U86">
        <v>1.274002152005E-4</v>
      </c>
      <c r="V86" t="s">
        <v>251</v>
      </c>
      <c r="X86">
        <v>1.1415525114155251E-4</v>
      </c>
      <c r="Y86">
        <v>1.4054976837464471E-4</v>
      </c>
      <c r="Z86" t="s">
        <v>1609</v>
      </c>
      <c r="AA86" t="s">
        <v>25</v>
      </c>
      <c r="AC86" t="s">
        <v>22</v>
      </c>
      <c r="AD86" t="s">
        <v>1609</v>
      </c>
      <c r="AE86">
        <v>1.2959386808257599E-4</v>
      </c>
      <c r="AG86" t="s">
        <v>99</v>
      </c>
      <c r="AH86" t="s">
        <v>1609</v>
      </c>
      <c r="AI86">
        <v>0</v>
      </c>
    </row>
    <row r="87" spans="5:35" x14ac:dyDescent="0.45">
      <c r="E87" t="s">
        <v>1386</v>
      </c>
      <c r="G87" t="s">
        <v>155</v>
      </c>
      <c r="I87" t="s">
        <v>249</v>
      </c>
      <c r="J87" t="s">
        <v>1610</v>
      </c>
      <c r="K87">
        <v>2.2511805379700001E-4</v>
      </c>
      <c r="L87" t="s">
        <v>251</v>
      </c>
      <c r="N87" t="s">
        <v>419</v>
      </c>
      <c r="O87" t="s">
        <v>1610</v>
      </c>
      <c r="P87">
        <v>5.1277334599274642E-5</v>
      </c>
      <c r="Q87" t="s">
        <v>251</v>
      </c>
      <c r="S87" t="s">
        <v>420</v>
      </c>
      <c r="T87" t="s">
        <v>1610</v>
      </c>
      <c r="U87">
        <v>1.2467737785880001E-4</v>
      </c>
      <c r="V87" t="s">
        <v>251</v>
      </c>
      <c r="X87">
        <v>1.1415525114155251E-4</v>
      </c>
      <c r="Y87">
        <v>1.4253868019126702E-4</v>
      </c>
      <c r="Z87" t="s">
        <v>1610</v>
      </c>
      <c r="AA87" t="s">
        <v>25</v>
      </c>
      <c r="AC87" t="s">
        <v>22</v>
      </c>
      <c r="AD87" t="s">
        <v>1610</v>
      </c>
      <c r="AE87">
        <v>1.2478080343043219E-4</v>
      </c>
      <c r="AG87" t="s">
        <v>99</v>
      </c>
      <c r="AH87" t="s">
        <v>1610</v>
      </c>
      <c r="AI87">
        <v>0</v>
      </c>
    </row>
    <row r="88" spans="5:35" x14ac:dyDescent="0.45">
      <c r="E88" t="s">
        <v>1387</v>
      </c>
      <c r="G88" t="s">
        <v>155</v>
      </c>
      <c r="I88" t="s">
        <v>249</v>
      </c>
      <c r="J88" t="s">
        <v>1611</v>
      </c>
      <c r="K88">
        <v>2.039233413466E-4</v>
      </c>
      <c r="L88" t="s">
        <v>251</v>
      </c>
      <c r="N88" t="s">
        <v>419</v>
      </c>
      <c r="O88" t="s">
        <v>1611</v>
      </c>
      <c r="P88">
        <v>5.1199697935738048E-5</v>
      </c>
      <c r="Q88" t="s">
        <v>251</v>
      </c>
      <c r="S88" t="s">
        <v>420</v>
      </c>
      <c r="T88" t="s">
        <v>1611</v>
      </c>
      <c r="U88">
        <v>1.142143752056E-4</v>
      </c>
      <c r="V88" t="s">
        <v>251</v>
      </c>
      <c r="X88">
        <v>1.1415525114155251E-4</v>
      </c>
      <c r="Y88">
        <v>1.4883690094390442E-4</v>
      </c>
      <c r="Z88" t="s">
        <v>1611</v>
      </c>
      <c r="AA88" t="s">
        <v>25</v>
      </c>
      <c r="AC88" t="s">
        <v>22</v>
      </c>
      <c r="AD88" t="s">
        <v>1611</v>
      </c>
      <c r="AE88">
        <v>1.1424924612227607E-4</v>
      </c>
      <c r="AG88" t="s">
        <v>99</v>
      </c>
      <c r="AH88" t="s">
        <v>1611</v>
      </c>
      <c r="AI88">
        <v>0</v>
      </c>
    </row>
    <row r="89" spans="5:35" x14ac:dyDescent="0.45">
      <c r="E89" t="s">
        <v>1388</v>
      </c>
      <c r="G89" t="s">
        <v>155</v>
      </c>
      <c r="I89" t="s">
        <v>249</v>
      </c>
      <c r="J89" t="s">
        <v>1612</v>
      </c>
      <c r="K89">
        <v>1.603000405667E-4</v>
      </c>
      <c r="L89" t="s">
        <v>251</v>
      </c>
      <c r="N89" t="s">
        <v>419</v>
      </c>
      <c r="O89" t="s">
        <v>1612</v>
      </c>
      <c r="P89">
        <v>5.2350332430711802E-5</v>
      </c>
      <c r="Q89" t="s">
        <v>251</v>
      </c>
      <c r="S89" t="s">
        <v>420</v>
      </c>
      <c r="T89" t="s">
        <v>1612</v>
      </c>
      <c r="U89">
        <v>9.4866116432974206E-5</v>
      </c>
      <c r="V89" t="s">
        <v>251</v>
      </c>
      <c r="X89">
        <v>1.1415525114155251E-4</v>
      </c>
      <c r="Y89">
        <v>1.5049432745775637E-4</v>
      </c>
      <c r="Z89" t="s">
        <v>1612</v>
      </c>
      <c r="AA89" t="s">
        <v>25</v>
      </c>
      <c r="AC89" t="s">
        <v>22</v>
      </c>
      <c r="AD89" t="s">
        <v>1612</v>
      </c>
      <c r="AE89">
        <v>1.0452185184387167E-4</v>
      </c>
      <c r="AG89" t="s">
        <v>99</v>
      </c>
      <c r="AH89" t="s">
        <v>1612</v>
      </c>
      <c r="AI89">
        <v>0</v>
      </c>
    </row>
    <row r="90" spans="5:35" x14ac:dyDescent="0.45">
      <c r="E90" t="s">
        <v>1389</v>
      </c>
      <c r="G90" t="s">
        <v>155</v>
      </c>
      <c r="I90" t="s">
        <v>249</v>
      </c>
      <c r="J90" t="s">
        <v>1613</v>
      </c>
      <c r="K90">
        <v>1.0946199966639999E-4</v>
      </c>
      <c r="L90" t="s">
        <v>251</v>
      </c>
      <c r="N90" t="s">
        <v>419</v>
      </c>
      <c r="O90" t="s">
        <v>1613</v>
      </c>
      <c r="P90">
        <v>5.161894575269316E-5</v>
      </c>
      <c r="Q90" t="s">
        <v>251</v>
      </c>
      <c r="S90" t="s">
        <v>420</v>
      </c>
      <c r="T90" t="s">
        <v>1613</v>
      </c>
      <c r="U90">
        <v>7.1432361882847923E-5</v>
      </c>
      <c r="V90" t="s">
        <v>251</v>
      </c>
      <c r="X90">
        <v>1.1415525114155251E-4</v>
      </c>
      <c r="Y90">
        <v>1.7237235744060203E-4</v>
      </c>
      <c r="Z90" t="s">
        <v>1613</v>
      </c>
      <c r="AA90" t="s">
        <v>25</v>
      </c>
      <c r="AC90" t="s">
        <v>22</v>
      </c>
      <c r="AD90" t="s">
        <v>1613</v>
      </c>
      <c r="AE90">
        <v>8.8575596802053833E-5</v>
      </c>
      <c r="AG90" t="s">
        <v>99</v>
      </c>
      <c r="AH90" t="s">
        <v>1613</v>
      </c>
      <c r="AI90">
        <v>0</v>
      </c>
    </row>
    <row r="91" spans="5:35" x14ac:dyDescent="0.45">
      <c r="E91" t="s">
        <v>1390</v>
      </c>
      <c r="G91" t="s">
        <v>155</v>
      </c>
      <c r="I91" t="s">
        <v>249</v>
      </c>
      <c r="J91" t="s">
        <v>1614</v>
      </c>
      <c r="K91">
        <v>7.6474711857025407E-5</v>
      </c>
      <c r="L91" t="s">
        <v>251</v>
      </c>
      <c r="N91" t="s">
        <v>419</v>
      </c>
      <c r="O91" t="s">
        <v>1614</v>
      </c>
      <c r="P91">
        <v>4.8457245364980416E-5</v>
      </c>
      <c r="Q91" t="s">
        <v>251</v>
      </c>
      <c r="S91" t="s">
        <v>420</v>
      </c>
      <c r="T91" t="s">
        <v>1614</v>
      </c>
      <c r="U91">
        <v>6.5093456740108538E-5</v>
      </c>
      <c r="V91" t="s">
        <v>251</v>
      </c>
      <c r="X91">
        <v>1.1415525114155251E-4</v>
      </c>
      <c r="Y91">
        <v>2.2209515285616027E-4</v>
      </c>
      <c r="Z91" t="s">
        <v>1614</v>
      </c>
      <c r="AA91" t="s">
        <v>25</v>
      </c>
      <c r="AC91" t="s">
        <v>22</v>
      </c>
      <c r="AD91" t="s">
        <v>1614</v>
      </c>
      <c r="AE91">
        <v>8.4602435758761893E-5</v>
      </c>
      <c r="AG91" t="s">
        <v>99</v>
      </c>
      <c r="AH91" t="s">
        <v>1614</v>
      </c>
      <c r="AI91">
        <v>0</v>
      </c>
    </row>
    <row r="92" spans="5:35" x14ac:dyDescent="0.45">
      <c r="E92" t="s">
        <v>1391</v>
      </c>
      <c r="G92" t="s">
        <v>155</v>
      </c>
      <c r="I92" t="s">
        <v>249</v>
      </c>
      <c r="J92" t="s">
        <v>1615</v>
      </c>
      <c r="K92">
        <v>4.9681083132115599E-5</v>
      </c>
      <c r="L92" t="s">
        <v>251</v>
      </c>
      <c r="N92" t="s">
        <v>419</v>
      </c>
      <c r="O92" t="s">
        <v>1615</v>
      </c>
      <c r="P92">
        <v>4.4723952920225365E-5</v>
      </c>
      <c r="Q92" t="s">
        <v>251</v>
      </c>
      <c r="S92" t="s">
        <v>420</v>
      </c>
      <c r="T92" t="s">
        <v>1615</v>
      </c>
      <c r="U92">
        <v>6.6899248619340174E-5</v>
      </c>
      <c r="V92" t="s">
        <v>251</v>
      </c>
      <c r="X92">
        <v>1.1415525114155251E-4</v>
      </c>
      <c r="Y92">
        <v>2.2209515285616027E-4</v>
      </c>
      <c r="Z92" t="s">
        <v>1615</v>
      </c>
      <c r="AA92" t="s">
        <v>25</v>
      </c>
      <c r="AC92" t="s">
        <v>22</v>
      </c>
      <c r="AD92" t="s">
        <v>1615</v>
      </c>
      <c r="AE92">
        <v>8.0474398872702949E-5</v>
      </c>
      <c r="AG92" t="s">
        <v>99</v>
      </c>
      <c r="AH92" t="s">
        <v>1615</v>
      </c>
      <c r="AI92">
        <v>0</v>
      </c>
    </row>
    <row r="93" spans="5:35" x14ac:dyDescent="0.45">
      <c r="E93" t="s">
        <v>1392</v>
      </c>
      <c r="G93" t="s">
        <v>155</v>
      </c>
      <c r="I93" t="s">
        <v>249</v>
      </c>
      <c r="J93" t="s">
        <v>1616</v>
      </c>
      <c r="K93">
        <v>6.8817619354509523E-6</v>
      </c>
      <c r="L93" t="s">
        <v>251</v>
      </c>
      <c r="N93" t="s">
        <v>419</v>
      </c>
      <c r="O93" t="s">
        <v>1616</v>
      </c>
      <c r="P93">
        <v>4.63360250174881E-5</v>
      </c>
      <c r="Q93" t="s">
        <v>251</v>
      </c>
      <c r="S93" t="s">
        <v>420</v>
      </c>
      <c r="T93" t="s">
        <v>1616</v>
      </c>
      <c r="U93">
        <v>7.2370008240825584E-5</v>
      </c>
      <c r="V93" t="s">
        <v>251</v>
      </c>
      <c r="X93">
        <v>1.1415525114155251E-4</v>
      </c>
      <c r="Y93">
        <v>1.7237235744060203E-4</v>
      </c>
      <c r="Z93" t="s">
        <v>1616</v>
      </c>
      <c r="AA93" t="s">
        <v>25</v>
      </c>
      <c r="AC93" t="s">
        <v>22</v>
      </c>
      <c r="AD93" t="s">
        <v>1616</v>
      </c>
      <c r="AE93">
        <v>8.1689578562105583E-5</v>
      </c>
      <c r="AG93" t="s">
        <v>99</v>
      </c>
      <c r="AH93" t="s">
        <v>1616</v>
      </c>
      <c r="AI93">
        <v>0</v>
      </c>
    </row>
    <row r="94" spans="5:35" x14ac:dyDescent="0.45">
      <c r="E94" t="s">
        <v>1393</v>
      </c>
      <c r="G94" t="s">
        <v>155</v>
      </c>
      <c r="I94" t="s">
        <v>249</v>
      </c>
      <c r="J94" t="s">
        <v>1617</v>
      </c>
      <c r="K94">
        <v>0</v>
      </c>
      <c r="L94" t="s">
        <v>251</v>
      </c>
      <c r="N94" t="s">
        <v>419</v>
      </c>
      <c r="O94" t="s">
        <v>1617</v>
      </c>
      <c r="P94">
        <v>5.8593703682625651E-5</v>
      </c>
      <c r="Q94" t="s">
        <v>251</v>
      </c>
      <c r="S94" t="s">
        <v>420</v>
      </c>
      <c r="T94" t="s">
        <v>1617</v>
      </c>
      <c r="U94">
        <v>7.1318324523793957E-5</v>
      </c>
      <c r="V94" t="s">
        <v>251</v>
      </c>
      <c r="X94">
        <v>1.1415525114155251E-4</v>
      </c>
      <c r="Y94">
        <v>1.5579809230208258E-4</v>
      </c>
      <c r="Z94" t="s">
        <v>1617</v>
      </c>
      <c r="AA94" t="s">
        <v>25</v>
      </c>
      <c r="AC94" t="s">
        <v>22</v>
      </c>
      <c r="AD94" t="s">
        <v>1617</v>
      </c>
      <c r="AE94">
        <v>8.2416303670473822E-5</v>
      </c>
      <c r="AG94" t="s">
        <v>99</v>
      </c>
      <c r="AH94" t="s">
        <v>1617</v>
      </c>
      <c r="AI94">
        <v>0</v>
      </c>
    </row>
    <row r="95" spans="5:35" x14ac:dyDescent="0.45">
      <c r="E95" t="s">
        <v>1394</v>
      </c>
      <c r="G95" t="s">
        <v>155</v>
      </c>
      <c r="I95" t="s">
        <v>249</v>
      </c>
      <c r="J95" t="s">
        <v>1618</v>
      </c>
      <c r="K95">
        <v>0</v>
      </c>
      <c r="L95" t="s">
        <v>251</v>
      </c>
      <c r="N95" t="s">
        <v>419</v>
      </c>
      <c r="O95" t="s">
        <v>1618</v>
      </c>
      <c r="P95">
        <v>6.4773122512772779E-5</v>
      </c>
      <c r="Q95" t="s">
        <v>251</v>
      </c>
      <c r="S95" t="s">
        <v>420</v>
      </c>
      <c r="T95" t="s">
        <v>1618</v>
      </c>
      <c r="U95">
        <v>6.208347677254608E-5</v>
      </c>
      <c r="V95" t="s">
        <v>251</v>
      </c>
      <c r="X95">
        <v>1.1415525114155251E-4</v>
      </c>
      <c r="Y95">
        <v>1.093901499142282E-4</v>
      </c>
      <c r="Z95" t="s">
        <v>1618</v>
      </c>
      <c r="AA95" t="s">
        <v>25</v>
      </c>
      <c r="AC95" t="s">
        <v>22</v>
      </c>
      <c r="AD95" t="s">
        <v>1618</v>
      </c>
      <c r="AE95">
        <v>9.8702094213742417E-5</v>
      </c>
      <c r="AG95" t="s">
        <v>99</v>
      </c>
      <c r="AH95" t="s">
        <v>1618</v>
      </c>
      <c r="AI95">
        <v>0</v>
      </c>
    </row>
    <row r="96" spans="5:35" x14ac:dyDescent="0.45">
      <c r="E96" t="s">
        <v>1395</v>
      </c>
      <c r="G96" t="s">
        <v>155</v>
      </c>
      <c r="I96" t="s">
        <v>249</v>
      </c>
      <c r="J96" t="s">
        <v>1619</v>
      </c>
      <c r="K96">
        <v>0</v>
      </c>
      <c r="L96" t="s">
        <v>251</v>
      </c>
      <c r="N96" t="s">
        <v>419</v>
      </c>
      <c r="O96" t="s">
        <v>1619</v>
      </c>
      <c r="P96">
        <v>7.0911466690124411E-5</v>
      </c>
      <c r="Q96" t="s">
        <v>251</v>
      </c>
      <c r="S96" t="s">
        <v>420</v>
      </c>
      <c r="T96" t="s">
        <v>1619</v>
      </c>
      <c r="U96">
        <v>6.9473414799902899E-5</v>
      </c>
      <c r="V96" t="s">
        <v>251</v>
      </c>
      <c r="X96">
        <v>1.1415525114155251E-4</v>
      </c>
      <c r="Y96">
        <v>7.9556472664893237E-5</v>
      </c>
      <c r="Z96" t="s">
        <v>1619</v>
      </c>
      <c r="AA96" t="s">
        <v>25</v>
      </c>
      <c r="AC96" t="s">
        <v>22</v>
      </c>
      <c r="AD96" t="s">
        <v>1619</v>
      </c>
      <c r="AE96">
        <v>1.1121725366195284E-4</v>
      </c>
      <c r="AG96" t="s">
        <v>99</v>
      </c>
      <c r="AH96" t="s">
        <v>1619</v>
      </c>
      <c r="AI96">
        <v>0</v>
      </c>
    </row>
    <row r="97" spans="5:35" x14ac:dyDescent="0.45">
      <c r="E97" t="s">
        <v>1396</v>
      </c>
      <c r="G97" t="s">
        <v>155</v>
      </c>
      <c r="I97" t="s">
        <v>249</v>
      </c>
      <c r="J97" t="s">
        <v>1620</v>
      </c>
      <c r="K97">
        <v>0</v>
      </c>
      <c r="L97" t="s">
        <v>251</v>
      </c>
      <c r="N97" t="s">
        <v>419</v>
      </c>
      <c r="O97" t="s">
        <v>1620</v>
      </c>
      <c r="P97">
        <v>7.8868498594165864E-5</v>
      </c>
      <c r="Q97" t="s">
        <v>251</v>
      </c>
      <c r="S97" t="s">
        <v>420</v>
      </c>
      <c r="T97" t="s">
        <v>1620</v>
      </c>
      <c r="U97">
        <v>7.2162379536874617E-5</v>
      </c>
      <c r="V97" t="s">
        <v>251</v>
      </c>
      <c r="X97">
        <v>1.1415525114155251E-4</v>
      </c>
      <c r="Y97">
        <v>5.6352501470966035E-5</v>
      </c>
      <c r="Z97" t="s">
        <v>1620</v>
      </c>
      <c r="AA97" t="s">
        <v>25</v>
      </c>
      <c r="AC97" t="s">
        <v>22</v>
      </c>
      <c r="AD97" t="s">
        <v>1620</v>
      </c>
      <c r="AE97">
        <v>1.2396472687431376E-4</v>
      </c>
      <c r="AG97" t="s">
        <v>99</v>
      </c>
      <c r="AH97" t="s">
        <v>1620</v>
      </c>
      <c r="AI97">
        <v>0</v>
      </c>
    </row>
    <row r="98" spans="5:35" x14ac:dyDescent="0.45">
      <c r="E98" t="s">
        <v>1397</v>
      </c>
      <c r="G98" t="s">
        <v>155</v>
      </c>
      <c r="I98" t="s">
        <v>249</v>
      </c>
      <c r="J98" t="s">
        <v>1621</v>
      </c>
      <c r="K98">
        <v>0</v>
      </c>
      <c r="L98" t="s">
        <v>251</v>
      </c>
      <c r="N98" t="s">
        <v>419</v>
      </c>
      <c r="O98" t="s">
        <v>1621</v>
      </c>
      <c r="P98">
        <v>8.4408131202496684E-5</v>
      </c>
      <c r="Q98" t="s">
        <v>251</v>
      </c>
      <c r="S98" t="s">
        <v>420</v>
      </c>
      <c r="T98" t="s">
        <v>1621</v>
      </c>
      <c r="U98">
        <v>7.2872432483313474E-5</v>
      </c>
      <c r="V98" t="s">
        <v>251</v>
      </c>
      <c r="X98">
        <v>1.1415525114155251E-4</v>
      </c>
      <c r="Y98">
        <v>2.9833677249334962E-5</v>
      </c>
      <c r="Z98" t="s">
        <v>1621</v>
      </c>
      <c r="AA98" t="s">
        <v>25</v>
      </c>
      <c r="AC98" t="s">
        <v>22</v>
      </c>
      <c r="AD98" t="s">
        <v>1621</v>
      </c>
      <c r="AE98">
        <v>1.3446650036655317E-4</v>
      </c>
      <c r="AG98" t="s">
        <v>99</v>
      </c>
      <c r="AH98" t="s">
        <v>1621</v>
      </c>
      <c r="AI98">
        <v>0</v>
      </c>
    </row>
    <row r="99" spans="5:35" x14ac:dyDescent="0.45">
      <c r="E99" t="s">
        <v>1398</v>
      </c>
      <c r="G99" t="s">
        <v>155</v>
      </c>
      <c r="I99" t="s">
        <v>249</v>
      </c>
      <c r="J99" t="s">
        <v>1622</v>
      </c>
      <c r="K99">
        <v>0</v>
      </c>
      <c r="L99" t="s">
        <v>251</v>
      </c>
      <c r="N99" t="s">
        <v>419</v>
      </c>
      <c r="O99" t="s">
        <v>1622</v>
      </c>
      <c r="P99">
        <v>9.0967224012667423E-5</v>
      </c>
      <c r="Q99" t="s">
        <v>251</v>
      </c>
      <c r="S99" t="s">
        <v>420</v>
      </c>
      <c r="T99" t="s">
        <v>1622</v>
      </c>
      <c r="U99">
        <v>7.4491717708956314E-5</v>
      </c>
      <c r="V99" t="s">
        <v>251</v>
      </c>
      <c r="X99">
        <v>1.1415525114155251E-4</v>
      </c>
      <c r="Y99">
        <v>2.1546544680075254E-5</v>
      </c>
      <c r="Z99" t="s">
        <v>1622</v>
      </c>
      <c r="AA99" t="s">
        <v>25</v>
      </c>
      <c r="AC99" t="s">
        <v>22</v>
      </c>
      <c r="AD99" t="s">
        <v>1622</v>
      </c>
      <c r="AE99">
        <v>1.3431758128696955E-4</v>
      </c>
      <c r="AG99" t="s">
        <v>99</v>
      </c>
      <c r="AH99" t="s">
        <v>1622</v>
      </c>
      <c r="AI99">
        <v>0</v>
      </c>
    </row>
    <row r="100" spans="5:35" x14ac:dyDescent="0.45">
      <c r="E100" t="s">
        <v>1399</v>
      </c>
      <c r="G100" t="s">
        <v>155</v>
      </c>
      <c r="I100" t="s">
        <v>249</v>
      </c>
      <c r="J100" t="s">
        <v>1623</v>
      </c>
      <c r="K100">
        <v>0</v>
      </c>
      <c r="L100" t="s">
        <v>251</v>
      </c>
      <c r="N100" t="s">
        <v>419</v>
      </c>
      <c r="O100" t="s">
        <v>1623</v>
      </c>
      <c r="P100">
        <v>9.4799666463841618E-5</v>
      </c>
      <c r="Q100" t="s">
        <v>251</v>
      </c>
      <c r="S100" t="s">
        <v>420</v>
      </c>
      <c r="T100" t="s">
        <v>1623</v>
      </c>
      <c r="U100">
        <v>7.7538581106970799E-5</v>
      </c>
      <c r="V100" t="s">
        <v>251</v>
      </c>
      <c r="X100">
        <v>1.1415525114155251E-4</v>
      </c>
      <c r="Y100">
        <v>1.4916838624667481E-5</v>
      </c>
      <c r="Z100" t="s">
        <v>1623</v>
      </c>
      <c r="AA100" t="s">
        <v>25</v>
      </c>
      <c r="AC100" t="s">
        <v>22</v>
      </c>
      <c r="AD100" t="s">
        <v>1623</v>
      </c>
      <c r="AE100">
        <v>1.3119028061571276E-4</v>
      </c>
      <c r="AG100" t="s">
        <v>99</v>
      </c>
      <c r="AH100" t="s">
        <v>1623</v>
      </c>
      <c r="AI100">
        <v>0</v>
      </c>
    </row>
    <row r="101" spans="5:35" x14ac:dyDescent="0.45">
      <c r="E101" t="s">
        <v>1400</v>
      </c>
      <c r="G101" t="s">
        <v>155</v>
      </c>
      <c r="I101" t="s">
        <v>249</v>
      </c>
      <c r="J101" t="s">
        <v>1624</v>
      </c>
      <c r="K101">
        <v>0</v>
      </c>
      <c r="L101" t="s">
        <v>251</v>
      </c>
      <c r="N101" t="s">
        <v>419</v>
      </c>
      <c r="O101" t="s">
        <v>1624</v>
      </c>
      <c r="P101">
        <v>9.562885457547748E-5</v>
      </c>
      <c r="Q101" t="s">
        <v>251</v>
      </c>
      <c r="S101" t="s">
        <v>420</v>
      </c>
      <c r="T101" t="s">
        <v>1624</v>
      </c>
      <c r="U101">
        <v>8.2912196655312553E-5</v>
      </c>
      <c r="V101" t="s">
        <v>251</v>
      </c>
      <c r="X101">
        <v>1.1415525114155251E-4</v>
      </c>
      <c r="Y101">
        <v>1.6574265138519424E-5</v>
      </c>
      <c r="Z101" t="s">
        <v>1624</v>
      </c>
      <c r="AA101" t="s">
        <v>25</v>
      </c>
      <c r="AC101" t="s">
        <v>22</v>
      </c>
      <c r="AD101" t="s">
        <v>1624</v>
      </c>
      <c r="AE101">
        <v>1.3152385935398013E-4</v>
      </c>
      <c r="AG101" t="s">
        <v>99</v>
      </c>
      <c r="AH101" t="s">
        <v>1624</v>
      </c>
      <c r="AI101">
        <v>0</v>
      </c>
    </row>
    <row r="102" spans="5:35" x14ac:dyDescent="0.45">
      <c r="E102" t="s">
        <v>1401</v>
      </c>
      <c r="G102" t="s">
        <v>155</v>
      </c>
      <c r="I102" t="s">
        <v>249</v>
      </c>
      <c r="J102" t="s">
        <v>1625</v>
      </c>
      <c r="K102">
        <v>0</v>
      </c>
      <c r="L102" t="s">
        <v>251</v>
      </c>
      <c r="N102" t="s">
        <v>419</v>
      </c>
      <c r="O102" t="s">
        <v>1625</v>
      </c>
      <c r="P102">
        <v>9.5974150405982441E-5</v>
      </c>
      <c r="Q102" t="s">
        <v>251</v>
      </c>
      <c r="S102" t="s">
        <v>420</v>
      </c>
      <c r="T102" t="s">
        <v>1625</v>
      </c>
      <c r="U102">
        <v>9.1366529470875556E-5</v>
      </c>
      <c r="V102" t="s">
        <v>251</v>
      </c>
      <c r="X102">
        <v>1.1415525114155251E-4</v>
      </c>
      <c r="Y102">
        <v>1.4585353321897093E-5</v>
      </c>
      <c r="Z102" t="s">
        <v>1625</v>
      </c>
      <c r="AA102" t="s">
        <v>25</v>
      </c>
      <c r="AC102" t="s">
        <v>22</v>
      </c>
      <c r="AD102" t="s">
        <v>1625</v>
      </c>
      <c r="AE102">
        <v>1.3152385935398013E-4</v>
      </c>
      <c r="AG102" t="s">
        <v>99</v>
      </c>
      <c r="AH102" t="s">
        <v>1625</v>
      </c>
      <c r="AI102">
        <v>0</v>
      </c>
    </row>
    <row r="103" spans="5:35" x14ac:dyDescent="0.45">
      <c r="E103" t="s">
        <v>1402</v>
      </c>
      <c r="G103" t="s">
        <v>155</v>
      </c>
      <c r="I103" t="s">
        <v>249</v>
      </c>
      <c r="J103" t="s">
        <v>1626</v>
      </c>
      <c r="K103">
        <v>0</v>
      </c>
      <c r="L103" t="s">
        <v>251</v>
      </c>
      <c r="N103" t="s">
        <v>419</v>
      </c>
      <c r="O103" t="s">
        <v>1626</v>
      </c>
      <c r="P103">
        <v>9.2886360884807557E-5</v>
      </c>
      <c r="Q103" t="s">
        <v>251</v>
      </c>
      <c r="S103" t="s">
        <v>420</v>
      </c>
      <c r="T103" t="s">
        <v>1626</v>
      </c>
      <c r="U103">
        <v>9.5415458857715937E-5</v>
      </c>
      <c r="V103" t="s">
        <v>251</v>
      </c>
      <c r="X103">
        <v>1.1415525114155251E-4</v>
      </c>
      <c r="Y103">
        <v>2.1215059377304864E-5</v>
      </c>
      <c r="Z103" t="s">
        <v>1626</v>
      </c>
      <c r="AA103" t="s">
        <v>25</v>
      </c>
      <c r="AC103" t="s">
        <v>22</v>
      </c>
      <c r="AD103" t="s">
        <v>1626</v>
      </c>
      <c r="AE103">
        <v>1.3133919969529644E-4</v>
      </c>
      <c r="AG103" t="s">
        <v>99</v>
      </c>
      <c r="AH103" t="s">
        <v>1626</v>
      </c>
      <c r="AI103">
        <v>0</v>
      </c>
    </row>
    <row r="104" spans="5:35" x14ac:dyDescent="0.45">
      <c r="E104" t="s">
        <v>1403</v>
      </c>
      <c r="G104" t="s">
        <v>155</v>
      </c>
      <c r="I104" t="s">
        <v>249</v>
      </c>
      <c r="J104" t="s">
        <v>1627</v>
      </c>
      <c r="K104">
        <v>0</v>
      </c>
      <c r="L104" t="s">
        <v>251</v>
      </c>
      <c r="N104" t="s">
        <v>419</v>
      </c>
      <c r="O104" t="s">
        <v>1627</v>
      </c>
      <c r="P104">
        <v>8.7550445109481323E-5</v>
      </c>
      <c r="Q104" t="s">
        <v>251</v>
      </c>
      <c r="S104" t="s">
        <v>420</v>
      </c>
      <c r="T104" t="s">
        <v>1627</v>
      </c>
      <c r="U104">
        <v>9.6500650150446881E-5</v>
      </c>
      <c r="V104" t="s">
        <v>251</v>
      </c>
      <c r="X104">
        <v>1.1415525114155251E-4</v>
      </c>
      <c r="Y104">
        <v>5.7678442682047593E-5</v>
      </c>
      <c r="Z104" t="s">
        <v>1627</v>
      </c>
      <c r="AA104" t="s">
        <v>25</v>
      </c>
      <c r="AC104" t="s">
        <v>22</v>
      </c>
      <c r="AD104" t="s">
        <v>1627</v>
      </c>
      <c r="AE104">
        <v>1.3156555669626357E-4</v>
      </c>
      <c r="AG104" t="s">
        <v>99</v>
      </c>
      <c r="AH104" t="s">
        <v>1627</v>
      </c>
      <c r="AI104">
        <v>0</v>
      </c>
    </row>
    <row r="105" spans="5:35" x14ac:dyDescent="0.45">
      <c r="E105" t="s">
        <v>1404</v>
      </c>
      <c r="G105" t="s">
        <v>155</v>
      </c>
      <c r="I105" t="s">
        <v>249</v>
      </c>
      <c r="J105" t="s">
        <v>1628</v>
      </c>
      <c r="K105">
        <v>0</v>
      </c>
      <c r="L105" t="s">
        <v>251</v>
      </c>
      <c r="N105" t="s">
        <v>419</v>
      </c>
      <c r="O105" t="s">
        <v>1628</v>
      </c>
      <c r="P105">
        <v>8.0911342550916545E-5</v>
      </c>
      <c r="Q105" t="s">
        <v>251</v>
      </c>
      <c r="S105" t="s">
        <v>420</v>
      </c>
      <c r="T105" t="s">
        <v>1628</v>
      </c>
      <c r="U105">
        <v>1.0310363293340001E-4</v>
      </c>
      <c r="V105" t="s">
        <v>251</v>
      </c>
      <c r="X105">
        <v>1.1415525114155251E-4</v>
      </c>
      <c r="Y105">
        <v>1.6905750441289813E-4</v>
      </c>
      <c r="Z105" t="s">
        <v>1628</v>
      </c>
      <c r="AA105" t="s">
        <v>25</v>
      </c>
      <c r="AC105" t="s">
        <v>22</v>
      </c>
      <c r="AD105" t="s">
        <v>1628</v>
      </c>
      <c r="AE105">
        <v>1.3178000017086402E-4</v>
      </c>
      <c r="AG105" t="s">
        <v>99</v>
      </c>
      <c r="AH105" t="s">
        <v>1628</v>
      </c>
      <c r="AI105">
        <v>0</v>
      </c>
    </row>
    <row r="106" spans="5:35" x14ac:dyDescent="0.45">
      <c r="E106" t="s">
        <v>1405</v>
      </c>
      <c r="G106" t="s">
        <v>155</v>
      </c>
      <c r="I106" t="s">
        <v>249</v>
      </c>
      <c r="J106" t="s">
        <v>1629</v>
      </c>
      <c r="K106">
        <v>6.1087071718284828E-5</v>
      </c>
      <c r="L106" t="s">
        <v>251</v>
      </c>
      <c r="N106" t="s">
        <v>419</v>
      </c>
      <c r="O106" t="s">
        <v>1629</v>
      </c>
      <c r="P106">
        <v>8.2527897622204069E-5</v>
      </c>
      <c r="Q106" t="s">
        <v>251</v>
      </c>
      <c r="S106" t="s">
        <v>420</v>
      </c>
      <c r="T106" t="s">
        <v>1629</v>
      </c>
      <c r="U106">
        <v>1.1578520279760001E-4</v>
      </c>
      <c r="V106" t="s">
        <v>251</v>
      </c>
      <c r="X106">
        <v>1.1415525114155251E-4</v>
      </c>
      <c r="Y106">
        <v>1.9060404909297337E-4</v>
      </c>
      <c r="Z106" t="s">
        <v>1629</v>
      </c>
      <c r="AA106" t="s">
        <v>25</v>
      </c>
      <c r="AC106" t="s">
        <v>22</v>
      </c>
      <c r="AD106" t="s">
        <v>1629</v>
      </c>
      <c r="AE106">
        <v>1.3313218541348364E-4</v>
      </c>
      <c r="AG106" t="s">
        <v>99</v>
      </c>
      <c r="AH106" t="s">
        <v>1629</v>
      </c>
      <c r="AI106">
        <v>0</v>
      </c>
    </row>
    <row r="107" spans="5:35" x14ac:dyDescent="0.45">
      <c r="E107" t="s">
        <v>798</v>
      </c>
      <c r="G107" t="s">
        <v>155</v>
      </c>
      <c r="I107" t="s">
        <v>249</v>
      </c>
      <c r="J107" t="s">
        <v>1630</v>
      </c>
      <c r="K107">
        <v>1.702350852404E-4</v>
      </c>
      <c r="L107" t="s">
        <v>251</v>
      </c>
      <c r="N107" t="s">
        <v>419</v>
      </c>
      <c r="O107" t="s">
        <v>1630</v>
      </c>
      <c r="P107">
        <v>7.1511634934751111E-5</v>
      </c>
      <c r="Q107" t="s">
        <v>251</v>
      </c>
      <c r="S107" t="s">
        <v>420</v>
      </c>
      <c r="T107" t="s">
        <v>1630</v>
      </c>
      <c r="U107">
        <v>1.285154704749E-4</v>
      </c>
      <c r="V107" t="s">
        <v>251</v>
      </c>
      <c r="X107">
        <v>1.1415525114155251E-4</v>
      </c>
      <c r="Y107">
        <v>1.4585353321897094E-4</v>
      </c>
      <c r="Z107" t="s">
        <v>1630</v>
      </c>
      <c r="AA107" t="s">
        <v>25</v>
      </c>
      <c r="AC107" t="s">
        <v>22</v>
      </c>
      <c r="AD107" t="s">
        <v>1630</v>
      </c>
      <c r="AE107">
        <v>1.3432353805015287E-4</v>
      </c>
      <c r="AG107" t="s">
        <v>99</v>
      </c>
      <c r="AH107" t="s">
        <v>1630</v>
      </c>
      <c r="AI107">
        <v>0</v>
      </c>
    </row>
    <row r="108" spans="5:35" x14ac:dyDescent="0.45">
      <c r="E108" t="s">
        <v>799</v>
      </c>
      <c r="G108" t="s">
        <v>155</v>
      </c>
      <c r="I108" t="s">
        <v>249</v>
      </c>
      <c r="J108" t="s">
        <v>1631</v>
      </c>
      <c r="K108">
        <v>1.9914069007289999E-4</v>
      </c>
      <c r="L108" t="s">
        <v>251</v>
      </c>
      <c r="N108" t="s">
        <v>419</v>
      </c>
      <c r="O108" t="s">
        <v>1631</v>
      </c>
      <c r="P108">
        <v>5.1544709698343794E-5</v>
      </c>
      <c r="Q108" t="s">
        <v>251</v>
      </c>
      <c r="S108" t="s">
        <v>420</v>
      </c>
      <c r="T108" t="s">
        <v>1631</v>
      </c>
      <c r="U108">
        <v>1.22176636002E-4</v>
      </c>
      <c r="V108" t="s">
        <v>251</v>
      </c>
      <c r="X108">
        <v>1.1415525114155251E-4</v>
      </c>
      <c r="Y108">
        <v>1.4452759200788939E-4</v>
      </c>
      <c r="Z108" t="s">
        <v>1631</v>
      </c>
      <c r="AA108" t="s">
        <v>25</v>
      </c>
      <c r="AC108" t="s">
        <v>22</v>
      </c>
      <c r="AD108" t="s">
        <v>1631</v>
      </c>
      <c r="AE108">
        <v>1.3615226434744018E-4</v>
      </c>
      <c r="AG108" t="s">
        <v>99</v>
      </c>
      <c r="AH108" t="s">
        <v>1631</v>
      </c>
      <c r="AI108">
        <v>0</v>
      </c>
    </row>
    <row r="109" spans="5:35" x14ac:dyDescent="0.45">
      <c r="E109" t="s">
        <v>800</v>
      </c>
      <c r="G109" t="s">
        <v>155</v>
      </c>
      <c r="I109" t="s">
        <v>249</v>
      </c>
      <c r="J109" t="s">
        <v>1632</v>
      </c>
      <c r="K109">
        <v>2.0559882890259999E-4</v>
      </c>
      <c r="L109" t="s">
        <v>251</v>
      </c>
      <c r="N109" t="s">
        <v>419</v>
      </c>
      <c r="O109" t="s">
        <v>1632</v>
      </c>
      <c r="P109">
        <v>5.4122810937324691E-5</v>
      </c>
      <c r="Q109" t="s">
        <v>251</v>
      </c>
      <c r="S109" t="s">
        <v>420</v>
      </c>
      <c r="T109" t="s">
        <v>1632</v>
      </c>
      <c r="U109">
        <v>1.15005494477E-4</v>
      </c>
      <c r="V109" t="s">
        <v>251</v>
      </c>
      <c r="X109">
        <v>1.1415525114155251E-4</v>
      </c>
      <c r="Y109">
        <v>1.408812536774151E-4</v>
      </c>
      <c r="Z109" t="s">
        <v>1632</v>
      </c>
      <c r="AA109" t="s">
        <v>25</v>
      </c>
      <c r="AC109" t="s">
        <v>22</v>
      </c>
      <c r="AD109" t="s">
        <v>1632</v>
      </c>
      <c r="AE109">
        <v>1.3814778001386118E-4</v>
      </c>
      <c r="AG109" t="s">
        <v>99</v>
      </c>
      <c r="AH109" t="s">
        <v>1632</v>
      </c>
      <c r="AI109">
        <v>0</v>
      </c>
    </row>
    <row r="110" spans="5:35" x14ac:dyDescent="0.45">
      <c r="E110" t="s">
        <v>801</v>
      </c>
      <c r="G110" t="s">
        <v>155</v>
      </c>
      <c r="I110" t="s">
        <v>249</v>
      </c>
      <c r="J110" t="s">
        <v>1633</v>
      </c>
      <c r="K110">
        <v>2.2839128121120001E-4</v>
      </c>
      <c r="L110" t="s">
        <v>251</v>
      </c>
      <c r="N110" t="s">
        <v>419</v>
      </c>
      <c r="O110" t="s">
        <v>1633</v>
      </c>
      <c r="P110">
        <v>5.7546455490596312E-5</v>
      </c>
      <c r="Q110" t="s">
        <v>251</v>
      </c>
      <c r="S110" t="s">
        <v>420</v>
      </c>
      <c r="T110" t="s">
        <v>1633</v>
      </c>
      <c r="U110">
        <v>1.170063279292E-4</v>
      </c>
      <c r="V110" t="s">
        <v>251</v>
      </c>
      <c r="X110">
        <v>1.1415525114155251E-4</v>
      </c>
      <c r="Y110">
        <v>1.4054976837464471E-4</v>
      </c>
      <c r="Z110" t="s">
        <v>1633</v>
      </c>
      <c r="AA110" t="s">
        <v>25</v>
      </c>
      <c r="AC110" t="s">
        <v>22</v>
      </c>
      <c r="AD110" t="s">
        <v>1633</v>
      </c>
      <c r="AE110">
        <v>1.3354915883631788E-4</v>
      </c>
      <c r="AG110" t="s">
        <v>99</v>
      </c>
      <c r="AH110" t="s">
        <v>1633</v>
      </c>
      <c r="AI110">
        <v>0</v>
      </c>
    </row>
    <row r="111" spans="5:35" x14ac:dyDescent="0.45">
      <c r="E111" t="s">
        <v>802</v>
      </c>
      <c r="G111" t="s">
        <v>155</v>
      </c>
      <c r="I111" t="s">
        <v>249</v>
      </c>
      <c r="J111" t="s">
        <v>1634</v>
      </c>
      <c r="K111">
        <v>2.5608047913440002E-4</v>
      </c>
      <c r="L111" t="s">
        <v>251</v>
      </c>
      <c r="N111" t="s">
        <v>419</v>
      </c>
      <c r="O111" t="s">
        <v>1634</v>
      </c>
      <c r="P111">
        <v>5.7783894940804879E-5</v>
      </c>
      <c r="Q111" t="s">
        <v>251</v>
      </c>
      <c r="S111" t="s">
        <v>420</v>
      </c>
      <c r="T111" t="s">
        <v>1634</v>
      </c>
      <c r="U111">
        <v>1.258754335899E-4</v>
      </c>
      <c r="V111" t="s">
        <v>251</v>
      </c>
      <c r="X111">
        <v>1.1415525114155251E-4</v>
      </c>
      <c r="Y111">
        <v>1.4253868019126702E-4</v>
      </c>
      <c r="Z111" t="s">
        <v>1634</v>
      </c>
      <c r="AA111" t="s">
        <v>25</v>
      </c>
      <c r="AC111" t="s">
        <v>22</v>
      </c>
      <c r="AD111" t="s">
        <v>1634</v>
      </c>
      <c r="AE111">
        <v>1.2871822389462408E-4</v>
      </c>
      <c r="AG111" t="s">
        <v>99</v>
      </c>
      <c r="AH111" t="s">
        <v>1634</v>
      </c>
      <c r="AI111">
        <v>0</v>
      </c>
    </row>
    <row r="112" spans="5:35" x14ac:dyDescent="0.45">
      <c r="E112" t="s">
        <v>803</v>
      </c>
      <c r="G112" t="s">
        <v>155</v>
      </c>
      <c r="I112" t="s">
        <v>249</v>
      </c>
      <c r="J112" t="s">
        <v>1635</v>
      </c>
      <c r="K112">
        <v>2.3165676394450001E-4</v>
      </c>
      <c r="L112" t="s">
        <v>251</v>
      </c>
      <c r="N112" t="s">
        <v>419</v>
      </c>
      <c r="O112" t="s">
        <v>1635</v>
      </c>
      <c r="P112">
        <v>5.49068729101472E-5</v>
      </c>
      <c r="Q112" t="s">
        <v>251</v>
      </c>
      <c r="S112" t="s">
        <v>420</v>
      </c>
      <c r="T112" t="s">
        <v>1635</v>
      </c>
      <c r="U112">
        <v>1.342982654103E-4</v>
      </c>
      <c r="V112" t="s">
        <v>251</v>
      </c>
      <c r="X112">
        <v>1.1415525114155251E-4</v>
      </c>
      <c r="Y112">
        <v>1.4883690094390442E-4</v>
      </c>
      <c r="Z112" t="s">
        <v>1635</v>
      </c>
      <c r="AA112" t="s">
        <v>25</v>
      </c>
      <c r="AC112" t="s">
        <v>22</v>
      </c>
      <c r="AD112" t="s">
        <v>1635</v>
      </c>
      <c r="AE112">
        <v>1.1497001446746098E-4</v>
      </c>
      <c r="AG112" t="s">
        <v>99</v>
      </c>
      <c r="AH112" t="s">
        <v>1635</v>
      </c>
      <c r="AI112">
        <v>0</v>
      </c>
    </row>
    <row r="113" spans="5:35" x14ac:dyDescent="0.45">
      <c r="E113" t="s">
        <v>804</v>
      </c>
      <c r="G113" t="s">
        <v>155</v>
      </c>
      <c r="I113" t="s">
        <v>249</v>
      </c>
      <c r="J113" t="s">
        <v>1636</v>
      </c>
      <c r="K113">
        <v>1.934231905467E-4</v>
      </c>
      <c r="L113" t="s">
        <v>251</v>
      </c>
      <c r="N113" t="s">
        <v>419</v>
      </c>
      <c r="O113" t="s">
        <v>1636</v>
      </c>
      <c r="P113">
        <v>5.1814125059375455E-5</v>
      </c>
      <c r="Q113" t="s">
        <v>251</v>
      </c>
      <c r="S113" t="s">
        <v>420</v>
      </c>
      <c r="T113" t="s">
        <v>1636</v>
      </c>
      <c r="U113">
        <v>1.3801620392959999E-4</v>
      </c>
      <c r="V113" t="s">
        <v>251</v>
      </c>
      <c r="X113">
        <v>1.1415525114155251E-4</v>
      </c>
      <c r="Y113">
        <v>1.5049432745775637E-4</v>
      </c>
      <c r="Z113" t="s">
        <v>1636</v>
      </c>
      <c r="AA113" t="s">
        <v>25</v>
      </c>
      <c r="AC113" t="s">
        <v>22</v>
      </c>
      <c r="AD113" t="s">
        <v>1636</v>
      </c>
      <c r="AE113">
        <v>1.0465885739708866E-4</v>
      </c>
      <c r="AG113" t="s">
        <v>99</v>
      </c>
      <c r="AH113" t="s">
        <v>1636</v>
      </c>
      <c r="AI113">
        <v>0</v>
      </c>
    </row>
    <row r="114" spans="5:35" x14ac:dyDescent="0.45">
      <c r="E114" t="s">
        <v>805</v>
      </c>
      <c r="G114" t="s">
        <v>155</v>
      </c>
      <c r="I114" t="s">
        <v>249</v>
      </c>
      <c r="J114" t="s">
        <v>1637</v>
      </c>
      <c r="K114">
        <v>1.7401671274050001E-4</v>
      </c>
      <c r="L114" t="s">
        <v>251</v>
      </c>
      <c r="N114" t="s">
        <v>419</v>
      </c>
      <c r="O114" t="s">
        <v>1637</v>
      </c>
      <c r="P114">
        <v>4.9933290656431172E-5</v>
      </c>
      <c r="Q114" t="s">
        <v>251</v>
      </c>
      <c r="S114" t="s">
        <v>420</v>
      </c>
      <c r="T114" t="s">
        <v>1637</v>
      </c>
      <c r="U114">
        <v>1.4485420840359999E-4</v>
      </c>
      <c r="V114" t="s">
        <v>251</v>
      </c>
      <c r="X114">
        <v>1.1415525114155251E-4</v>
      </c>
      <c r="Y114">
        <v>1.7237235744060203E-4</v>
      </c>
      <c r="Z114" t="s">
        <v>1637</v>
      </c>
      <c r="AA114" t="s">
        <v>25</v>
      </c>
      <c r="AC114" t="s">
        <v>22</v>
      </c>
      <c r="AD114" t="s">
        <v>1637</v>
      </c>
      <c r="AE114">
        <v>8.8575596802053833E-5</v>
      </c>
      <c r="AG114" t="s">
        <v>99</v>
      </c>
      <c r="AH114" t="s">
        <v>1637</v>
      </c>
      <c r="AI114">
        <v>0</v>
      </c>
    </row>
    <row r="115" spans="5:35" x14ac:dyDescent="0.45">
      <c r="E115" t="s">
        <v>806</v>
      </c>
      <c r="G115" t="s">
        <v>155</v>
      </c>
      <c r="I115" t="s">
        <v>249</v>
      </c>
      <c r="J115" t="s">
        <v>1638</v>
      </c>
      <c r="K115">
        <v>1.3449141950460001E-4</v>
      </c>
      <c r="L115" t="s">
        <v>251</v>
      </c>
      <c r="N115" t="s">
        <v>419</v>
      </c>
      <c r="O115" t="s">
        <v>1638</v>
      </c>
      <c r="P115">
        <v>4.7541153019788353E-5</v>
      </c>
      <c r="Q115" t="s">
        <v>251</v>
      </c>
      <c r="S115" t="s">
        <v>420</v>
      </c>
      <c r="T115" t="s">
        <v>1638</v>
      </c>
      <c r="U115">
        <v>1.567071587575E-4</v>
      </c>
      <c r="V115" t="s">
        <v>251</v>
      </c>
      <c r="X115">
        <v>1.1415525114155251E-4</v>
      </c>
      <c r="Y115">
        <v>2.2209515285616027E-4</v>
      </c>
      <c r="Z115" t="s">
        <v>1638</v>
      </c>
      <c r="AA115" t="s">
        <v>25</v>
      </c>
      <c r="AC115" t="s">
        <v>22</v>
      </c>
      <c r="AD115" t="s">
        <v>1638</v>
      </c>
      <c r="AE115">
        <v>8.4852619812462429E-5</v>
      </c>
      <c r="AG115" t="s">
        <v>99</v>
      </c>
      <c r="AH115" t="s">
        <v>1638</v>
      </c>
      <c r="AI115">
        <v>0</v>
      </c>
    </row>
    <row r="116" spans="5:35" x14ac:dyDescent="0.45">
      <c r="E116" t="s">
        <v>807</v>
      </c>
      <c r="G116" t="s">
        <v>155</v>
      </c>
      <c r="I116" t="s">
        <v>249</v>
      </c>
      <c r="J116" t="s">
        <v>1639</v>
      </c>
      <c r="K116">
        <v>1.0400235417990001E-4</v>
      </c>
      <c r="L116" t="s">
        <v>251</v>
      </c>
      <c r="N116" t="s">
        <v>419</v>
      </c>
      <c r="O116" t="s">
        <v>1639</v>
      </c>
      <c r="P116">
        <v>4.2590932846143637E-5</v>
      </c>
      <c r="Q116" t="s">
        <v>251</v>
      </c>
      <c r="S116" t="s">
        <v>420</v>
      </c>
      <c r="T116" t="s">
        <v>1639</v>
      </c>
      <c r="U116">
        <v>1.718937282485E-4</v>
      </c>
      <c r="V116" t="s">
        <v>251</v>
      </c>
      <c r="X116">
        <v>1.1415525114155251E-4</v>
      </c>
      <c r="Y116">
        <v>2.2209515285616027E-4</v>
      </c>
      <c r="Z116" t="s">
        <v>1639</v>
      </c>
      <c r="AA116" t="s">
        <v>25</v>
      </c>
      <c r="AC116" t="s">
        <v>22</v>
      </c>
      <c r="AD116" t="s">
        <v>1639</v>
      </c>
      <c r="AE116">
        <v>8.0724582926403499E-5</v>
      </c>
      <c r="AG116" t="s">
        <v>99</v>
      </c>
      <c r="AH116" t="s">
        <v>1639</v>
      </c>
      <c r="AI116">
        <v>0</v>
      </c>
    </row>
    <row r="117" spans="5:35" x14ac:dyDescent="0.45">
      <c r="E117" t="s">
        <v>809</v>
      </c>
      <c r="G117" t="s">
        <v>155</v>
      </c>
      <c r="I117" t="s">
        <v>249</v>
      </c>
      <c r="J117" t="s">
        <v>1640</v>
      </c>
      <c r="K117">
        <v>1.9244258400209769E-5</v>
      </c>
      <c r="L117" t="s">
        <v>251</v>
      </c>
      <c r="N117" t="s">
        <v>419</v>
      </c>
      <c r="O117" t="s">
        <v>1640</v>
      </c>
      <c r="P117">
        <v>4.3889820399829227E-5</v>
      </c>
      <c r="Q117" t="s">
        <v>251</v>
      </c>
      <c r="S117" t="s">
        <v>420</v>
      </c>
      <c r="T117" t="s">
        <v>1640</v>
      </c>
      <c r="U117">
        <v>1.7541035646439999E-4</v>
      </c>
      <c r="V117" t="s">
        <v>251</v>
      </c>
      <c r="X117">
        <v>1.1415525114155251E-4</v>
      </c>
      <c r="Y117">
        <v>1.7237235744060203E-4</v>
      </c>
      <c r="Z117" t="s">
        <v>1640</v>
      </c>
      <c r="AA117" t="s">
        <v>25</v>
      </c>
      <c r="AC117" t="s">
        <v>22</v>
      </c>
      <c r="AD117" t="s">
        <v>1640</v>
      </c>
      <c r="AE117">
        <v>8.1939762615806133E-5</v>
      </c>
      <c r="AG117" t="s">
        <v>99</v>
      </c>
      <c r="AH117" t="s">
        <v>1640</v>
      </c>
      <c r="AI117">
        <v>0</v>
      </c>
    </row>
    <row r="118" spans="5:35" x14ac:dyDescent="0.45">
      <c r="E118" t="s">
        <v>811</v>
      </c>
      <c r="G118" t="s">
        <v>155</v>
      </c>
      <c r="I118" t="s">
        <v>249</v>
      </c>
      <c r="J118" t="s">
        <v>1641</v>
      </c>
      <c r="K118">
        <v>0</v>
      </c>
      <c r="L118" t="s">
        <v>251</v>
      </c>
      <c r="N118" t="s">
        <v>419</v>
      </c>
      <c r="O118" t="s">
        <v>1641</v>
      </c>
      <c r="P118">
        <v>5.5466257148273772E-5</v>
      </c>
      <c r="Q118" t="s">
        <v>251</v>
      </c>
      <c r="S118" t="s">
        <v>420</v>
      </c>
      <c r="T118" t="s">
        <v>1641</v>
      </c>
      <c r="U118">
        <v>1.722976554464E-4</v>
      </c>
      <c r="V118" t="s">
        <v>251</v>
      </c>
      <c r="X118">
        <v>1.1415525114155251E-4</v>
      </c>
      <c r="Y118">
        <v>1.5579809230208258E-4</v>
      </c>
      <c r="Z118" t="s">
        <v>1641</v>
      </c>
      <c r="AA118" t="s">
        <v>25</v>
      </c>
      <c r="AC118" t="s">
        <v>22</v>
      </c>
      <c r="AD118" t="s">
        <v>1641</v>
      </c>
      <c r="AE118">
        <v>8.245800101275725E-5</v>
      </c>
      <c r="AG118" t="s">
        <v>99</v>
      </c>
      <c r="AH118" t="s">
        <v>1641</v>
      </c>
      <c r="AI118">
        <v>0</v>
      </c>
    </row>
    <row r="119" spans="5:35" x14ac:dyDescent="0.45">
      <c r="E119" t="s">
        <v>813</v>
      </c>
      <c r="G119" t="s">
        <v>155</v>
      </c>
      <c r="I119" t="s">
        <v>249</v>
      </c>
      <c r="J119" t="s">
        <v>1642</v>
      </c>
      <c r="K119">
        <v>0</v>
      </c>
      <c r="L119" t="s">
        <v>251</v>
      </c>
      <c r="N119" t="s">
        <v>419</v>
      </c>
      <c r="O119" t="s">
        <v>1642</v>
      </c>
      <c r="P119">
        <v>6.8496769926369177E-5</v>
      </c>
      <c r="Q119" t="s">
        <v>251</v>
      </c>
      <c r="S119" t="s">
        <v>420</v>
      </c>
      <c r="T119" t="s">
        <v>1642</v>
      </c>
      <c r="U119">
        <v>1.7144896044789999E-4</v>
      </c>
      <c r="V119" t="s">
        <v>251</v>
      </c>
      <c r="X119">
        <v>1.1415525114155251E-4</v>
      </c>
      <c r="Y119">
        <v>1.093901499142282E-4</v>
      </c>
      <c r="Z119" t="s">
        <v>1642</v>
      </c>
      <c r="AA119" t="s">
        <v>25</v>
      </c>
      <c r="AC119" t="s">
        <v>22</v>
      </c>
      <c r="AD119" t="s">
        <v>1642</v>
      </c>
      <c r="AE119">
        <v>9.8702094213742403E-5</v>
      </c>
      <c r="AG119" t="s">
        <v>99</v>
      </c>
      <c r="AH119" t="s">
        <v>1642</v>
      </c>
      <c r="AI119">
        <v>0</v>
      </c>
    </row>
    <row r="120" spans="5:35" x14ac:dyDescent="0.45">
      <c r="E120" t="s">
        <v>815</v>
      </c>
      <c r="G120" t="s">
        <v>155</v>
      </c>
      <c r="I120" t="s">
        <v>249</v>
      </c>
      <c r="J120" t="s">
        <v>1643</v>
      </c>
      <c r="K120">
        <v>0</v>
      </c>
      <c r="L120" t="s">
        <v>251</v>
      </c>
      <c r="N120" t="s">
        <v>419</v>
      </c>
      <c r="O120" t="s">
        <v>1643</v>
      </c>
      <c r="P120">
        <v>8.2530672691559802E-5</v>
      </c>
      <c r="Q120" t="s">
        <v>251</v>
      </c>
      <c r="S120" t="s">
        <v>420</v>
      </c>
      <c r="T120" t="s">
        <v>1643</v>
      </c>
      <c r="U120">
        <v>1.691028084236E-4</v>
      </c>
      <c r="V120" t="s">
        <v>251</v>
      </c>
      <c r="X120">
        <v>1.1415525114155251E-4</v>
      </c>
      <c r="Y120">
        <v>7.9556472664893237E-5</v>
      </c>
      <c r="Z120" t="s">
        <v>1643</v>
      </c>
      <c r="AA120" t="s">
        <v>25</v>
      </c>
      <c r="AC120" t="s">
        <v>22</v>
      </c>
      <c r="AD120" t="s">
        <v>1643</v>
      </c>
      <c r="AE120">
        <v>1.1346891014525771E-4</v>
      </c>
      <c r="AG120" t="s">
        <v>99</v>
      </c>
      <c r="AH120" t="s">
        <v>1643</v>
      </c>
      <c r="AI120">
        <v>0</v>
      </c>
    </row>
    <row r="121" spans="5:35" x14ac:dyDescent="0.45">
      <c r="E121" t="s">
        <v>817</v>
      </c>
      <c r="G121" t="s">
        <v>155</v>
      </c>
      <c r="I121" t="s">
        <v>249</v>
      </c>
      <c r="J121" t="s">
        <v>1644</v>
      </c>
      <c r="K121">
        <v>0</v>
      </c>
      <c r="L121" t="s">
        <v>251</v>
      </c>
      <c r="N121" t="s">
        <v>419</v>
      </c>
      <c r="O121" t="s">
        <v>1644</v>
      </c>
      <c r="P121">
        <v>9.2829434083474096E-5</v>
      </c>
      <c r="Q121" t="s">
        <v>251</v>
      </c>
      <c r="S121" t="s">
        <v>420</v>
      </c>
      <c r="T121" t="s">
        <v>1644</v>
      </c>
      <c r="U121">
        <v>1.6824541041649999E-4</v>
      </c>
      <c r="V121" t="s">
        <v>251</v>
      </c>
      <c r="X121">
        <v>1.1415525114155251E-4</v>
      </c>
      <c r="Y121">
        <v>5.6352501470966035E-5</v>
      </c>
      <c r="Z121" t="s">
        <v>1644</v>
      </c>
      <c r="AA121" t="s">
        <v>25</v>
      </c>
      <c r="AC121" t="s">
        <v>22</v>
      </c>
      <c r="AD121" t="s">
        <v>1644</v>
      </c>
      <c r="AE121">
        <v>1.2396472687431376E-4</v>
      </c>
      <c r="AG121" t="s">
        <v>99</v>
      </c>
      <c r="AH121" t="s">
        <v>1644</v>
      </c>
      <c r="AI121">
        <v>0</v>
      </c>
    </row>
    <row r="122" spans="5:35" x14ac:dyDescent="0.45">
      <c r="E122" t="s">
        <v>819</v>
      </c>
      <c r="G122" t="s">
        <v>155</v>
      </c>
      <c r="I122" t="s">
        <v>249</v>
      </c>
      <c r="J122" t="s">
        <v>1645</v>
      </c>
      <c r="K122">
        <v>0</v>
      </c>
      <c r="L122" t="s">
        <v>251</v>
      </c>
      <c r="N122" t="s">
        <v>419</v>
      </c>
      <c r="O122" t="s">
        <v>1645</v>
      </c>
      <c r="P122">
        <v>9.6778832420483862E-5</v>
      </c>
      <c r="Q122" t="s">
        <v>251</v>
      </c>
      <c r="S122" t="s">
        <v>420</v>
      </c>
      <c r="T122" t="s">
        <v>1645</v>
      </c>
      <c r="U122">
        <v>1.695122272828E-4</v>
      </c>
      <c r="V122" t="s">
        <v>251</v>
      </c>
      <c r="X122">
        <v>1.1415525114155251E-4</v>
      </c>
      <c r="Y122">
        <v>2.9833677249334962E-5</v>
      </c>
      <c r="Z122" t="s">
        <v>1645</v>
      </c>
      <c r="AA122" t="s">
        <v>25</v>
      </c>
      <c r="AC122" t="s">
        <v>22</v>
      </c>
      <c r="AD122" t="s">
        <v>1645</v>
      </c>
      <c r="AE122">
        <v>1.3446650036655317E-4</v>
      </c>
      <c r="AG122" t="s">
        <v>99</v>
      </c>
      <c r="AH122" t="s">
        <v>1645</v>
      </c>
      <c r="AI122">
        <v>0</v>
      </c>
    </row>
    <row r="123" spans="5:35" x14ac:dyDescent="0.45">
      <c r="E123" t="s">
        <v>820</v>
      </c>
      <c r="G123" t="s">
        <v>155</v>
      </c>
      <c r="I123" t="s">
        <v>249</v>
      </c>
      <c r="J123" t="s">
        <v>1646</v>
      </c>
      <c r="K123">
        <v>0</v>
      </c>
      <c r="L123" t="s">
        <v>251</v>
      </c>
      <c r="N123" t="s">
        <v>419</v>
      </c>
      <c r="O123" t="s">
        <v>1646</v>
      </c>
      <c r="P123">
        <v>9.4944946802331961E-5</v>
      </c>
      <c r="Q123" t="s">
        <v>251</v>
      </c>
      <c r="S123" t="s">
        <v>420</v>
      </c>
      <c r="T123" t="s">
        <v>1646</v>
      </c>
      <c r="U123">
        <v>1.7154251443920001E-4</v>
      </c>
      <c r="V123" t="s">
        <v>251</v>
      </c>
      <c r="X123">
        <v>1.1415525114155251E-4</v>
      </c>
      <c r="Y123">
        <v>2.1546544680075254E-5</v>
      </c>
      <c r="Z123" t="s">
        <v>1646</v>
      </c>
      <c r="AA123" t="s">
        <v>25</v>
      </c>
      <c r="AC123" t="s">
        <v>22</v>
      </c>
      <c r="AD123" t="s">
        <v>1646</v>
      </c>
      <c r="AE123">
        <v>1.3459159239340347E-4</v>
      </c>
      <c r="AG123" t="s">
        <v>99</v>
      </c>
      <c r="AH123" t="s">
        <v>1646</v>
      </c>
      <c r="AI123">
        <v>0</v>
      </c>
    </row>
    <row r="124" spans="5:35" x14ac:dyDescent="0.45">
      <c r="E124" t="s">
        <v>821</v>
      </c>
      <c r="G124" t="s">
        <v>155</v>
      </c>
      <c r="I124" t="s">
        <v>249</v>
      </c>
      <c r="J124" t="s">
        <v>1647</v>
      </c>
      <c r="K124">
        <v>0</v>
      </c>
      <c r="L124" t="s">
        <v>251</v>
      </c>
      <c r="N124" t="s">
        <v>419</v>
      </c>
      <c r="O124" t="s">
        <v>1647</v>
      </c>
      <c r="P124">
        <v>8.9441498779680345E-5</v>
      </c>
      <c r="Q124" t="s">
        <v>251</v>
      </c>
      <c r="S124" t="s">
        <v>420</v>
      </c>
      <c r="T124" t="s">
        <v>1647</v>
      </c>
      <c r="U124">
        <v>1.7235534504789999E-4</v>
      </c>
      <c r="V124" t="s">
        <v>251</v>
      </c>
      <c r="X124">
        <v>1.1415525114155251E-4</v>
      </c>
      <c r="Y124">
        <v>1.4916838624667481E-5</v>
      </c>
      <c r="Z124" t="s">
        <v>1647</v>
      </c>
      <c r="AA124" t="s">
        <v>25</v>
      </c>
      <c r="AC124" t="s">
        <v>22</v>
      </c>
      <c r="AD124" t="s">
        <v>1647</v>
      </c>
      <c r="AE124">
        <v>1.3119028061571276E-4</v>
      </c>
      <c r="AG124" t="s">
        <v>99</v>
      </c>
      <c r="AH124" t="s">
        <v>1647</v>
      </c>
      <c r="AI124">
        <v>0</v>
      </c>
    </row>
    <row r="125" spans="5:35" x14ac:dyDescent="0.45">
      <c r="E125" t="s">
        <v>822</v>
      </c>
      <c r="G125" t="s">
        <v>155</v>
      </c>
      <c r="I125" t="s">
        <v>249</v>
      </c>
      <c r="J125" t="s">
        <v>1648</v>
      </c>
      <c r="K125">
        <v>0</v>
      </c>
      <c r="L125" t="s">
        <v>251</v>
      </c>
      <c r="N125" t="s">
        <v>419</v>
      </c>
      <c r="O125" t="s">
        <v>1648</v>
      </c>
      <c r="P125">
        <v>8.3608038019311701E-5</v>
      </c>
      <c r="Q125" t="s">
        <v>251</v>
      </c>
      <c r="S125" t="s">
        <v>420</v>
      </c>
      <c r="T125" t="s">
        <v>1648</v>
      </c>
      <c r="U125">
        <v>1.7267593417440001E-4</v>
      </c>
      <c r="V125" t="s">
        <v>251</v>
      </c>
      <c r="X125">
        <v>1.1415525114155251E-4</v>
      </c>
      <c r="Y125">
        <v>1.6574265138519424E-5</v>
      </c>
      <c r="Z125" t="s">
        <v>1648</v>
      </c>
      <c r="AA125" t="s">
        <v>25</v>
      </c>
      <c r="AC125" t="s">
        <v>22</v>
      </c>
      <c r="AD125" t="s">
        <v>1648</v>
      </c>
      <c r="AE125">
        <v>1.3130941587937968E-4</v>
      </c>
      <c r="AG125" t="s">
        <v>99</v>
      </c>
      <c r="AH125" t="s">
        <v>1648</v>
      </c>
      <c r="AI125">
        <v>0</v>
      </c>
    </row>
    <row r="126" spans="5:35" x14ac:dyDescent="0.45">
      <c r="E126" t="s">
        <v>823</v>
      </c>
      <c r="G126" t="s">
        <v>155</v>
      </c>
      <c r="I126" t="s">
        <v>249</v>
      </c>
      <c r="J126" t="s">
        <v>1649</v>
      </c>
      <c r="K126">
        <v>0</v>
      </c>
      <c r="L126" t="s">
        <v>251</v>
      </c>
      <c r="N126" t="s">
        <v>419</v>
      </c>
      <c r="O126" t="s">
        <v>1649</v>
      </c>
      <c r="P126">
        <v>8.0616150887182538E-5</v>
      </c>
      <c r="Q126" t="s">
        <v>251</v>
      </c>
      <c r="S126" t="s">
        <v>420</v>
      </c>
      <c r="T126" t="s">
        <v>1649</v>
      </c>
      <c r="U126">
        <v>1.7208006451000001E-4</v>
      </c>
      <c r="V126" t="s">
        <v>251</v>
      </c>
      <c r="X126">
        <v>1.1415525114155251E-4</v>
      </c>
      <c r="Y126">
        <v>1.4585353321897093E-5</v>
      </c>
      <c r="Z126" t="s">
        <v>1649</v>
      </c>
      <c r="AA126" t="s">
        <v>25</v>
      </c>
      <c r="AC126" t="s">
        <v>22</v>
      </c>
      <c r="AD126" t="s">
        <v>1649</v>
      </c>
      <c r="AE126">
        <v>1.3130941587937968E-4</v>
      </c>
      <c r="AG126" t="s">
        <v>99</v>
      </c>
      <c r="AH126" t="s">
        <v>1649</v>
      </c>
      <c r="AI126">
        <v>0</v>
      </c>
    </row>
    <row r="127" spans="5:35" x14ac:dyDescent="0.45">
      <c r="E127" t="s">
        <v>824</v>
      </c>
      <c r="G127" t="s">
        <v>155</v>
      </c>
      <c r="I127" t="s">
        <v>249</v>
      </c>
      <c r="J127" t="s">
        <v>1650</v>
      </c>
      <c r="K127">
        <v>0</v>
      </c>
      <c r="L127" t="s">
        <v>251</v>
      </c>
      <c r="N127" t="s">
        <v>419</v>
      </c>
      <c r="O127" t="s">
        <v>1650</v>
      </c>
      <c r="P127">
        <v>7.6350420151922164E-5</v>
      </c>
      <c r="Q127" t="s">
        <v>251</v>
      </c>
      <c r="S127" t="s">
        <v>420</v>
      </c>
      <c r="T127" t="s">
        <v>1650</v>
      </c>
      <c r="U127">
        <v>1.6929719134119999E-4</v>
      </c>
      <c r="V127" t="s">
        <v>251</v>
      </c>
      <c r="X127">
        <v>1.1415525114155251E-4</v>
      </c>
      <c r="Y127">
        <v>2.1215059377304864E-5</v>
      </c>
      <c r="Z127" t="s">
        <v>1650</v>
      </c>
      <c r="AA127" t="s">
        <v>25</v>
      </c>
      <c r="AC127" t="s">
        <v>22</v>
      </c>
      <c r="AD127" t="s">
        <v>1650</v>
      </c>
      <c r="AE127">
        <v>1.3052312313917796E-4</v>
      </c>
      <c r="AG127" t="s">
        <v>99</v>
      </c>
      <c r="AH127" t="s">
        <v>1650</v>
      </c>
      <c r="AI127">
        <v>0</v>
      </c>
    </row>
    <row r="128" spans="5:35" x14ac:dyDescent="0.45">
      <c r="E128" t="s">
        <v>825</v>
      </c>
      <c r="G128" t="s">
        <v>155</v>
      </c>
      <c r="I128" t="s">
        <v>249</v>
      </c>
      <c r="J128" t="s">
        <v>1651</v>
      </c>
      <c r="K128">
        <v>0</v>
      </c>
      <c r="L128" t="s">
        <v>251</v>
      </c>
      <c r="N128" t="s">
        <v>419</v>
      </c>
      <c r="O128" t="s">
        <v>1651</v>
      </c>
      <c r="P128">
        <v>7.0944590432636624E-5</v>
      </c>
      <c r="Q128" t="s">
        <v>251</v>
      </c>
      <c r="S128" t="s">
        <v>420</v>
      </c>
      <c r="T128" t="s">
        <v>1651</v>
      </c>
      <c r="U128">
        <v>1.6520473847989999E-4</v>
      </c>
      <c r="V128" t="s">
        <v>251</v>
      </c>
      <c r="X128">
        <v>1.1415525114155251E-4</v>
      </c>
      <c r="Y128">
        <v>5.7678442682047593E-5</v>
      </c>
      <c r="Z128" t="s">
        <v>1651</v>
      </c>
      <c r="AA128" t="s">
        <v>25</v>
      </c>
      <c r="AC128" t="s">
        <v>22</v>
      </c>
      <c r="AD128" t="s">
        <v>1651</v>
      </c>
      <c r="AE128">
        <v>1.3052312313917796E-4</v>
      </c>
      <c r="AG128" t="s">
        <v>99</v>
      </c>
      <c r="AH128" t="s">
        <v>1651</v>
      </c>
      <c r="AI128">
        <v>0</v>
      </c>
    </row>
    <row r="129" spans="5:35" x14ac:dyDescent="0.45">
      <c r="E129" t="s">
        <v>826</v>
      </c>
      <c r="G129" t="s">
        <v>155</v>
      </c>
      <c r="I129" t="s">
        <v>249</v>
      </c>
      <c r="J129" t="s">
        <v>1652</v>
      </c>
      <c r="K129">
        <v>0</v>
      </c>
      <c r="L129" t="s">
        <v>251</v>
      </c>
      <c r="N129" t="s">
        <v>419</v>
      </c>
      <c r="O129" t="s">
        <v>1652</v>
      </c>
      <c r="P129">
        <v>6.5323680600242544E-5</v>
      </c>
      <c r="Q129" t="s">
        <v>251</v>
      </c>
      <c r="S129" t="s">
        <v>420</v>
      </c>
      <c r="T129" t="s">
        <v>1652</v>
      </c>
      <c r="U129">
        <v>1.6258383329920001E-4</v>
      </c>
      <c r="V129" t="s">
        <v>251</v>
      </c>
      <c r="X129">
        <v>1.1415525114155251E-4</v>
      </c>
      <c r="Y129">
        <v>1.6905750441289813E-4</v>
      </c>
      <c r="Z129" t="s">
        <v>1652</v>
      </c>
      <c r="AA129" t="s">
        <v>25</v>
      </c>
      <c r="AC129" t="s">
        <v>22</v>
      </c>
      <c r="AD129" t="s">
        <v>1652</v>
      </c>
      <c r="AE129">
        <v>1.3073756661377843E-4</v>
      </c>
      <c r="AG129" t="s">
        <v>99</v>
      </c>
      <c r="AH129" t="s">
        <v>1652</v>
      </c>
      <c r="AI129">
        <v>0</v>
      </c>
    </row>
    <row r="130" spans="5:35" x14ac:dyDescent="0.45">
      <c r="E130" t="s">
        <v>827</v>
      </c>
      <c r="G130" t="s">
        <v>155</v>
      </c>
      <c r="I130" t="s">
        <v>249</v>
      </c>
      <c r="J130" t="s">
        <v>1653</v>
      </c>
      <c r="K130">
        <v>6.6741201874671063E-5</v>
      </c>
      <c r="L130" t="s">
        <v>251</v>
      </c>
      <c r="N130" t="s">
        <v>419</v>
      </c>
      <c r="O130" t="s">
        <v>1653</v>
      </c>
      <c r="P130">
        <v>6.1880610723128655E-5</v>
      </c>
      <c r="Q130" t="s">
        <v>251</v>
      </c>
      <c r="S130" t="s">
        <v>420</v>
      </c>
      <c r="T130" t="s">
        <v>1653</v>
      </c>
      <c r="U130">
        <v>1.5982346909199999E-4</v>
      </c>
      <c r="V130" t="s">
        <v>251</v>
      </c>
      <c r="X130">
        <v>1.1415525114155251E-4</v>
      </c>
      <c r="Y130">
        <v>1.9060404909297337E-4</v>
      </c>
      <c r="Z130" t="s">
        <v>1653</v>
      </c>
      <c r="AA130" t="s">
        <v>25</v>
      </c>
      <c r="AC130" t="s">
        <v>22</v>
      </c>
      <c r="AD130" t="s">
        <v>1653</v>
      </c>
      <c r="AE130">
        <v>1.3313218541348364E-4</v>
      </c>
      <c r="AG130" t="s">
        <v>99</v>
      </c>
      <c r="AH130" t="s">
        <v>1653</v>
      </c>
      <c r="AI130">
        <v>0</v>
      </c>
    </row>
    <row r="131" spans="5:35" x14ac:dyDescent="0.45">
      <c r="E131" t="s">
        <v>1406</v>
      </c>
      <c r="G131" t="s">
        <v>155</v>
      </c>
      <c r="I131" t="s">
        <v>249</v>
      </c>
      <c r="J131" t="s">
        <v>1654</v>
      </c>
      <c r="K131">
        <v>1.6865393098629999E-4</v>
      </c>
      <c r="L131" t="s">
        <v>251</v>
      </c>
      <c r="N131" t="s">
        <v>419</v>
      </c>
      <c r="O131" t="s">
        <v>1654</v>
      </c>
      <c r="P131">
        <v>4.8939720276442772E-5</v>
      </c>
      <c r="Q131" t="s">
        <v>251</v>
      </c>
      <c r="S131" t="s">
        <v>420</v>
      </c>
      <c r="T131" t="s">
        <v>1654</v>
      </c>
      <c r="U131">
        <v>1.5591598333599999E-4</v>
      </c>
      <c r="V131" t="s">
        <v>251</v>
      </c>
      <c r="X131">
        <v>1.1415525114155251E-4</v>
      </c>
      <c r="Y131">
        <v>1.4585353321897094E-4</v>
      </c>
      <c r="Z131" t="s">
        <v>1654</v>
      </c>
      <c r="AA131" t="s">
        <v>25</v>
      </c>
      <c r="AC131" t="s">
        <v>22</v>
      </c>
      <c r="AD131" t="s">
        <v>1654</v>
      </c>
      <c r="AE131">
        <v>1.3322153686123382E-4</v>
      </c>
      <c r="AG131" t="s">
        <v>99</v>
      </c>
      <c r="AH131" t="s">
        <v>1654</v>
      </c>
      <c r="AI131">
        <v>0</v>
      </c>
    </row>
    <row r="132" spans="5:35" x14ac:dyDescent="0.45">
      <c r="E132" t="s">
        <v>1407</v>
      </c>
      <c r="G132" t="s">
        <v>155</v>
      </c>
      <c r="I132" t="s">
        <v>249</v>
      </c>
      <c r="J132" t="s">
        <v>1655</v>
      </c>
      <c r="K132">
        <v>1.914175469429E-4</v>
      </c>
      <c r="L132" t="s">
        <v>251</v>
      </c>
      <c r="N132" t="s">
        <v>419</v>
      </c>
      <c r="O132" t="s">
        <v>1655</v>
      </c>
      <c r="P132">
        <v>3.4853058726580321E-5</v>
      </c>
      <c r="Q132" t="s">
        <v>251</v>
      </c>
      <c r="S132" t="s">
        <v>420</v>
      </c>
      <c r="T132" t="s">
        <v>1655</v>
      </c>
      <c r="U132">
        <v>1.5572977979480001E-4</v>
      </c>
      <c r="V132" t="s">
        <v>251</v>
      </c>
      <c r="X132">
        <v>1.1415525114155251E-4</v>
      </c>
      <c r="Y132">
        <v>1.4452759200788939E-4</v>
      </c>
      <c r="Z132" t="s">
        <v>1655</v>
      </c>
      <c r="AA132" t="s">
        <v>25</v>
      </c>
      <c r="AC132" t="s">
        <v>22</v>
      </c>
      <c r="AD132" t="s">
        <v>1655</v>
      </c>
      <c r="AE132">
        <v>1.3525874986993822E-4</v>
      </c>
      <c r="AG132" t="s">
        <v>99</v>
      </c>
      <c r="AH132" t="s">
        <v>1655</v>
      </c>
      <c r="AI132">
        <v>0</v>
      </c>
    </row>
    <row r="133" spans="5:35" x14ac:dyDescent="0.45">
      <c r="E133" t="s">
        <v>1408</v>
      </c>
      <c r="G133" t="s">
        <v>155</v>
      </c>
      <c r="I133" t="s">
        <v>249</v>
      </c>
      <c r="J133" t="s">
        <v>1656</v>
      </c>
      <c r="K133">
        <v>2.0079971591820001E-4</v>
      </c>
      <c r="L133" t="s">
        <v>251</v>
      </c>
      <c r="N133" t="s">
        <v>419</v>
      </c>
      <c r="O133" t="s">
        <v>1656</v>
      </c>
      <c r="P133">
        <v>3.538774938039173E-5</v>
      </c>
      <c r="Q133" t="s">
        <v>251</v>
      </c>
      <c r="S133" t="s">
        <v>420</v>
      </c>
      <c r="T133" t="s">
        <v>1656</v>
      </c>
      <c r="U133">
        <v>1.501750529376E-4</v>
      </c>
      <c r="V133" t="s">
        <v>251</v>
      </c>
      <c r="X133">
        <v>1.1415525114155251E-4</v>
      </c>
      <c r="Y133">
        <v>1.408812536774151E-4</v>
      </c>
      <c r="Z133" t="s">
        <v>1656</v>
      </c>
      <c r="AA133" t="s">
        <v>25</v>
      </c>
      <c r="AC133" t="s">
        <v>22</v>
      </c>
      <c r="AD133" t="s">
        <v>1656</v>
      </c>
      <c r="AE133">
        <v>1.3814778001386118E-4</v>
      </c>
      <c r="AG133" t="s">
        <v>99</v>
      </c>
      <c r="AH133" t="s">
        <v>1656</v>
      </c>
      <c r="AI133">
        <v>0</v>
      </c>
    </row>
    <row r="134" spans="5:35" x14ac:dyDescent="0.45">
      <c r="E134" t="s">
        <v>1409</v>
      </c>
      <c r="G134" t="s">
        <v>155</v>
      </c>
      <c r="I134" t="s">
        <v>249</v>
      </c>
      <c r="J134" t="s">
        <v>1657</v>
      </c>
      <c r="K134">
        <v>2.186102766769E-4</v>
      </c>
      <c r="L134" t="s">
        <v>251</v>
      </c>
      <c r="N134" t="s">
        <v>419</v>
      </c>
      <c r="O134" t="s">
        <v>1657</v>
      </c>
      <c r="P134">
        <v>3.0454773736167883E-5</v>
      </c>
      <c r="Q134" t="s">
        <v>251</v>
      </c>
      <c r="S134" t="s">
        <v>420</v>
      </c>
      <c r="T134" t="s">
        <v>1657</v>
      </c>
      <c r="U134">
        <v>1.4236778099959999E-4</v>
      </c>
      <c r="V134" t="s">
        <v>251</v>
      </c>
      <c r="X134">
        <v>1.1415525114155251E-4</v>
      </c>
      <c r="Y134">
        <v>1.4054976837464471E-4</v>
      </c>
      <c r="Z134" t="s">
        <v>1657</v>
      </c>
      <c r="AA134" t="s">
        <v>25</v>
      </c>
      <c r="AC134" t="s">
        <v>22</v>
      </c>
      <c r="AD134" t="s">
        <v>1657</v>
      </c>
      <c r="AE134">
        <v>1.3354915883631788E-4</v>
      </c>
      <c r="AG134" t="s">
        <v>99</v>
      </c>
      <c r="AH134" t="s">
        <v>1657</v>
      </c>
      <c r="AI134">
        <v>0</v>
      </c>
    </row>
    <row r="135" spans="5:35" x14ac:dyDescent="0.45">
      <c r="E135" t="s">
        <v>1410</v>
      </c>
      <c r="G135" t="s">
        <v>155</v>
      </c>
      <c r="I135" t="s">
        <v>249</v>
      </c>
      <c r="J135" t="s">
        <v>1658</v>
      </c>
      <c r="K135">
        <v>2.5307261172480001E-4</v>
      </c>
      <c r="L135" t="s">
        <v>251</v>
      </c>
      <c r="N135" t="s">
        <v>419</v>
      </c>
      <c r="O135" t="s">
        <v>1658</v>
      </c>
      <c r="P135">
        <v>2.5297554173903637E-5</v>
      </c>
      <c r="Q135" t="s">
        <v>251</v>
      </c>
      <c r="S135" t="s">
        <v>420</v>
      </c>
      <c r="T135" t="s">
        <v>1658</v>
      </c>
      <c r="U135">
        <v>1.388525837786E-4</v>
      </c>
      <c r="V135" t="s">
        <v>251</v>
      </c>
      <c r="X135">
        <v>1.1415525114155251E-4</v>
      </c>
      <c r="Y135">
        <v>1.4253868019126702E-4</v>
      </c>
      <c r="Z135" t="s">
        <v>1658</v>
      </c>
      <c r="AA135" t="s">
        <v>25</v>
      </c>
      <c r="AC135" t="s">
        <v>22</v>
      </c>
      <c r="AD135" t="s">
        <v>1658</v>
      </c>
      <c r="AE135">
        <v>1.2871822389462408E-4</v>
      </c>
      <c r="AG135" t="s">
        <v>99</v>
      </c>
      <c r="AH135" t="s">
        <v>1658</v>
      </c>
      <c r="AI135">
        <v>0</v>
      </c>
    </row>
    <row r="136" spans="5:35" x14ac:dyDescent="0.45">
      <c r="E136" t="s">
        <v>1411</v>
      </c>
      <c r="G136" t="s">
        <v>155</v>
      </c>
      <c r="I136" t="s">
        <v>249</v>
      </c>
      <c r="J136" t="s">
        <v>1659</v>
      </c>
      <c r="K136">
        <v>2.3475587379159999E-4</v>
      </c>
      <c r="L136" t="s">
        <v>251</v>
      </c>
      <c r="N136" t="s">
        <v>419</v>
      </c>
      <c r="O136" t="s">
        <v>1659</v>
      </c>
      <c r="P136">
        <v>2.4045467478262072E-5</v>
      </c>
      <c r="Q136" t="s">
        <v>251</v>
      </c>
      <c r="S136" t="s">
        <v>420</v>
      </c>
      <c r="T136" t="s">
        <v>1659</v>
      </c>
      <c r="U136">
        <v>1.404052179807E-4</v>
      </c>
      <c r="V136" t="s">
        <v>251</v>
      </c>
      <c r="X136">
        <v>1.1415525114155251E-4</v>
      </c>
      <c r="Y136">
        <v>1.4883690094390442E-4</v>
      </c>
      <c r="Z136" t="s">
        <v>1659</v>
      </c>
      <c r="AA136" t="s">
        <v>25</v>
      </c>
      <c r="AC136" t="s">
        <v>22</v>
      </c>
      <c r="AD136" t="s">
        <v>1659</v>
      </c>
      <c r="AE136">
        <v>1.1748376853083308E-4</v>
      </c>
      <c r="AG136" t="s">
        <v>99</v>
      </c>
      <c r="AH136" t="s">
        <v>1659</v>
      </c>
      <c r="AI136">
        <v>0</v>
      </c>
    </row>
    <row r="137" spans="5:35" x14ac:dyDescent="0.45">
      <c r="E137" t="s">
        <v>1412</v>
      </c>
      <c r="G137" t="s">
        <v>155</v>
      </c>
      <c r="I137" t="s">
        <v>249</v>
      </c>
      <c r="J137" t="s">
        <v>1660</v>
      </c>
      <c r="K137">
        <v>2.046229544084E-4</v>
      </c>
      <c r="L137" t="s">
        <v>251</v>
      </c>
      <c r="N137" t="s">
        <v>419</v>
      </c>
      <c r="O137" t="s">
        <v>1660</v>
      </c>
      <c r="P137">
        <v>2.450288280498885E-5</v>
      </c>
      <c r="Q137" t="s">
        <v>251</v>
      </c>
      <c r="S137" t="s">
        <v>420</v>
      </c>
      <c r="T137" t="s">
        <v>1660</v>
      </c>
      <c r="U137">
        <v>1.4226813202070001E-4</v>
      </c>
      <c r="V137" t="s">
        <v>251</v>
      </c>
      <c r="X137">
        <v>1.1415525114155251E-4</v>
      </c>
      <c r="Y137">
        <v>1.5049432745775637E-4</v>
      </c>
      <c r="Z137" t="s">
        <v>1660</v>
      </c>
      <c r="AA137" t="s">
        <v>25</v>
      </c>
      <c r="AC137" t="s">
        <v>22</v>
      </c>
      <c r="AD137" t="s">
        <v>1660</v>
      </c>
      <c r="AE137">
        <v>1.0563576655915741E-4</v>
      </c>
      <c r="AG137" t="s">
        <v>99</v>
      </c>
      <c r="AH137" t="s">
        <v>1660</v>
      </c>
      <c r="AI137">
        <v>0</v>
      </c>
    </row>
    <row r="138" spans="5:35" x14ac:dyDescent="0.45">
      <c r="E138" t="s">
        <v>1413</v>
      </c>
      <c r="G138" t="s">
        <v>155</v>
      </c>
      <c r="I138" t="s">
        <v>249</v>
      </c>
      <c r="J138" t="s">
        <v>1661</v>
      </c>
      <c r="K138">
        <v>1.8270861918079999E-4</v>
      </c>
      <c r="L138" t="s">
        <v>251</v>
      </c>
      <c r="N138" t="s">
        <v>419</v>
      </c>
      <c r="O138" t="s">
        <v>1661</v>
      </c>
      <c r="P138">
        <v>2.4827614674863097E-5</v>
      </c>
      <c r="Q138" t="s">
        <v>251</v>
      </c>
      <c r="S138" t="s">
        <v>420</v>
      </c>
      <c r="T138" t="s">
        <v>1661</v>
      </c>
      <c r="U138">
        <v>1.420928414045E-4</v>
      </c>
      <c r="V138" t="s">
        <v>251</v>
      </c>
      <c r="X138">
        <v>1.1415525114155251E-4</v>
      </c>
      <c r="Y138">
        <v>1.7237235744060203E-4</v>
      </c>
      <c r="Z138" t="s">
        <v>1661</v>
      </c>
      <c r="AA138" t="s">
        <v>25</v>
      </c>
      <c r="AC138" t="s">
        <v>22</v>
      </c>
      <c r="AD138" t="s">
        <v>1661</v>
      </c>
      <c r="AE138">
        <v>8.6395421476949101E-5</v>
      </c>
      <c r="AG138" t="s">
        <v>99</v>
      </c>
      <c r="AH138" t="s">
        <v>1661</v>
      </c>
      <c r="AI138">
        <v>0</v>
      </c>
    </row>
    <row r="139" spans="5:35" x14ac:dyDescent="0.45">
      <c r="E139" t="s">
        <v>1414</v>
      </c>
      <c r="G139" t="s">
        <v>155</v>
      </c>
      <c r="I139" t="s">
        <v>249</v>
      </c>
      <c r="J139" t="s">
        <v>1662</v>
      </c>
      <c r="K139">
        <v>1.8316138876139999E-4</v>
      </c>
      <c r="L139" t="s">
        <v>251</v>
      </c>
      <c r="N139" t="s">
        <v>419</v>
      </c>
      <c r="O139" t="s">
        <v>1662</v>
      </c>
      <c r="P139">
        <v>2.5757817154608615E-5</v>
      </c>
      <c r="Q139" t="s">
        <v>251</v>
      </c>
      <c r="S139" t="s">
        <v>420</v>
      </c>
      <c r="T139" t="s">
        <v>1662</v>
      </c>
      <c r="U139">
        <v>1.4251313011260001E-4</v>
      </c>
      <c r="V139" t="s">
        <v>251</v>
      </c>
      <c r="X139">
        <v>1.1415525114155251E-4</v>
      </c>
      <c r="Y139">
        <v>2.2209515285616027E-4</v>
      </c>
      <c r="Z139" t="s">
        <v>1662</v>
      </c>
      <c r="AA139" t="s">
        <v>25</v>
      </c>
      <c r="AC139" t="s">
        <v>22</v>
      </c>
      <c r="AD139" t="s">
        <v>1662</v>
      </c>
      <c r="AE139">
        <v>8.1689578562105583E-5</v>
      </c>
      <c r="AG139" t="s">
        <v>99</v>
      </c>
      <c r="AH139" t="s">
        <v>1662</v>
      </c>
      <c r="AI139">
        <v>0</v>
      </c>
    </row>
    <row r="140" spans="5:35" x14ac:dyDescent="0.45">
      <c r="E140" t="s">
        <v>1415</v>
      </c>
      <c r="G140" t="s">
        <v>155</v>
      </c>
      <c r="I140" t="s">
        <v>249</v>
      </c>
      <c r="J140" t="s">
        <v>1663</v>
      </c>
      <c r="K140">
        <v>1.4659920867729999E-4</v>
      </c>
      <c r="L140" t="s">
        <v>251</v>
      </c>
      <c r="N140" t="s">
        <v>419</v>
      </c>
      <c r="O140" t="s">
        <v>1663</v>
      </c>
      <c r="P140">
        <v>2.8711927899084324E-5</v>
      </c>
      <c r="Q140" t="s">
        <v>251</v>
      </c>
      <c r="S140" t="s">
        <v>420</v>
      </c>
      <c r="T140" t="s">
        <v>1663</v>
      </c>
      <c r="U140">
        <v>1.4330111164690001E-4</v>
      </c>
      <c r="V140" t="s">
        <v>251</v>
      </c>
      <c r="X140">
        <v>1.1415525114155251E-4</v>
      </c>
      <c r="Y140">
        <v>2.2209515285616027E-4</v>
      </c>
      <c r="Z140" t="s">
        <v>1663</v>
      </c>
      <c r="AA140" t="s">
        <v>25</v>
      </c>
      <c r="AC140" t="s">
        <v>22</v>
      </c>
      <c r="AD140" t="s">
        <v>1663</v>
      </c>
      <c r="AE140">
        <v>7.636423227619405E-5</v>
      </c>
      <c r="AG140" t="s">
        <v>99</v>
      </c>
      <c r="AH140" t="s">
        <v>1663</v>
      </c>
      <c r="AI140">
        <v>0</v>
      </c>
    </row>
    <row r="141" spans="5:35" x14ac:dyDescent="0.45">
      <c r="E141" t="s">
        <v>1416</v>
      </c>
      <c r="G141" t="s">
        <v>155</v>
      </c>
      <c r="I141" t="s">
        <v>249</v>
      </c>
      <c r="J141" t="s">
        <v>1664</v>
      </c>
      <c r="K141">
        <v>1.4540994823847699E-5</v>
      </c>
      <c r="L141" t="s">
        <v>251</v>
      </c>
      <c r="N141" t="s">
        <v>419</v>
      </c>
      <c r="O141" t="s">
        <v>1664</v>
      </c>
      <c r="P141">
        <v>3.3146005027523629E-5</v>
      </c>
      <c r="Q141" t="s">
        <v>251</v>
      </c>
      <c r="S141" t="s">
        <v>420</v>
      </c>
      <c r="T141" t="s">
        <v>1664</v>
      </c>
      <c r="U141">
        <v>1.434754799571E-4</v>
      </c>
      <c r="V141" t="s">
        <v>251</v>
      </c>
      <c r="X141">
        <v>1.1415525114155251E-4</v>
      </c>
      <c r="Y141">
        <v>1.7237235744060203E-4</v>
      </c>
      <c r="Z141" t="s">
        <v>1664</v>
      </c>
      <c r="AA141" t="s">
        <v>25</v>
      </c>
      <c r="AC141" t="s">
        <v>22</v>
      </c>
      <c r="AD141" t="s">
        <v>1664</v>
      </c>
      <c r="AE141">
        <v>7.5804296536959492E-5</v>
      </c>
      <c r="AG141" t="s">
        <v>99</v>
      </c>
      <c r="AH141" t="s">
        <v>1664</v>
      </c>
      <c r="AI141">
        <v>0</v>
      </c>
    </row>
    <row r="142" spans="5:35" x14ac:dyDescent="0.45">
      <c r="E142" t="s">
        <v>1417</v>
      </c>
      <c r="G142" t="s">
        <v>155</v>
      </c>
      <c r="I142" t="s">
        <v>249</v>
      </c>
      <c r="J142" t="s">
        <v>1665</v>
      </c>
      <c r="K142">
        <v>0</v>
      </c>
      <c r="L142" t="s">
        <v>251</v>
      </c>
      <c r="N142" t="s">
        <v>419</v>
      </c>
      <c r="O142" t="s">
        <v>1665</v>
      </c>
      <c r="P142">
        <v>3.4782072116346911E-5</v>
      </c>
      <c r="Q142" t="s">
        <v>251</v>
      </c>
      <c r="S142" t="s">
        <v>420</v>
      </c>
      <c r="T142" t="s">
        <v>1665</v>
      </c>
      <c r="U142">
        <v>1.495056030935E-4</v>
      </c>
      <c r="V142" t="s">
        <v>251</v>
      </c>
      <c r="X142">
        <v>1.1415525114155251E-4</v>
      </c>
      <c r="Y142">
        <v>1.5579809230208258E-4</v>
      </c>
      <c r="Z142" t="s">
        <v>1665</v>
      </c>
      <c r="AA142" t="s">
        <v>25</v>
      </c>
      <c r="AC142" t="s">
        <v>22</v>
      </c>
      <c r="AD142" t="s">
        <v>1665</v>
      </c>
      <c r="AE142">
        <v>7.6322534933910636E-5</v>
      </c>
      <c r="AG142" t="s">
        <v>99</v>
      </c>
      <c r="AH142" t="s">
        <v>1665</v>
      </c>
      <c r="AI142">
        <v>0</v>
      </c>
    </row>
    <row r="143" spans="5:35" x14ac:dyDescent="0.45">
      <c r="E143" t="s">
        <v>1418</v>
      </c>
      <c r="G143" t="s">
        <v>155</v>
      </c>
      <c r="I143" t="s">
        <v>249</v>
      </c>
      <c r="J143" t="s">
        <v>1666</v>
      </c>
      <c r="K143">
        <v>0</v>
      </c>
      <c r="L143" t="s">
        <v>251</v>
      </c>
      <c r="N143" t="s">
        <v>419</v>
      </c>
      <c r="O143" t="s">
        <v>1666</v>
      </c>
      <c r="P143">
        <v>3.6455884357805928E-5</v>
      </c>
      <c r="Q143" t="s">
        <v>251</v>
      </c>
      <c r="S143" t="s">
        <v>420</v>
      </c>
      <c r="T143" t="s">
        <v>1666</v>
      </c>
      <c r="U143">
        <v>1.4783828158450001E-4</v>
      </c>
      <c r="V143" t="s">
        <v>251</v>
      </c>
      <c r="X143">
        <v>1.1415525114155251E-4</v>
      </c>
      <c r="Y143">
        <v>1.093901499142282E-4</v>
      </c>
      <c r="Z143" t="s">
        <v>1666</v>
      </c>
      <c r="AA143" t="s">
        <v>25</v>
      </c>
      <c r="AC143" t="s">
        <v>22</v>
      </c>
      <c r="AD143" t="s">
        <v>1666</v>
      </c>
      <c r="AE143">
        <v>8.2058897879473035E-5</v>
      </c>
      <c r="AG143" t="s">
        <v>99</v>
      </c>
      <c r="AH143" t="s">
        <v>1666</v>
      </c>
      <c r="AI143">
        <v>0</v>
      </c>
    </row>
    <row r="144" spans="5:35" x14ac:dyDescent="0.45">
      <c r="E144" t="s">
        <v>1419</v>
      </c>
      <c r="G144" t="s">
        <v>155</v>
      </c>
      <c r="I144" t="s">
        <v>249</v>
      </c>
      <c r="J144" t="s">
        <v>1667</v>
      </c>
      <c r="K144">
        <v>0</v>
      </c>
      <c r="L144" t="s">
        <v>251</v>
      </c>
      <c r="N144" t="s">
        <v>419</v>
      </c>
      <c r="O144" t="s">
        <v>1667</v>
      </c>
      <c r="P144">
        <v>3.8182398104001243E-5</v>
      </c>
      <c r="Q144" t="s">
        <v>251</v>
      </c>
      <c r="S144" t="s">
        <v>420</v>
      </c>
      <c r="T144" t="s">
        <v>1667</v>
      </c>
      <c r="U144">
        <v>1.4189020334580001E-4</v>
      </c>
      <c r="V144" t="s">
        <v>251</v>
      </c>
      <c r="X144">
        <v>1.1415525114155251E-4</v>
      </c>
      <c r="Y144">
        <v>7.9556472664893237E-5</v>
      </c>
      <c r="Z144" t="s">
        <v>1667</v>
      </c>
      <c r="AA144" t="s">
        <v>25</v>
      </c>
      <c r="AC144" t="s">
        <v>22</v>
      </c>
      <c r="AD144" t="s">
        <v>1667</v>
      </c>
      <c r="AE144">
        <v>8.8128839563302838E-5</v>
      </c>
      <c r="AG144" t="s">
        <v>99</v>
      </c>
      <c r="AH144" t="s">
        <v>1667</v>
      </c>
      <c r="AI144">
        <v>0</v>
      </c>
    </row>
    <row r="145" spans="5:35" x14ac:dyDescent="0.45">
      <c r="E145" t="s">
        <v>1420</v>
      </c>
      <c r="G145" t="s">
        <v>155</v>
      </c>
      <c r="I145" t="s">
        <v>249</v>
      </c>
      <c r="J145" t="s">
        <v>1668</v>
      </c>
      <c r="K145">
        <v>0</v>
      </c>
      <c r="L145" t="s">
        <v>251</v>
      </c>
      <c r="N145" t="s">
        <v>419</v>
      </c>
      <c r="O145" t="s">
        <v>1668</v>
      </c>
      <c r="P145">
        <v>3.8831548744476421E-5</v>
      </c>
      <c r="Q145" t="s">
        <v>251</v>
      </c>
      <c r="S145" t="s">
        <v>420</v>
      </c>
      <c r="T145" t="s">
        <v>1668</v>
      </c>
      <c r="U145">
        <v>1.345582641022E-4</v>
      </c>
      <c r="V145" t="s">
        <v>251</v>
      </c>
      <c r="X145">
        <v>1.1415525114155251E-4</v>
      </c>
      <c r="Y145">
        <v>5.6352501470966035E-5</v>
      </c>
      <c r="Z145" t="s">
        <v>1668</v>
      </c>
      <c r="AA145" t="s">
        <v>25</v>
      </c>
      <c r="AC145" t="s">
        <v>22</v>
      </c>
      <c r="AD145" t="s">
        <v>1668</v>
      </c>
      <c r="AE145">
        <v>9.7248643997005938E-5</v>
      </c>
      <c r="AG145" t="s">
        <v>99</v>
      </c>
      <c r="AH145" t="s">
        <v>1668</v>
      </c>
      <c r="AI145">
        <v>0</v>
      </c>
    </row>
    <row r="146" spans="5:35" x14ac:dyDescent="0.45">
      <c r="E146" t="s">
        <v>1421</v>
      </c>
      <c r="G146" t="s">
        <v>155</v>
      </c>
      <c r="I146" t="s">
        <v>249</v>
      </c>
      <c r="J146" t="s">
        <v>1669</v>
      </c>
      <c r="K146">
        <v>0</v>
      </c>
      <c r="L146" t="s">
        <v>251</v>
      </c>
      <c r="N146" t="s">
        <v>419</v>
      </c>
      <c r="O146" t="s">
        <v>1669</v>
      </c>
      <c r="P146">
        <v>3.8050145998557824E-5</v>
      </c>
      <c r="Q146" t="s">
        <v>251</v>
      </c>
      <c r="S146" t="s">
        <v>420</v>
      </c>
      <c r="T146" t="s">
        <v>1669</v>
      </c>
      <c r="U146">
        <v>1.2943191996009999E-4</v>
      </c>
      <c r="V146" t="s">
        <v>251</v>
      </c>
      <c r="X146">
        <v>1.1415525114155251E-4</v>
      </c>
      <c r="Y146">
        <v>2.9833677249334962E-5</v>
      </c>
      <c r="Z146" t="s">
        <v>1669</v>
      </c>
      <c r="AA146" t="s">
        <v>25</v>
      </c>
      <c r="AC146" t="s">
        <v>22</v>
      </c>
      <c r="AD146" t="s">
        <v>1669</v>
      </c>
      <c r="AE146">
        <v>1.0346154799723607E-4</v>
      </c>
      <c r="AG146" t="s">
        <v>99</v>
      </c>
      <c r="AH146" t="s">
        <v>1669</v>
      </c>
      <c r="AI146">
        <v>0</v>
      </c>
    </row>
    <row r="147" spans="5:35" x14ac:dyDescent="0.45">
      <c r="E147" t="s">
        <v>1422</v>
      </c>
      <c r="G147" t="s">
        <v>155</v>
      </c>
      <c r="I147" t="s">
        <v>249</v>
      </c>
      <c r="J147" t="s">
        <v>948</v>
      </c>
      <c r="K147">
        <v>0</v>
      </c>
      <c r="L147" t="s">
        <v>251</v>
      </c>
      <c r="N147" t="s">
        <v>419</v>
      </c>
      <c r="O147" t="s">
        <v>948</v>
      </c>
      <c r="P147">
        <v>3.8371264125067557E-5</v>
      </c>
      <c r="Q147" t="s">
        <v>251</v>
      </c>
      <c r="S147" t="s">
        <v>420</v>
      </c>
      <c r="T147" t="s">
        <v>948</v>
      </c>
      <c r="U147">
        <v>1.2575083022910001E-4</v>
      </c>
      <c r="V147" t="s">
        <v>251</v>
      </c>
      <c r="X147">
        <v>1.1415525114155251E-4</v>
      </c>
      <c r="Y147">
        <v>2.1546544680075254E-5</v>
      </c>
      <c r="Z147" t="s">
        <v>948</v>
      </c>
      <c r="AA147" t="s">
        <v>25</v>
      </c>
      <c r="AC147" t="s">
        <v>22</v>
      </c>
      <c r="AD147" t="s">
        <v>948</v>
      </c>
      <c r="AE147">
        <v>1.0573703153327433E-4</v>
      </c>
      <c r="AG147" t="s">
        <v>99</v>
      </c>
      <c r="AH147" t="s">
        <v>948</v>
      </c>
      <c r="AI147">
        <v>0</v>
      </c>
    </row>
    <row r="148" spans="5:35" x14ac:dyDescent="0.45">
      <c r="E148" t="s">
        <v>1423</v>
      </c>
      <c r="G148" t="s">
        <v>155</v>
      </c>
      <c r="I148" t="s">
        <v>249</v>
      </c>
      <c r="J148" t="s">
        <v>949</v>
      </c>
      <c r="K148">
        <v>0</v>
      </c>
      <c r="L148" t="s">
        <v>251</v>
      </c>
      <c r="N148" t="s">
        <v>419</v>
      </c>
      <c r="O148" t="s">
        <v>949</v>
      </c>
      <c r="P148">
        <v>3.8726650163760877E-5</v>
      </c>
      <c r="Q148" t="s">
        <v>251</v>
      </c>
      <c r="S148" t="s">
        <v>420</v>
      </c>
      <c r="T148" t="s">
        <v>949</v>
      </c>
      <c r="U148">
        <v>1.272616139587E-4</v>
      </c>
      <c r="V148" t="s">
        <v>251</v>
      </c>
      <c r="X148">
        <v>1.1415525114155251E-4</v>
      </c>
      <c r="Y148">
        <v>1.4916838624667481E-5</v>
      </c>
      <c r="Z148" t="s">
        <v>949</v>
      </c>
      <c r="AA148" t="s">
        <v>25</v>
      </c>
      <c r="AC148" t="s">
        <v>22</v>
      </c>
      <c r="AD148" t="s">
        <v>949</v>
      </c>
      <c r="AE148">
        <v>1.0599912911334156E-4</v>
      </c>
      <c r="AG148" t="s">
        <v>99</v>
      </c>
      <c r="AH148" t="s">
        <v>949</v>
      </c>
      <c r="AI148">
        <v>0</v>
      </c>
    </row>
    <row r="149" spans="5:35" x14ac:dyDescent="0.45">
      <c r="E149" t="s">
        <v>1424</v>
      </c>
      <c r="G149" t="s">
        <v>155</v>
      </c>
      <c r="I149" t="s">
        <v>249</v>
      </c>
      <c r="J149" t="s">
        <v>950</v>
      </c>
      <c r="K149">
        <v>0</v>
      </c>
      <c r="L149" t="s">
        <v>251</v>
      </c>
      <c r="N149" t="s">
        <v>419</v>
      </c>
      <c r="O149" t="s">
        <v>950</v>
      </c>
      <c r="P149">
        <v>3.9651681984018402E-5</v>
      </c>
      <c r="Q149" t="s">
        <v>251</v>
      </c>
      <c r="S149" t="s">
        <v>420</v>
      </c>
      <c r="T149" t="s">
        <v>950</v>
      </c>
      <c r="U149">
        <v>1.3408828755049999E-4</v>
      </c>
      <c r="V149" t="s">
        <v>251</v>
      </c>
      <c r="X149">
        <v>1.1415525114155251E-4</v>
      </c>
      <c r="Y149">
        <v>1.6574265138519424E-5</v>
      </c>
      <c r="Z149" t="s">
        <v>950</v>
      </c>
      <c r="AA149" t="s">
        <v>25</v>
      </c>
      <c r="AC149" t="s">
        <v>22</v>
      </c>
      <c r="AD149" t="s">
        <v>950</v>
      </c>
      <c r="AE149">
        <v>1.0435506247473796E-4</v>
      </c>
      <c r="AG149" t="s">
        <v>99</v>
      </c>
      <c r="AH149" t="s">
        <v>950</v>
      </c>
      <c r="AI149">
        <v>0</v>
      </c>
    </row>
    <row r="150" spans="5:35" x14ac:dyDescent="0.45">
      <c r="E150" t="s">
        <v>1425</v>
      </c>
      <c r="G150" t="s">
        <v>155</v>
      </c>
      <c r="I150" t="s">
        <v>249</v>
      </c>
      <c r="J150" t="s">
        <v>951</v>
      </c>
      <c r="K150">
        <v>0</v>
      </c>
      <c r="L150" t="s">
        <v>251</v>
      </c>
      <c r="N150" t="s">
        <v>419</v>
      </c>
      <c r="O150" t="s">
        <v>951</v>
      </c>
      <c r="P150">
        <v>4.2059248153936525E-5</v>
      </c>
      <c r="Q150" t="s">
        <v>251</v>
      </c>
      <c r="S150" t="s">
        <v>420</v>
      </c>
      <c r="T150" t="s">
        <v>951</v>
      </c>
      <c r="U150">
        <v>1.4205311971609999E-4</v>
      </c>
      <c r="V150" t="s">
        <v>251</v>
      </c>
      <c r="X150">
        <v>1.1415525114155251E-4</v>
      </c>
      <c r="Y150">
        <v>1.4585353321897093E-5</v>
      </c>
      <c r="Z150" t="s">
        <v>951</v>
      </c>
      <c r="AA150" t="s">
        <v>25</v>
      </c>
      <c r="AC150" t="s">
        <v>22</v>
      </c>
      <c r="AD150" t="s">
        <v>951</v>
      </c>
      <c r="AE150">
        <v>1.0401552697328726E-4</v>
      </c>
      <c r="AG150" t="s">
        <v>99</v>
      </c>
      <c r="AH150" t="s">
        <v>951</v>
      </c>
      <c r="AI150">
        <v>0</v>
      </c>
    </row>
    <row r="151" spans="5:35" x14ac:dyDescent="0.45">
      <c r="E151" t="s">
        <v>1426</v>
      </c>
      <c r="G151" t="s">
        <v>155</v>
      </c>
      <c r="I151" t="s">
        <v>249</v>
      </c>
      <c r="J151" t="s">
        <v>952</v>
      </c>
      <c r="K151">
        <v>0</v>
      </c>
      <c r="L151" t="s">
        <v>251</v>
      </c>
      <c r="N151" t="s">
        <v>419</v>
      </c>
      <c r="O151" t="s">
        <v>952</v>
      </c>
      <c r="P151">
        <v>4.3360095149071339E-5</v>
      </c>
      <c r="Q151" t="s">
        <v>251</v>
      </c>
      <c r="S151" t="s">
        <v>420</v>
      </c>
      <c r="T151" t="s">
        <v>952</v>
      </c>
      <c r="U151">
        <v>1.4462001595000001E-4</v>
      </c>
      <c r="V151" t="s">
        <v>251</v>
      </c>
      <c r="X151">
        <v>1.1415525114155251E-4</v>
      </c>
      <c r="Y151">
        <v>2.1215059377304864E-5</v>
      </c>
      <c r="Z151" t="s">
        <v>952</v>
      </c>
      <c r="AA151" t="s">
        <v>25</v>
      </c>
      <c r="AC151" t="s">
        <v>22</v>
      </c>
      <c r="AD151" t="s">
        <v>952</v>
      </c>
      <c r="AE151">
        <v>1.0383086731460351E-4</v>
      </c>
      <c r="AG151" t="s">
        <v>99</v>
      </c>
      <c r="AH151" t="s">
        <v>952</v>
      </c>
      <c r="AI151">
        <v>0</v>
      </c>
    </row>
    <row r="152" spans="5:35" x14ac:dyDescent="0.45">
      <c r="E152" t="s">
        <v>1427</v>
      </c>
      <c r="G152" t="s">
        <v>155</v>
      </c>
      <c r="I152" t="s">
        <v>249</v>
      </c>
      <c r="J152" t="s">
        <v>953</v>
      </c>
      <c r="K152">
        <v>0</v>
      </c>
      <c r="L152" t="s">
        <v>251</v>
      </c>
      <c r="N152" t="s">
        <v>419</v>
      </c>
      <c r="O152" t="s">
        <v>953</v>
      </c>
      <c r="P152">
        <v>4.3734789600527057E-5</v>
      </c>
      <c r="Q152" t="s">
        <v>251</v>
      </c>
      <c r="S152" t="s">
        <v>420</v>
      </c>
      <c r="T152" t="s">
        <v>953</v>
      </c>
      <c r="U152">
        <v>1.3872302664580001E-4</v>
      </c>
      <c r="V152" t="s">
        <v>251</v>
      </c>
      <c r="X152">
        <v>1.1415525114155251E-4</v>
      </c>
      <c r="Y152">
        <v>5.7678442682047593E-5</v>
      </c>
      <c r="Z152" t="s">
        <v>953</v>
      </c>
      <c r="AA152" t="s">
        <v>25</v>
      </c>
      <c r="AC152" t="s">
        <v>22</v>
      </c>
      <c r="AD152" t="s">
        <v>953</v>
      </c>
      <c r="AE152">
        <v>1.0454567889660505E-4</v>
      </c>
      <c r="AG152" t="s">
        <v>99</v>
      </c>
      <c r="AH152" t="s">
        <v>953</v>
      </c>
      <c r="AI152">
        <v>0</v>
      </c>
    </row>
    <row r="153" spans="5:35" x14ac:dyDescent="0.45">
      <c r="E153" t="s">
        <v>1428</v>
      </c>
      <c r="G153" t="s">
        <v>155</v>
      </c>
      <c r="I153" t="s">
        <v>249</v>
      </c>
      <c r="J153" t="s">
        <v>954</v>
      </c>
      <c r="K153">
        <v>0</v>
      </c>
      <c r="L153" t="s">
        <v>251</v>
      </c>
      <c r="N153" t="s">
        <v>419</v>
      </c>
      <c r="O153" t="s">
        <v>954</v>
      </c>
      <c r="P153">
        <v>4.2476191356420819E-5</v>
      </c>
      <c r="Q153" t="s">
        <v>251</v>
      </c>
      <c r="S153" t="s">
        <v>420</v>
      </c>
      <c r="T153" t="s">
        <v>954</v>
      </c>
      <c r="U153">
        <v>1.267676844096E-4</v>
      </c>
      <c r="V153" t="s">
        <v>251</v>
      </c>
      <c r="X153">
        <v>1.1415525114155251E-4</v>
      </c>
      <c r="Y153">
        <v>1.6905750441289813E-4</v>
      </c>
      <c r="Z153" t="s">
        <v>954</v>
      </c>
      <c r="AA153" t="s">
        <v>25</v>
      </c>
      <c r="AC153" t="s">
        <v>22</v>
      </c>
      <c r="AD153" t="s">
        <v>954</v>
      </c>
      <c r="AE153">
        <v>1.0518900932040648E-4</v>
      </c>
      <c r="AG153" t="s">
        <v>99</v>
      </c>
      <c r="AH153" t="s">
        <v>954</v>
      </c>
      <c r="AI153">
        <v>0</v>
      </c>
    </row>
    <row r="154" spans="5:35" x14ac:dyDescent="0.45">
      <c r="E154" t="s">
        <v>1429</v>
      </c>
      <c r="G154" t="s">
        <v>155</v>
      </c>
      <c r="I154" t="s">
        <v>249</v>
      </c>
      <c r="J154" t="s">
        <v>955</v>
      </c>
      <c r="K154">
        <v>4.2088493976118691E-5</v>
      </c>
      <c r="L154" t="s">
        <v>251</v>
      </c>
      <c r="N154" t="s">
        <v>419</v>
      </c>
      <c r="O154" t="s">
        <v>955</v>
      </c>
      <c r="P154">
        <v>4.2241317629927213E-5</v>
      </c>
      <c r="Q154" t="s">
        <v>251</v>
      </c>
      <c r="S154" t="s">
        <v>420</v>
      </c>
      <c r="T154" t="s">
        <v>955</v>
      </c>
      <c r="U154">
        <v>1.2132950247169999E-4</v>
      </c>
      <c r="V154" t="s">
        <v>251</v>
      </c>
      <c r="X154">
        <v>1.1415525114155251E-4</v>
      </c>
      <c r="Y154">
        <v>1.9060404909297337E-4</v>
      </c>
      <c r="Z154" t="s">
        <v>955</v>
      </c>
      <c r="AA154" t="s">
        <v>25</v>
      </c>
      <c r="AC154" t="s">
        <v>22</v>
      </c>
      <c r="AD154" t="s">
        <v>955</v>
      </c>
      <c r="AE154">
        <v>1.1347486690844107E-4</v>
      </c>
      <c r="AG154" t="s">
        <v>99</v>
      </c>
      <c r="AH154" t="s">
        <v>955</v>
      </c>
      <c r="AI154">
        <v>0</v>
      </c>
    </row>
    <row r="155" spans="5:35" x14ac:dyDescent="0.45">
      <c r="E155" t="s">
        <v>1430</v>
      </c>
      <c r="G155" t="s">
        <v>155</v>
      </c>
      <c r="I155" t="s">
        <v>249</v>
      </c>
      <c r="J155" t="s">
        <v>956</v>
      </c>
      <c r="K155">
        <v>9.1010527801431166E-5</v>
      </c>
      <c r="L155" t="s">
        <v>251</v>
      </c>
      <c r="N155" t="s">
        <v>419</v>
      </c>
      <c r="O155" t="s">
        <v>956</v>
      </c>
      <c r="P155">
        <v>3.6121438182476335E-5</v>
      </c>
      <c r="Q155" t="s">
        <v>251</v>
      </c>
      <c r="S155" t="s">
        <v>420</v>
      </c>
      <c r="T155" t="s">
        <v>956</v>
      </c>
      <c r="U155">
        <v>1.02526003739E-4</v>
      </c>
      <c r="V155" t="s">
        <v>251</v>
      </c>
      <c r="X155">
        <v>1.1415525114155251E-4</v>
      </c>
      <c r="Y155">
        <v>1.4585353321897094E-4</v>
      </c>
      <c r="Z155" t="s">
        <v>956</v>
      </c>
      <c r="AA155" t="s">
        <v>25</v>
      </c>
      <c r="AC155" t="s">
        <v>22</v>
      </c>
      <c r="AD155" t="s">
        <v>956</v>
      </c>
      <c r="AE155">
        <v>1.1804966103325096E-4</v>
      </c>
      <c r="AG155" t="s">
        <v>99</v>
      </c>
      <c r="AH155" t="s">
        <v>956</v>
      </c>
      <c r="AI155">
        <v>0</v>
      </c>
    </row>
    <row r="156" spans="5:35" x14ac:dyDescent="0.45">
      <c r="E156" t="s">
        <v>1431</v>
      </c>
      <c r="G156" t="s">
        <v>155</v>
      </c>
      <c r="I156" t="s">
        <v>249</v>
      </c>
      <c r="J156" t="s">
        <v>957</v>
      </c>
      <c r="K156">
        <v>1.1903975573000001E-4</v>
      </c>
      <c r="L156" t="s">
        <v>251</v>
      </c>
      <c r="N156" t="s">
        <v>419</v>
      </c>
      <c r="O156" t="s">
        <v>957</v>
      </c>
      <c r="P156">
        <v>2.2805844164008077E-5</v>
      </c>
      <c r="Q156" t="s">
        <v>251</v>
      </c>
      <c r="S156" t="s">
        <v>420</v>
      </c>
      <c r="T156" t="s">
        <v>957</v>
      </c>
      <c r="U156">
        <v>9.2038515357713483E-5</v>
      </c>
      <c r="V156" t="s">
        <v>251</v>
      </c>
      <c r="X156">
        <v>1.1415525114155251E-4</v>
      </c>
      <c r="Y156">
        <v>1.4452759200788939E-4</v>
      </c>
      <c r="Z156" t="s">
        <v>957</v>
      </c>
      <c r="AA156" t="s">
        <v>25</v>
      </c>
      <c r="AC156" t="s">
        <v>22</v>
      </c>
      <c r="AD156" t="s">
        <v>957</v>
      </c>
      <c r="AE156">
        <v>1.1836536948196835E-4</v>
      </c>
      <c r="AG156" t="s">
        <v>99</v>
      </c>
      <c r="AH156" t="s">
        <v>957</v>
      </c>
      <c r="AI156">
        <v>0</v>
      </c>
    </row>
    <row r="157" spans="5:35" x14ac:dyDescent="0.45">
      <c r="E157" t="s">
        <v>1432</v>
      </c>
      <c r="G157" t="s">
        <v>155</v>
      </c>
      <c r="I157" t="s">
        <v>249</v>
      </c>
      <c r="J157" t="s">
        <v>958</v>
      </c>
      <c r="K157">
        <v>1.4503500350779999E-4</v>
      </c>
      <c r="L157" t="s">
        <v>251</v>
      </c>
      <c r="N157" t="s">
        <v>419</v>
      </c>
      <c r="O157" t="s">
        <v>958</v>
      </c>
      <c r="P157">
        <v>2.2558338102696715E-5</v>
      </c>
      <c r="Q157" t="s">
        <v>251</v>
      </c>
      <c r="S157" t="s">
        <v>420</v>
      </c>
      <c r="T157" t="s">
        <v>958</v>
      </c>
      <c r="U157">
        <v>9.4829053183039755E-5</v>
      </c>
      <c r="V157" t="s">
        <v>251</v>
      </c>
      <c r="X157">
        <v>1.1415525114155251E-4</v>
      </c>
      <c r="Y157">
        <v>1.408812536774151E-4</v>
      </c>
      <c r="Z157" t="s">
        <v>958</v>
      </c>
      <c r="AA157" t="s">
        <v>25</v>
      </c>
      <c r="AC157" t="s">
        <v>22</v>
      </c>
      <c r="AD157" t="s">
        <v>958</v>
      </c>
      <c r="AE157">
        <v>1.2213004381384315E-4</v>
      </c>
      <c r="AG157" t="s">
        <v>99</v>
      </c>
      <c r="AH157" t="s">
        <v>958</v>
      </c>
      <c r="AI157">
        <v>0</v>
      </c>
    </row>
    <row r="158" spans="5:35" x14ac:dyDescent="0.45">
      <c r="E158" t="s">
        <v>1433</v>
      </c>
      <c r="G158" t="s">
        <v>155</v>
      </c>
      <c r="I158" t="s">
        <v>249</v>
      </c>
      <c r="J158" t="s">
        <v>959</v>
      </c>
      <c r="K158">
        <v>1.6352714791019999E-4</v>
      </c>
      <c r="L158" t="s">
        <v>251</v>
      </c>
      <c r="N158" t="s">
        <v>419</v>
      </c>
      <c r="O158" t="s">
        <v>959</v>
      </c>
      <c r="P158">
        <v>1.9318083555611008E-5</v>
      </c>
      <c r="Q158" t="s">
        <v>251</v>
      </c>
      <c r="S158" t="s">
        <v>420</v>
      </c>
      <c r="T158" t="s">
        <v>959</v>
      </c>
      <c r="U158">
        <v>9.8971979330254097E-5</v>
      </c>
      <c r="V158" t="s">
        <v>251</v>
      </c>
      <c r="X158">
        <v>1.1415525114155251E-4</v>
      </c>
      <c r="Y158">
        <v>1.4054976837464471E-4</v>
      </c>
      <c r="Z158" t="s">
        <v>959</v>
      </c>
      <c r="AA158" t="s">
        <v>25</v>
      </c>
      <c r="AC158" t="s">
        <v>22</v>
      </c>
      <c r="AD158" t="s">
        <v>959</v>
      </c>
      <c r="AE158">
        <v>1.2158797836415864E-4</v>
      </c>
      <c r="AG158" t="s">
        <v>99</v>
      </c>
      <c r="AH158" t="s">
        <v>959</v>
      </c>
      <c r="AI158">
        <v>0</v>
      </c>
    </row>
    <row r="159" spans="5:35" x14ac:dyDescent="0.45">
      <c r="E159" t="s">
        <v>1434</v>
      </c>
      <c r="G159" t="s">
        <v>155</v>
      </c>
      <c r="I159" t="s">
        <v>249</v>
      </c>
      <c r="J159" t="s">
        <v>960</v>
      </c>
      <c r="K159">
        <v>1.885941073801E-4</v>
      </c>
      <c r="L159" t="s">
        <v>251</v>
      </c>
      <c r="N159" t="s">
        <v>419</v>
      </c>
      <c r="O159" t="s">
        <v>960</v>
      </c>
      <c r="P159">
        <v>1.6656617674035167E-5</v>
      </c>
      <c r="Q159" t="s">
        <v>251</v>
      </c>
      <c r="S159" t="s">
        <v>420</v>
      </c>
      <c r="T159" t="s">
        <v>960</v>
      </c>
      <c r="U159">
        <v>1.0921758084890001E-4</v>
      </c>
      <c r="V159" t="s">
        <v>251</v>
      </c>
      <c r="X159">
        <v>1.1415525114155251E-4</v>
      </c>
      <c r="Y159">
        <v>1.4253868019126702E-4</v>
      </c>
      <c r="Z159" t="s">
        <v>960</v>
      </c>
      <c r="AA159" t="s">
        <v>25</v>
      </c>
      <c r="AC159" t="s">
        <v>22</v>
      </c>
      <c r="AD159" t="s">
        <v>960</v>
      </c>
      <c r="AE159">
        <v>1.1750163882038311E-4</v>
      </c>
      <c r="AG159" t="s">
        <v>99</v>
      </c>
      <c r="AH159" t="s">
        <v>960</v>
      </c>
      <c r="AI159">
        <v>0</v>
      </c>
    </row>
    <row r="160" spans="5:35" x14ac:dyDescent="0.45">
      <c r="E160" t="s">
        <v>1435</v>
      </c>
      <c r="G160" t="s">
        <v>155</v>
      </c>
      <c r="I160" t="s">
        <v>249</v>
      </c>
      <c r="J160" t="s">
        <v>961</v>
      </c>
      <c r="K160">
        <v>1.6023971343690001E-4</v>
      </c>
      <c r="L160" t="s">
        <v>251</v>
      </c>
      <c r="N160" t="s">
        <v>419</v>
      </c>
      <c r="O160" t="s">
        <v>961</v>
      </c>
      <c r="P160">
        <v>1.6070847510919575E-5</v>
      </c>
      <c r="Q160" t="s">
        <v>251</v>
      </c>
      <c r="S160" t="s">
        <v>420</v>
      </c>
      <c r="T160" t="s">
        <v>961</v>
      </c>
      <c r="U160">
        <v>1.23242615431E-4</v>
      </c>
      <c r="V160" t="s">
        <v>251</v>
      </c>
      <c r="X160">
        <v>1.1415525114155251E-4</v>
      </c>
      <c r="Y160">
        <v>1.4883690094390442E-4</v>
      </c>
      <c r="Z160" t="s">
        <v>961</v>
      </c>
      <c r="AA160" t="s">
        <v>25</v>
      </c>
      <c r="AC160" t="s">
        <v>22</v>
      </c>
      <c r="AD160" t="s">
        <v>961</v>
      </c>
      <c r="AE160">
        <v>1.1259922272048917E-4</v>
      </c>
      <c r="AG160" t="s">
        <v>99</v>
      </c>
      <c r="AH160" t="s">
        <v>961</v>
      </c>
      <c r="AI160">
        <v>0</v>
      </c>
    </row>
    <row r="161" spans="5:35" x14ac:dyDescent="0.45">
      <c r="E161" t="s">
        <v>1436</v>
      </c>
      <c r="G161" t="s">
        <v>155</v>
      </c>
      <c r="I161" t="s">
        <v>249</v>
      </c>
      <c r="J161" t="s">
        <v>962</v>
      </c>
      <c r="K161">
        <v>1.3822530568859999E-4</v>
      </c>
      <c r="L161" t="s">
        <v>251</v>
      </c>
      <c r="N161" t="s">
        <v>419</v>
      </c>
      <c r="O161" t="s">
        <v>962</v>
      </c>
      <c r="P161">
        <v>1.8044539513554121E-5</v>
      </c>
      <c r="Q161" t="s">
        <v>251</v>
      </c>
      <c r="S161" t="s">
        <v>420</v>
      </c>
      <c r="T161" t="s">
        <v>962</v>
      </c>
      <c r="U161">
        <v>1.3476073238589999E-4</v>
      </c>
      <c r="V161" t="s">
        <v>251</v>
      </c>
      <c r="X161">
        <v>1.1415525114155251E-4</v>
      </c>
      <c r="Y161">
        <v>1.5049432745775637E-4</v>
      </c>
      <c r="Z161" t="s">
        <v>962</v>
      </c>
      <c r="AA161" t="s">
        <v>25</v>
      </c>
      <c r="AC161" t="s">
        <v>22</v>
      </c>
      <c r="AD161" t="s">
        <v>962</v>
      </c>
      <c r="AE161">
        <v>1.0156729730493193E-4</v>
      </c>
      <c r="AG161" t="s">
        <v>99</v>
      </c>
      <c r="AH161" t="s">
        <v>962</v>
      </c>
      <c r="AI161">
        <v>0</v>
      </c>
    </row>
    <row r="162" spans="5:35" x14ac:dyDescent="0.45">
      <c r="E162" t="s">
        <v>1437</v>
      </c>
      <c r="G162" t="s">
        <v>155</v>
      </c>
      <c r="I162" t="s">
        <v>249</v>
      </c>
      <c r="J162" t="s">
        <v>963</v>
      </c>
      <c r="K162">
        <v>1.147495500865E-4</v>
      </c>
      <c r="L162" t="s">
        <v>251</v>
      </c>
      <c r="N162" t="s">
        <v>419</v>
      </c>
      <c r="O162" t="s">
        <v>963</v>
      </c>
      <c r="P162">
        <v>2.1976238570097733E-5</v>
      </c>
      <c r="Q162" t="s">
        <v>251</v>
      </c>
      <c r="S162" t="s">
        <v>420</v>
      </c>
      <c r="T162" t="s">
        <v>963</v>
      </c>
      <c r="U162">
        <v>1.365445414284E-4</v>
      </c>
      <c r="V162" t="s">
        <v>251</v>
      </c>
      <c r="X162">
        <v>1.1415525114155251E-4</v>
      </c>
      <c r="Y162">
        <v>1.7237235744060203E-4</v>
      </c>
      <c r="Z162" t="s">
        <v>963</v>
      </c>
      <c r="AA162" t="s">
        <v>25</v>
      </c>
      <c r="AC162" t="s">
        <v>22</v>
      </c>
      <c r="AD162" t="s">
        <v>963</v>
      </c>
      <c r="AE162">
        <v>8.6395421476949101E-5</v>
      </c>
      <c r="AG162" t="s">
        <v>99</v>
      </c>
      <c r="AH162" t="s">
        <v>963</v>
      </c>
      <c r="AI162">
        <v>0</v>
      </c>
    </row>
    <row r="163" spans="5:35" x14ac:dyDescent="0.45">
      <c r="E163" t="s">
        <v>1438</v>
      </c>
      <c r="G163" t="s">
        <v>155</v>
      </c>
      <c r="I163" t="s">
        <v>249</v>
      </c>
      <c r="J163" t="s">
        <v>964</v>
      </c>
      <c r="K163">
        <v>1.1997668960330001E-4</v>
      </c>
      <c r="L163" t="s">
        <v>251</v>
      </c>
      <c r="N163" t="s">
        <v>419</v>
      </c>
      <c r="O163" t="s">
        <v>964</v>
      </c>
      <c r="P163">
        <v>2.564398788859073E-5</v>
      </c>
      <c r="Q163" t="s">
        <v>251</v>
      </c>
      <c r="S163" t="s">
        <v>420</v>
      </c>
      <c r="T163" t="s">
        <v>964</v>
      </c>
      <c r="U163">
        <v>1.3785085680899999E-4</v>
      </c>
      <c r="V163" t="s">
        <v>251</v>
      </c>
      <c r="X163">
        <v>1.1415525114155251E-4</v>
      </c>
      <c r="Y163">
        <v>2.2209515285616027E-4</v>
      </c>
      <c r="Z163" t="s">
        <v>964</v>
      </c>
      <c r="AA163" t="s">
        <v>25</v>
      </c>
      <c r="AC163" t="s">
        <v>22</v>
      </c>
      <c r="AD163" t="s">
        <v>964</v>
      </c>
      <c r="AE163">
        <v>8.1689578562105583E-5</v>
      </c>
      <c r="AG163" t="s">
        <v>99</v>
      </c>
      <c r="AH163" t="s">
        <v>964</v>
      </c>
      <c r="AI163">
        <v>0</v>
      </c>
    </row>
    <row r="164" spans="5:35" x14ac:dyDescent="0.45">
      <c r="E164" t="s">
        <v>1439</v>
      </c>
      <c r="G164" t="s">
        <v>155</v>
      </c>
      <c r="I164" t="s">
        <v>249</v>
      </c>
      <c r="J164" t="s">
        <v>965</v>
      </c>
      <c r="K164">
        <v>1.070964015411E-4</v>
      </c>
      <c r="L164" t="s">
        <v>251</v>
      </c>
      <c r="N164" t="s">
        <v>419</v>
      </c>
      <c r="O164" t="s">
        <v>965</v>
      </c>
      <c r="P164">
        <v>2.9297939518311E-5</v>
      </c>
      <c r="Q164" t="s">
        <v>251</v>
      </c>
      <c r="S164" t="s">
        <v>420</v>
      </c>
      <c r="T164" t="s">
        <v>965</v>
      </c>
      <c r="U164">
        <v>1.3541772348849999E-4</v>
      </c>
      <c r="V164" t="s">
        <v>251</v>
      </c>
      <c r="X164">
        <v>1.1415525114155251E-4</v>
      </c>
      <c r="Y164">
        <v>2.2209515285616027E-4</v>
      </c>
      <c r="Z164" t="s">
        <v>965</v>
      </c>
      <c r="AA164" t="s">
        <v>25</v>
      </c>
      <c r="AC164" t="s">
        <v>22</v>
      </c>
      <c r="AD164" t="s">
        <v>965</v>
      </c>
      <c r="AE164">
        <v>7.636423227619405E-5</v>
      </c>
      <c r="AG164" t="s">
        <v>99</v>
      </c>
      <c r="AH164" t="s">
        <v>965</v>
      </c>
      <c r="AI164">
        <v>0</v>
      </c>
    </row>
    <row r="165" spans="5:35" x14ac:dyDescent="0.45">
      <c r="E165" t="s">
        <v>1440</v>
      </c>
      <c r="G165" t="s">
        <v>155</v>
      </c>
      <c r="I165" t="s">
        <v>249</v>
      </c>
      <c r="J165" t="s">
        <v>966</v>
      </c>
      <c r="K165">
        <v>1.2153989827617857E-5</v>
      </c>
      <c r="L165" t="s">
        <v>251</v>
      </c>
      <c r="N165" t="s">
        <v>419</v>
      </c>
      <c r="O165" t="s">
        <v>966</v>
      </c>
      <c r="P165">
        <v>3.423477342543982E-5</v>
      </c>
      <c r="Q165" t="s">
        <v>251</v>
      </c>
      <c r="S165" t="s">
        <v>420</v>
      </c>
      <c r="T165" t="s">
        <v>966</v>
      </c>
      <c r="U165">
        <v>1.290188611047E-4</v>
      </c>
      <c r="V165" t="s">
        <v>251</v>
      </c>
      <c r="X165">
        <v>1.1415525114155251E-4</v>
      </c>
      <c r="Y165">
        <v>1.7237235744060203E-4</v>
      </c>
      <c r="Z165" t="s">
        <v>966</v>
      </c>
      <c r="AA165" t="s">
        <v>25</v>
      </c>
      <c r="AC165" t="s">
        <v>22</v>
      </c>
      <c r="AD165" t="s">
        <v>966</v>
      </c>
      <c r="AE165">
        <v>7.5804296536959492E-5</v>
      </c>
      <c r="AG165" t="s">
        <v>99</v>
      </c>
      <c r="AH165" t="s">
        <v>966</v>
      </c>
      <c r="AI165">
        <v>0</v>
      </c>
    </row>
    <row r="166" spans="5:35" x14ac:dyDescent="0.45">
      <c r="E166" t="s">
        <v>1441</v>
      </c>
      <c r="G166" t="s">
        <v>155</v>
      </c>
      <c r="I166" t="s">
        <v>249</v>
      </c>
      <c r="J166" t="s">
        <v>967</v>
      </c>
      <c r="K166">
        <v>0</v>
      </c>
      <c r="L166" t="s">
        <v>251</v>
      </c>
      <c r="N166" t="s">
        <v>419</v>
      </c>
      <c r="O166" t="s">
        <v>967</v>
      </c>
      <c r="P166">
        <v>3.3828296415566458E-5</v>
      </c>
      <c r="Q166" t="s">
        <v>251</v>
      </c>
      <c r="S166" t="s">
        <v>420</v>
      </c>
      <c r="T166" t="s">
        <v>967</v>
      </c>
      <c r="U166">
        <v>1.157807621973E-4</v>
      </c>
      <c r="V166" t="s">
        <v>251</v>
      </c>
      <c r="X166">
        <v>1.1415525114155251E-4</v>
      </c>
      <c r="Y166">
        <v>1.5579809230208258E-4</v>
      </c>
      <c r="Z166" t="s">
        <v>967</v>
      </c>
      <c r="AA166" t="s">
        <v>25</v>
      </c>
      <c r="AC166" t="s">
        <v>22</v>
      </c>
      <c r="AD166" t="s">
        <v>967</v>
      </c>
      <c r="AE166">
        <v>7.688247067314518E-5</v>
      </c>
      <c r="AG166" t="s">
        <v>99</v>
      </c>
      <c r="AH166" t="s">
        <v>967</v>
      </c>
      <c r="AI166">
        <v>0</v>
      </c>
    </row>
    <row r="167" spans="5:35" x14ac:dyDescent="0.45">
      <c r="E167" t="s">
        <v>1442</v>
      </c>
      <c r="G167" t="s">
        <v>155</v>
      </c>
      <c r="I167" t="s">
        <v>249</v>
      </c>
      <c r="J167" t="s">
        <v>968</v>
      </c>
      <c r="K167">
        <v>0</v>
      </c>
      <c r="L167" t="s">
        <v>251</v>
      </c>
      <c r="N167" t="s">
        <v>419</v>
      </c>
      <c r="O167" t="s">
        <v>968</v>
      </c>
      <c r="P167">
        <v>3.7221247012404903E-5</v>
      </c>
      <c r="Q167" t="s">
        <v>251</v>
      </c>
      <c r="S167" t="s">
        <v>420</v>
      </c>
      <c r="T167" t="s">
        <v>968</v>
      </c>
      <c r="U167">
        <v>1.111510433719E-4</v>
      </c>
      <c r="V167" t="s">
        <v>251</v>
      </c>
      <c r="X167">
        <v>1.1415525114155251E-4</v>
      </c>
      <c r="Y167">
        <v>1.093901499142282E-4</v>
      </c>
      <c r="Z167" t="s">
        <v>968</v>
      </c>
      <c r="AA167" t="s">
        <v>25</v>
      </c>
      <c r="AC167" t="s">
        <v>22</v>
      </c>
      <c r="AD167" t="s">
        <v>968</v>
      </c>
      <c r="AE167">
        <v>8.2410346907290456E-5</v>
      </c>
      <c r="AG167" t="s">
        <v>99</v>
      </c>
      <c r="AH167" t="s">
        <v>968</v>
      </c>
      <c r="AI167">
        <v>0</v>
      </c>
    </row>
    <row r="168" spans="5:35" x14ac:dyDescent="0.45">
      <c r="E168" t="s">
        <v>1443</v>
      </c>
      <c r="G168" t="s">
        <v>155</v>
      </c>
      <c r="I168" t="s">
        <v>249</v>
      </c>
      <c r="J168" t="s">
        <v>969</v>
      </c>
      <c r="K168">
        <v>0</v>
      </c>
      <c r="L168" t="s">
        <v>251</v>
      </c>
      <c r="N168" t="s">
        <v>419</v>
      </c>
      <c r="O168" t="s">
        <v>969</v>
      </c>
      <c r="P168">
        <v>4.2456836956011083E-5</v>
      </c>
      <c r="Q168" t="s">
        <v>251</v>
      </c>
      <c r="S168" t="s">
        <v>420</v>
      </c>
      <c r="T168" t="s">
        <v>969</v>
      </c>
      <c r="U168">
        <v>1.108555649766E-4</v>
      </c>
      <c r="V168" t="s">
        <v>251</v>
      </c>
      <c r="X168">
        <v>1.1415525114155251E-4</v>
      </c>
      <c r="Y168">
        <v>7.9556472664893237E-5</v>
      </c>
      <c r="Z168" t="s">
        <v>969</v>
      </c>
      <c r="AA168" t="s">
        <v>25</v>
      </c>
      <c r="AC168" t="s">
        <v>22</v>
      </c>
      <c r="AD168" t="s">
        <v>969</v>
      </c>
      <c r="AE168">
        <v>8.8545812986137083E-5</v>
      </c>
      <c r="AG168" t="s">
        <v>99</v>
      </c>
      <c r="AH168" t="s">
        <v>969</v>
      </c>
      <c r="AI168">
        <v>0</v>
      </c>
    </row>
    <row r="169" spans="5:35" x14ac:dyDescent="0.45">
      <c r="E169" t="s">
        <v>1444</v>
      </c>
      <c r="G169" t="s">
        <v>155</v>
      </c>
      <c r="I169" t="s">
        <v>249</v>
      </c>
      <c r="J169" t="s">
        <v>970</v>
      </c>
      <c r="K169">
        <v>0</v>
      </c>
      <c r="L169" t="s">
        <v>251</v>
      </c>
      <c r="N169" t="s">
        <v>419</v>
      </c>
      <c r="O169" t="s">
        <v>970</v>
      </c>
      <c r="P169">
        <v>4.723445130012485E-5</v>
      </c>
      <c r="Q169" t="s">
        <v>251</v>
      </c>
      <c r="S169" t="s">
        <v>420</v>
      </c>
      <c r="T169" t="s">
        <v>970</v>
      </c>
      <c r="U169">
        <v>1.119908396294E-4</v>
      </c>
      <c r="V169" t="s">
        <v>251</v>
      </c>
      <c r="X169">
        <v>1.1415525114155251E-4</v>
      </c>
      <c r="Y169">
        <v>5.6352501470966035E-5</v>
      </c>
      <c r="Z169" t="s">
        <v>970</v>
      </c>
      <c r="AA169" t="s">
        <v>25</v>
      </c>
      <c r="AC169" t="s">
        <v>22</v>
      </c>
      <c r="AD169" t="s">
        <v>970</v>
      </c>
      <c r="AE169">
        <v>9.7248643997005938E-5</v>
      </c>
      <c r="AG169" t="s">
        <v>99</v>
      </c>
      <c r="AH169" t="s">
        <v>970</v>
      </c>
      <c r="AI169">
        <v>0</v>
      </c>
    </row>
    <row r="170" spans="5:35" x14ac:dyDescent="0.45">
      <c r="E170" t="s">
        <v>1445</v>
      </c>
      <c r="G170" t="s">
        <v>155</v>
      </c>
      <c r="I170" t="s">
        <v>249</v>
      </c>
      <c r="J170" t="s">
        <v>971</v>
      </c>
      <c r="K170">
        <v>0</v>
      </c>
      <c r="L170" t="s">
        <v>251</v>
      </c>
      <c r="N170" t="s">
        <v>419</v>
      </c>
      <c r="O170" t="s">
        <v>971</v>
      </c>
      <c r="P170">
        <v>4.9512759112373163E-5</v>
      </c>
      <c r="Q170" t="s">
        <v>251</v>
      </c>
      <c r="S170" t="s">
        <v>420</v>
      </c>
      <c r="T170" t="s">
        <v>971</v>
      </c>
      <c r="U170">
        <v>1.143507476247E-4</v>
      </c>
      <c r="V170" t="s">
        <v>251</v>
      </c>
      <c r="X170">
        <v>1.1415525114155251E-4</v>
      </c>
      <c r="Y170">
        <v>2.9833677249334962E-5</v>
      </c>
      <c r="Z170" t="s">
        <v>971</v>
      </c>
      <c r="AA170" t="s">
        <v>25</v>
      </c>
      <c r="AC170" t="s">
        <v>22</v>
      </c>
      <c r="AD170" t="s">
        <v>971</v>
      </c>
      <c r="AE170">
        <v>1.0346154799723607E-4</v>
      </c>
      <c r="AG170" t="s">
        <v>99</v>
      </c>
      <c r="AH170" t="s">
        <v>971</v>
      </c>
      <c r="AI170">
        <v>0</v>
      </c>
    </row>
    <row r="171" spans="5:35" x14ac:dyDescent="0.45">
      <c r="E171" t="s">
        <v>1446</v>
      </c>
      <c r="G171" t="s">
        <v>155</v>
      </c>
      <c r="I171" t="s">
        <v>249</v>
      </c>
      <c r="J171" t="s">
        <v>1670</v>
      </c>
      <c r="K171">
        <v>0</v>
      </c>
      <c r="L171" t="s">
        <v>251</v>
      </c>
      <c r="N171" t="s">
        <v>419</v>
      </c>
      <c r="O171" t="s">
        <v>1670</v>
      </c>
      <c r="P171">
        <v>5.1782688523063223E-5</v>
      </c>
      <c r="Q171" t="s">
        <v>251</v>
      </c>
      <c r="S171" t="s">
        <v>420</v>
      </c>
      <c r="T171" t="s">
        <v>1670</v>
      </c>
      <c r="U171">
        <v>1.1849925163700001E-4</v>
      </c>
      <c r="V171" t="s">
        <v>251</v>
      </c>
      <c r="X171">
        <v>1.1415525114155251E-4</v>
      </c>
      <c r="Y171">
        <v>2.1546544680075254E-5</v>
      </c>
      <c r="Z171" t="s">
        <v>1670</v>
      </c>
      <c r="AA171" t="s">
        <v>25</v>
      </c>
      <c r="AC171" t="s">
        <v>22</v>
      </c>
      <c r="AD171" t="s">
        <v>1670</v>
      </c>
      <c r="AE171">
        <v>1.057370315332743E-4</v>
      </c>
      <c r="AG171" t="s">
        <v>99</v>
      </c>
      <c r="AH171" t="s">
        <v>1670</v>
      </c>
      <c r="AI171">
        <v>0</v>
      </c>
    </row>
    <row r="172" spans="5:35" x14ac:dyDescent="0.45">
      <c r="E172" t="s">
        <v>1447</v>
      </c>
      <c r="G172" t="s">
        <v>155</v>
      </c>
      <c r="I172" t="s">
        <v>249</v>
      </c>
      <c r="J172" t="s">
        <v>1671</v>
      </c>
      <c r="K172">
        <v>0</v>
      </c>
      <c r="L172" t="s">
        <v>251</v>
      </c>
      <c r="N172" t="s">
        <v>419</v>
      </c>
      <c r="O172" t="s">
        <v>1671</v>
      </c>
      <c r="P172">
        <v>5.2189017324169122E-5</v>
      </c>
      <c r="Q172" t="s">
        <v>251</v>
      </c>
      <c r="S172" t="s">
        <v>420</v>
      </c>
      <c r="T172" t="s">
        <v>1671</v>
      </c>
      <c r="U172">
        <v>1.197140601839E-4</v>
      </c>
      <c r="V172" t="s">
        <v>251</v>
      </c>
      <c r="X172">
        <v>1.1415525114155251E-4</v>
      </c>
      <c r="Y172">
        <v>1.4916838624667481E-5</v>
      </c>
      <c r="Z172" t="s">
        <v>1671</v>
      </c>
      <c r="AA172" t="s">
        <v>25</v>
      </c>
      <c r="AC172" t="s">
        <v>22</v>
      </c>
      <c r="AD172" t="s">
        <v>1671</v>
      </c>
      <c r="AE172">
        <v>1.0817334767526291E-4</v>
      </c>
      <c r="AG172" t="s">
        <v>99</v>
      </c>
      <c r="AH172" t="s">
        <v>1671</v>
      </c>
      <c r="AI172">
        <v>0</v>
      </c>
    </row>
    <row r="173" spans="5:35" x14ac:dyDescent="0.45">
      <c r="E173" t="s">
        <v>1448</v>
      </c>
      <c r="G173" t="s">
        <v>155</v>
      </c>
      <c r="I173" t="s">
        <v>249</v>
      </c>
      <c r="J173" t="s">
        <v>1672</v>
      </c>
      <c r="K173">
        <v>0</v>
      </c>
      <c r="L173" t="s">
        <v>251</v>
      </c>
      <c r="N173" t="s">
        <v>419</v>
      </c>
      <c r="O173" t="s">
        <v>1672</v>
      </c>
      <c r="P173">
        <v>5.015283128684618E-5</v>
      </c>
      <c r="Q173" t="s">
        <v>251</v>
      </c>
      <c r="S173" t="s">
        <v>420</v>
      </c>
      <c r="T173" t="s">
        <v>1672</v>
      </c>
      <c r="U173">
        <v>1.1854820147079999E-4</v>
      </c>
      <c r="V173" t="s">
        <v>251</v>
      </c>
      <c r="X173">
        <v>1.1415525114155251E-4</v>
      </c>
      <c r="Y173">
        <v>1.6574265138519424E-5</v>
      </c>
      <c r="Z173" t="s">
        <v>1672</v>
      </c>
      <c r="AA173" t="s">
        <v>25</v>
      </c>
      <c r="AC173" t="s">
        <v>22</v>
      </c>
      <c r="AD173" t="s">
        <v>1672</v>
      </c>
      <c r="AE173">
        <v>1.04355062474738E-4</v>
      </c>
      <c r="AG173" t="s">
        <v>99</v>
      </c>
      <c r="AH173" t="s">
        <v>1672</v>
      </c>
      <c r="AI173">
        <v>0</v>
      </c>
    </row>
    <row r="174" spans="5:35" x14ac:dyDescent="0.45">
      <c r="E174" t="s">
        <v>1449</v>
      </c>
      <c r="G174" t="s">
        <v>155</v>
      </c>
      <c r="I174" t="s">
        <v>249</v>
      </c>
      <c r="J174" t="s">
        <v>1673</v>
      </c>
      <c r="K174">
        <v>0</v>
      </c>
      <c r="L174" t="s">
        <v>251</v>
      </c>
      <c r="N174" t="s">
        <v>419</v>
      </c>
      <c r="O174" t="s">
        <v>1673</v>
      </c>
      <c r="P174">
        <v>4.6648691455961049E-5</v>
      </c>
      <c r="Q174" t="s">
        <v>251</v>
      </c>
      <c r="S174" t="s">
        <v>420</v>
      </c>
      <c r="T174" t="s">
        <v>1673</v>
      </c>
      <c r="U174">
        <v>1.14355639829E-4</v>
      </c>
      <c r="V174" t="s">
        <v>251</v>
      </c>
      <c r="X174">
        <v>1.1415525114155251E-4</v>
      </c>
      <c r="Y174">
        <v>1.4585353321897093E-5</v>
      </c>
      <c r="Z174" t="s">
        <v>1673</v>
      </c>
      <c r="AA174" t="s">
        <v>25</v>
      </c>
      <c r="AC174" t="s">
        <v>22</v>
      </c>
      <c r="AD174" t="s">
        <v>1673</v>
      </c>
      <c r="AE174">
        <v>1.0401552697328729E-4</v>
      </c>
      <c r="AG174" t="s">
        <v>99</v>
      </c>
      <c r="AH174" t="s">
        <v>1673</v>
      </c>
      <c r="AI174">
        <v>0</v>
      </c>
    </row>
    <row r="175" spans="5:35" x14ac:dyDescent="0.45">
      <c r="E175" t="s">
        <v>1450</v>
      </c>
      <c r="G175" t="s">
        <v>155</v>
      </c>
      <c r="I175" t="s">
        <v>249</v>
      </c>
      <c r="J175" t="s">
        <v>1674</v>
      </c>
      <c r="K175">
        <v>0</v>
      </c>
      <c r="L175" t="s">
        <v>251</v>
      </c>
      <c r="N175" t="s">
        <v>419</v>
      </c>
      <c r="O175" t="s">
        <v>1674</v>
      </c>
      <c r="P175">
        <v>4.4738063887431787E-5</v>
      </c>
      <c r="Q175" t="s">
        <v>251</v>
      </c>
      <c r="S175" t="s">
        <v>420</v>
      </c>
      <c r="T175" t="s">
        <v>1674</v>
      </c>
      <c r="U175">
        <v>1.0830259714749999E-4</v>
      </c>
      <c r="V175" t="s">
        <v>251</v>
      </c>
      <c r="X175">
        <v>1.1415525114155251E-4</v>
      </c>
      <c r="Y175">
        <v>2.1215059377304864E-5</v>
      </c>
      <c r="Z175" t="s">
        <v>1674</v>
      </c>
      <c r="AA175" t="s">
        <v>25</v>
      </c>
      <c r="AC175" t="s">
        <v>22</v>
      </c>
      <c r="AD175" t="s">
        <v>1674</v>
      </c>
      <c r="AE175">
        <v>1.0383086731460353E-4</v>
      </c>
      <c r="AG175" t="s">
        <v>99</v>
      </c>
      <c r="AH175" t="s">
        <v>1674</v>
      </c>
      <c r="AI175">
        <v>0</v>
      </c>
    </row>
    <row r="176" spans="5:35" x14ac:dyDescent="0.45">
      <c r="E176" t="s">
        <v>1451</v>
      </c>
      <c r="G176" t="s">
        <v>155</v>
      </c>
      <c r="I176" t="s">
        <v>249</v>
      </c>
      <c r="J176" t="s">
        <v>1675</v>
      </c>
      <c r="K176">
        <v>0</v>
      </c>
      <c r="L176" t="s">
        <v>251</v>
      </c>
      <c r="N176" t="s">
        <v>419</v>
      </c>
      <c r="O176" t="s">
        <v>1675</v>
      </c>
      <c r="P176">
        <v>4.43280632308616E-5</v>
      </c>
      <c r="Q176" t="s">
        <v>251</v>
      </c>
      <c r="S176" t="s">
        <v>420</v>
      </c>
      <c r="T176" t="s">
        <v>1675</v>
      </c>
      <c r="U176">
        <v>1.0099027836E-4</v>
      </c>
      <c r="V176" t="s">
        <v>251</v>
      </c>
      <c r="X176">
        <v>1.1415525114155251E-4</v>
      </c>
      <c r="Y176">
        <v>5.7678442682047593E-5</v>
      </c>
      <c r="Z176" t="s">
        <v>1675</v>
      </c>
      <c r="AA176" t="s">
        <v>25</v>
      </c>
      <c r="AC176" t="s">
        <v>22</v>
      </c>
      <c r="AD176" t="s">
        <v>1675</v>
      </c>
      <c r="AE176">
        <v>1.0454567889660505E-4</v>
      </c>
      <c r="AG176" t="s">
        <v>99</v>
      </c>
      <c r="AH176" t="s">
        <v>1675</v>
      </c>
      <c r="AI176">
        <v>0</v>
      </c>
    </row>
    <row r="177" spans="5:35" x14ac:dyDescent="0.45">
      <c r="E177" t="s">
        <v>1452</v>
      </c>
      <c r="G177" t="s">
        <v>155</v>
      </c>
      <c r="I177" t="s">
        <v>249</v>
      </c>
      <c r="J177" t="s">
        <v>1676</v>
      </c>
      <c r="K177">
        <v>0</v>
      </c>
      <c r="L177" t="s">
        <v>251</v>
      </c>
      <c r="N177" t="s">
        <v>419</v>
      </c>
      <c r="O177" t="s">
        <v>1676</v>
      </c>
      <c r="P177">
        <v>4.2826516821775669E-5</v>
      </c>
      <c r="Q177" t="s">
        <v>251</v>
      </c>
      <c r="S177" t="s">
        <v>420</v>
      </c>
      <c r="T177" t="s">
        <v>1676</v>
      </c>
      <c r="U177">
        <v>9.1065377552948239E-5</v>
      </c>
      <c r="V177" t="s">
        <v>251</v>
      </c>
      <c r="X177">
        <v>1.1415525114155251E-4</v>
      </c>
      <c r="Y177">
        <v>1.6905750441289813E-4</v>
      </c>
      <c r="Z177" t="s">
        <v>1676</v>
      </c>
      <c r="AA177" t="s">
        <v>25</v>
      </c>
      <c r="AC177" t="s">
        <v>22</v>
      </c>
      <c r="AD177" t="s">
        <v>1676</v>
      </c>
      <c r="AE177">
        <v>1.0518900932040648E-4</v>
      </c>
      <c r="AG177" t="s">
        <v>99</v>
      </c>
      <c r="AH177" t="s">
        <v>1676</v>
      </c>
      <c r="AI177">
        <v>0</v>
      </c>
    </row>
    <row r="178" spans="5:35" x14ac:dyDescent="0.45">
      <c r="E178" t="s">
        <v>1453</v>
      </c>
      <c r="G178" t="s">
        <v>155</v>
      </c>
      <c r="I178" t="s">
        <v>249</v>
      </c>
      <c r="J178" t="s">
        <v>1677</v>
      </c>
      <c r="K178">
        <v>5.8048550240543691E-5</v>
      </c>
      <c r="L178" t="s">
        <v>251</v>
      </c>
      <c r="N178" t="s">
        <v>419</v>
      </c>
      <c r="O178" t="s">
        <v>1677</v>
      </c>
      <c r="P178">
        <v>4.3545292236804042E-5</v>
      </c>
      <c r="Q178" t="s">
        <v>251</v>
      </c>
      <c r="S178" t="s">
        <v>420</v>
      </c>
      <c r="T178" t="s">
        <v>1677</v>
      </c>
      <c r="U178">
        <v>7.9319832621738636E-5</v>
      </c>
      <c r="V178" t="s">
        <v>251</v>
      </c>
      <c r="X178">
        <v>1.1415525114155251E-4</v>
      </c>
      <c r="Y178">
        <v>1.9060404909297337E-4</v>
      </c>
      <c r="Z178" t="s">
        <v>1677</v>
      </c>
      <c r="AA178" t="s">
        <v>25</v>
      </c>
      <c r="AC178" t="s">
        <v>22</v>
      </c>
      <c r="AD178" t="s">
        <v>1677</v>
      </c>
      <c r="AE178">
        <v>1.134748669084411E-4</v>
      </c>
      <c r="AG178" t="s">
        <v>99</v>
      </c>
      <c r="AH178" t="s">
        <v>1677</v>
      </c>
      <c r="AI178">
        <v>0</v>
      </c>
    </row>
    <row r="179" spans="5:35" x14ac:dyDescent="0.45">
      <c r="E179" t="s">
        <v>153</v>
      </c>
      <c r="G179" t="s">
        <v>160</v>
      </c>
      <c r="I179" t="s">
        <v>249</v>
      </c>
      <c r="J179" t="s">
        <v>1678</v>
      </c>
      <c r="K179">
        <v>1.135799934437E-4</v>
      </c>
      <c r="L179" t="s">
        <v>251</v>
      </c>
      <c r="N179" t="s">
        <v>419</v>
      </c>
      <c r="O179" t="s">
        <v>1678</v>
      </c>
      <c r="P179">
        <v>4.1233453488654882E-5</v>
      </c>
      <c r="Q179" t="s">
        <v>251</v>
      </c>
      <c r="S179" t="s">
        <v>420</v>
      </c>
      <c r="T179" t="s">
        <v>1678</v>
      </c>
      <c r="U179">
        <v>7.8445067412549581E-5</v>
      </c>
      <c r="V179" t="s">
        <v>251</v>
      </c>
      <c r="X179">
        <v>1.1415525114155251E-4</v>
      </c>
      <c r="Y179">
        <v>1.4585353321897094E-4</v>
      </c>
      <c r="Z179" t="s">
        <v>1678</v>
      </c>
      <c r="AA179" t="s">
        <v>25</v>
      </c>
      <c r="AC179" t="s">
        <v>22</v>
      </c>
      <c r="AD179" t="s">
        <v>1678</v>
      </c>
      <c r="AE179">
        <v>1.1893721874756958E-4</v>
      </c>
      <c r="AG179" t="s">
        <v>99</v>
      </c>
      <c r="AH179" t="s">
        <v>1678</v>
      </c>
      <c r="AI179">
        <v>0</v>
      </c>
    </row>
    <row r="180" spans="5:35" x14ac:dyDescent="0.45">
      <c r="E180" t="s">
        <v>157</v>
      </c>
      <c r="G180" t="s">
        <v>160</v>
      </c>
      <c r="I180" t="s">
        <v>249</v>
      </c>
      <c r="J180" t="s">
        <v>1679</v>
      </c>
      <c r="K180">
        <v>1.368368583687E-4</v>
      </c>
      <c r="L180" t="s">
        <v>251</v>
      </c>
      <c r="N180" t="s">
        <v>419</v>
      </c>
      <c r="O180" t="s">
        <v>1679</v>
      </c>
      <c r="P180">
        <v>2.7632694053365397E-5</v>
      </c>
      <c r="Q180" t="s">
        <v>251</v>
      </c>
      <c r="S180" t="s">
        <v>420</v>
      </c>
      <c r="T180" t="s">
        <v>1679</v>
      </c>
      <c r="U180">
        <v>6.9592311021816951E-5</v>
      </c>
      <c r="V180" t="s">
        <v>251</v>
      </c>
      <c r="X180">
        <v>1.1415525114155251E-4</v>
      </c>
      <c r="Y180">
        <v>1.4452759200788939E-4</v>
      </c>
      <c r="Z180" t="s">
        <v>1679</v>
      </c>
      <c r="AA180" t="s">
        <v>25</v>
      </c>
      <c r="AC180" t="s">
        <v>22</v>
      </c>
      <c r="AD180" t="s">
        <v>1679</v>
      </c>
      <c r="AE180">
        <v>1.2059915567572317E-4</v>
      </c>
      <c r="AG180" t="s">
        <v>99</v>
      </c>
      <c r="AH180" t="s">
        <v>1679</v>
      </c>
      <c r="AI180">
        <v>0</v>
      </c>
    </row>
    <row r="181" spans="5:35" x14ac:dyDescent="0.45">
      <c r="E181" t="s">
        <v>161</v>
      </c>
      <c r="G181" t="s">
        <v>160</v>
      </c>
      <c r="I181" t="s">
        <v>249</v>
      </c>
      <c r="J181" t="s">
        <v>1680</v>
      </c>
      <c r="K181">
        <v>1.5011506209460001E-4</v>
      </c>
      <c r="L181" t="s">
        <v>251</v>
      </c>
      <c r="N181" t="s">
        <v>419</v>
      </c>
      <c r="O181" t="s">
        <v>1680</v>
      </c>
      <c r="P181">
        <v>3.6523044072362868E-5</v>
      </c>
      <c r="Q181" t="s">
        <v>251</v>
      </c>
      <c r="S181" t="s">
        <v>420</v>
      </c>
      <c r="T181" t="s">
        <v>1680</v>
      </c>
      <c r="U181">
        <v>6.1021892670681383E-5</v>
      </c>
      <c r="V181" t="s">
        <v>251</v>
      </c>
      <c r="X181">
        <v>1.1415525114155251E-4</v>
      </c>
      <c r="Y181">
        <v>1.408812536774151E-4</v>
      </c>
      <c r="Z181" t="s">
        <v>1680</v>
      </c>
      <c r="AA181" t="s">
        <v>25</v>
      </c>
      <c r="AC181" t="s">
        <v>22</v>
      </c>
      <c r="AD181" t="s">
        <v>1680</v>
      </c>
      <c r="AE181">
        <v>1.2213004381384315E-4</v>
      </c>
      <c r="AG181" t="s">
        <v>99</v>
      </c>
      <c r="AH181" t="s">
        <v>1680</v>
      </c>
      <c r="AI181">
        <v>0</v>
      </c>
    </row>
    <row r="182" spans="5:35" x14ac:dyDescent="0.45">
      <c r="E182" t="s">
        <v>165</v>
      </c>
      <c r="G182" t="s">
        <v>160</v>
      </c>
      <c r="I182" t="s">
        <v>249</v>
      </c>
      <c r="J182" t="s">
        <v>1681</v>
      </c>
      <c r="K182">
        <v>1.7407884260230001E-4</v>
      </c>
      <c r="L182" t="s">
        <v>251</v>
      </c>
      <c r="N182" t="s">
        <v>419</v>
      </c>
      <c r="O182" t="s">
        <v>1681</v>
      </c>
      <c r="P182">
        <v>4.6524255558908349E-5</v>
      </c>
      <c r="Q182" t="s">
        <v>251</v>
      </c>
      <c r="S182" t="s">
        <v>420</v>
      </c>
      <c r="T182" t="s">
        <v>1681</v>
      </c>
      <c r="U182">
        <v>5.44455440938774E-5</v>
      </c>
      <c r="V182" t="s">
        <v>251</v>
      </c>
      <c r="X182">
        <v>1.1415525114155251E-4</v>
      </c>
      <c r="Y182">
        <v>1.4054976837464471E-4</v>
      </c>
      <c r="Z182" t="s">
        <v>1681</v>
      </c>
      <c r="AA182" t="s">
        <v>25</v>
      </c>
      <c r="AC182" t="s">
        <v>22</v>
      </c>
      <c r="AD182" t="s">
        <v>1681</v>
      </c>
      <c r="AE182">
        <v>1.2057532862298979E-4</v>
      </c>
      <c r="AG182" t="s">
        <v>99</v>
      </c>
      <c r="AH182" t="s">
        <v>1681</v>
      </c>
      <c r="AI182">
        <v>0</v>
      </c>
    </row>
    <row r="183" spans="5:35" x14ac:dyDescent="0.45">
      <c r="E183" t="s">
        <v>167</v>
      </c>
      <c r="G183" t="s">
        <v>160</v>
      </c>
      <c r="I183" t="s">
        <v>249</v>
      </c>
      <c r="J183" t="s">
        <v>1682</v>
      </c>
      <c r="K183">
        <v>1.942507774761E-4</v>
      </c>
      <c r="L183" t="s">
        <v>251</v>
      </c>
      <c r="N183" t="s">
        <v>419</v>
      </c>
      <c r="O183" t="s">
        <v>1682</v>
      </c>
      <c r="P183">
        <v>4.5764331153167453E-5</v>
      </c>
      <c r="Q183" t="s">
        <v>251</v>
      </c>
      <c r="S183" t="s">
        <v>420</v>
      </c>
      <c r="T183" t="s">
        <v>1682</v>
      </c>
      <c r="U183">
        <v>4.8290897001362172E-5</v>
      </c>
      <c r="V183" t="s">
        <v>251</v>
      </c>
      <c r="X183">
        <v>1.1415525114155251E-4</v>
      </c>
      <c r="Y183">
        <v>1.4253868019126702E-4</v>
      </c>
      <c r="Z183" t="s">
        <v>1682</v>
      </c>
      <c r="AA183" t="s">
        <v>25</v>
      </c>
      <c r="AC183" t="s">
        <v>22</v>
      </c>
      <c r="AD183" t="s">
        <v>1682</v>
      </c>
      <c r="AE183">
        <v>1.1670343255381473E-4</v>
      </c>
      <c r="AG183" t="s">
        <v>99</v>
      </c>
      <c r="AH183" t="s">
        <v>1682</v>
      </c>
      <c r="AI183">
        <v>0</v>
      </c>
    </row>
    <row r="184" spans="5:35" x14ac:dyDescent="0.45">
      <c r="E184" t="s">
        <v>168</v>
      </c>
      <c r="G184" t="s">
        <v>160</v>
      </c>
      <c r="I184" t="s">
        <v>249</v>
      </c>
      <c r="J184" t="s">
        <v>1683</v>
      </c>
      <c r="K184">
        <v>1.8304339054469999E-4</v>
      </c>
      <c r="L184" t="s">
        <v>251</v>
      </c>
      <c r="N184" t="s">
        <v>419</v>
      </c>
      <c r="O184" t="s">
        <v>1683</v>
      </c>
      <c r="P184">
        <v>4.5477002928958283E-5</v>
      </c>
      <c r="Q184" t="s">
        <v>251</v>
      </c>
      <c r="S184" t="s">
        <v>420</v>
      </c>
      <c r="T184" t="s">
        <v>1683</v>
      </c>
      <c r="U184">
        <v>4.4534329634652708E-5</v>
      </c>
      <c r="V184" t="s">
        <v>251</v>
      </c>
      <c r="X184">
        <v>1.1415525114155251E-4</v>
      </c>
      <c r="Y184">
        <v>1.4883690094390442E-4</v>
      </c>
      <c r="Z184" t="s">
        <v>1683</v>
      </c>
      <c r="AA184" t="s">
        <v>25</v>
      </c>
      <c r="AC184" t="s">
        <v>22</v>
      </c>
      <c r="AD184" t="s">
        <v>1683</v>
      </c>
      <c r="AE184">
        <v>1.1199163287578786E-4</v>
      </c>
      <c r="AG184" t="s">
        <v>99</v>
      </c>
      <c r="AH184" t="s">
        <v>1683</v>
      </c>
      <c r="AI184">
        <v>0</v>
      </c>
    </row>
    <row r="185" spans="5:35" x14ac:dyDescent="0.45">
      <c r="E185" t="s">
        <v>170</v>
      </c>
      <c r="G185" t="s">
        <v>160</v>
      </c>
      <c r="I185" t="s">
        <v>249</v>
      </c>
      <c r="J185" t="s">
        <v>1684</v>
      </c>
      <c r="K185">
        <v>1.560343232718E-4</v>
      </c>
      <c r="L185" t="s">
        <v>251</v>
      </c>
      <c r="N185" t="s">
        <v>419</v>
      </c>
      <c r="O185" t="s">
        <v>1684</v>
      </c>
      <c r="P185">
        <v>4.7418438794292174E-5</v>
      </c>
      <c r="Q185" t="s">
        <v>251</v>
      </c>
      <c r="S185" t="s">
        <v>420</v>
      </c>
      <c r="T185" t="s">
        <v>1684</v>
      </c>
      <c r="U185">
        <v>4.1472399937838081E-5</v>
      </c>
      <c r="V185" t="s">
        <v>251</v>
      </c>
      <c r="X185">
        <v>1.1415525114155251E-4</v>
      </c>
      <c r="Y185">
        <v>1.5049432745775637E-4</v>
      </c>
      <c r="Z185" t="s">
        <v>1684</v>
      </c>
      <c r="AA185" t="s">
        <v>25</v>
      </c>
      <c r="AC185" t="s">
        <v>22</v>
      </c>
      <c r="AD185" t="s">
        <v>1684</v>
      </c>
      <c r="AE185">
        <v>1.0214510333371653E-4</v>
      </c>
      <c r="AG185" t="s">
        <v>99</v>
      </c>
      <c r="AH185" t="s">
        <v>1684</v>
      </c>
      <c r="AI185">
        <v>0</v>
      </c>
    </row>
    <row r="186" spans="5:35" x14ac:dyDescent="0.45">
      <c r="E186" t="s">
        <v>172</v>
      </c>
      <c r="G186" t="s">
        <v>160</v>
      </c>
      <c r="I186" t="s">
        <v>249</v>
      </c>
      <c r="J186" t="s">
        <v>1685</v>
      </c>
      <c r="K186">
        <v>1.4598599698469999E-4</v>
      </c>
      <c r="L186" t="s">
        <v>251</v>
      </c>
      <c r="N186" t="s">
        <v>419</v>
      </c>
      <c r="O186" t="s">
        <v>1685</v>
      </c>
      <c r="P186">
        <v>4.1157369866318737E-5</v>
      </c>
      <c r="Q186" t="s">
        <v>251</v>
      </c>
      <c r="S186" t="s">
        <v>420</v>
      </c>
      <c r="T186" t="s">
        <v>1685</v>
      </c>
      <c r="U186">
        <v>3.7835739708567009E-5</v>
      </c>
      <c r="V186" t="s">
        <v>251</v>
      </c>
      <c r="X186">
        <v>1.1415525114155251E-4</v>
      </c>
      <c r="Y186">
        <v>1.7237235744060203E-4</v>
      </c>
      <c r="Z186" t="s">
        <v>1685</v>
      </c>
      <c r="AA186" t="s">
        <v>25</v>
      </c>
      <c r="AC186" t="s">
        <v>22</v>
      </c>
      <c r="AD186" t="s">
        <v>1685</v>
      </c>
      <c r="AE186">
        <v>8.8879391724404474E-5</v>
      </c>
      <c r="AG186" t="s">
        <v>99</v>
      </c>
      <c r="AH186" t="s">
        <v>1685</v>
      </c>
      <c r="AI186">
        <v>0</v>
      </c>
    </row>
    <row r="187" spans="5:35" x14ac:dyDescent="0.45">
      <c r="E187" t="s">
        <v>173</v>
      </c>
      <c r="G187" t="s">
        <v>160</v>
      </c>
      <c r="I187" t="s">
        <v>249</v>
      </c>
      <c r="J187" t="s">
        <v>1686</v>
      </c>
      <c r="K187">
        <v>1.2305776757989999E-4</v>
      </c>
      <c r="L187" t="s">
        <v>251</v>
      </c>
      <c r="N187" t="s">
        <v>419</v>
      </c>
      <c r="O187" t="s">
        <v>1686</v>
      </c>
      <c r="P187">
        <v>3.3042946478673762E-5</v>
      </c>
      <c r="Q187" t="s">
        <v>251</v>
      </c>
      <c r="S187" t="s">
        <v>420</v>
      </c>
      <c r="T187" t="s">
        <v>1686</v>
      </c>
      <c r="U187">
        <v>3.359761785340964E-5</v>
      </c>
      <c r="V187" t="s">
        <v>251</v>
      </c>
      <c r="X187">
        <v>1.1415525114155251E-4</v>
      </c>
      <c r="Y187">
        <v>2.2209515285616027E-4</v>
      </c>
      <c r="Z187" t="s">
        <v>1686</v>
      </c>
      <c r="AA187" t="s">
        <v>25</v>
      </c>
      <c r="AC187" t="s">
        <v>22</v>
      </c>
      <c r="AD187" t="s">
        <v>1686</v>
      </c>
      <c r="AE187">
        <v>8.5156414734813084E-5</v>
      </c>
      <c r="AG187" t="s">
        <v>99</v>
      </c>
      <c r="AH187" t="s">
        <v>1686</v>
      </c>
      <c r="AI187">
        <v>0</v>
      </c>
    </row>
    <row r="188" spans="5:35" x14ac:dyDescent="0.45">
      <c r="E188" t="s">
        <v>175</v>
      </c>
      <c r="G188" t="s">
        <v>160</v>
      </c>
      <c r="I188" t="s">
        <v>249</v>
      </c>
      <c r="J188" t="s">
        <v>1687</v>
      </c>
      <c r="K188">
        <v>8.0875354623938735E-5</v>
      </c>
      <c r="L188" t="s">
        <v>251</v>
      </c>
      <c r="N188" t="s">
        <v>419</v>
      </c>
      <c r="O188" t="s">
        <v>1687</v>
      </c>
      <c r="P188">
        <v>2.69812602144025E-5</v>
      </c>
      <c r="Q188" t="s">
        <v>251</v>
      </c>
      <c r="S188" t="s">
        <v>420</v>
      </c>
      <c r="T188" t="s">
        <v>1687</v>
      </c>
      <c r="U188">
        <v>2.746450559026211E-5</v>
      </c>
      <c r="V188" t="s">
        <v>251</v>
      </c>
      <c r="X188">
        <v>1.1415525114155251E-4</v>
      </c>
      <c r="Y188">
        <v>2.2209515285616027E-4</v>
      </c>
      <c r="Z188" t="s">
        <v>1687</v>
      </c>
      <c r="AA188" t="s">
        <v>25</v>
      </c>
      <c r="AC188" t="s">
        <v>22</v>
      </c>
      <c r="AD188" t="s">
        <v>1687</v>
      </c>
      <c r="AE188">
        <v>8.0724582926403486E-5</v>
      </c>
      <c r="AG188" t="s">
        <v>99</v>
      </c>
      <c r="AH188" t="s">
        <v>1687</v>
      </c>
      <c r="AI188">
        <v>0</v>
      </c>
    </row>
    <row r="189" spans="5:35" x14ac:dyDescent="0.45">
      <c r="E189" t="s">
        <v>177</v>
      </c>
      <c r="G189" t="s">
        <v>160</v>
      </c>
      <c r="I189" t="s">
        <v>249</v>
      </c>
      <c r="J189" t="s">
        <v>1688</v>
      </c>
      <c r="K189">
        <v>1.1270298264401296E-5</v>
      </c>
      <c r="L189" t="s">
        <v>251</v>
      </c>
      <c r="N189" t="s">
        <v>419</v>
      </c>
      <c r="O189" t="s">
        <v>1688</v>
      </c>
      <c r="P189">
        <v>3.9086438971996392E-5</v>
      </c>
      <c r="Q189" t="s">
        <v>251</v>
      </c>
      <c r="S189" t="s">
        <v>420</v>
      </c>
      <c r="T189" t="s">
        <v>1688</v>
      </c>
      <c r="U189">
        <v>2.0545354161371539E-5</v>
      </c>
      <c r="V189" t="s">
        <v>251</v>
      </c>
      <c r="X189">
        <v>1.1415525114155251E-4</v>
      </c>
      <c r="Y189">
        <v>1.7237235744060203E-4</v>
      </c>
      <c r="Z189" t="s">
        <v>1688</v>
      </c>
      <c r="AA189" t="s">
        <v>25</v>
      </c>
      <c r="AC189" t="s">
        <v>22</v>
      </c>
      <c r="AD189" t="s">
        <v>1688</v>
      </c>
      <c r="AE189">
        <v>8.1939762615806119E-5</v>
      </c>
      <c r="AG189" t="s">
        <v>99</v>
      </c>
      <c r="AH189" t="s">
        <v>1688</v>
      </c>
      <c r="AI189">
        <v>0</v>
      </c>
    </row>
    <row r="190" spans="5:35" x14ac:dyDescent="0.45">
      <c r="E190" t="s">
        <v>179</v>
      </c>
      <c r="G190" t="s">
        <v>160</v>
      </c>
      <c r="I190" t="s">
        <v>249</v>
      </c>
      <c r="J190" t="s">
        <v>1689</v>
      </c>
      <c r="K190">
        <v>0</v>
      </c>
      <c r="L190" t="s">
        <v>251</v>
      </c>
      <c r="N190" t="s">
        <v>419</v>
      </c>
      <c r="O190" t="s">
        <v>1689</v>
      </c>
      <c r="P190">
        <v>4.0935902415885609E-5</v>
      </c>
      <c r="Q190" t="s">
        <v>251</v>
      </c>
      <c r="S190" t="s">
        <v>420</v>
      </c>
      <c r="T190" t="s">
        <v>1689</v>
      </c>
      <c r="U190">
        <v>1.5078886673114976E-5</v>
      </c>
      <c r="V190" t="s">
        <v>251</v>
      </c>
      <c r="X190">
        <v>1.1415525114155251E-4</v>
      </c>
      <c r="Y190">
        <v>1.5579809230208258E-4</v>
      </c>
      <c r="Z190" t="s">
        <v>1689</v>
      </c>
      <c r="AA190" t="s">
        <v>25</v>
      </c>
      <c r="AC190" t="s">
        <v>22</v>
      </c>
      <c r="AD190" t="s">
        <v>1689</v>
      </c>
      <c r="AE190">
        <v>8.245800101275725E-5</v>
      </c>
      <c r="AG190" t="s">
        <v>99</v>
      </c>
      <c r="AH190" t="s">
        <v>1689</v>
      </c>
      <c r="AI190">
        <v>0</v>
      </c>
    </row>
    <row r="191" spans="5:35" x14ac:dyDescent="0.45">
      <c r="E191" t="s">
        <v>180</v>
      </c>
      <c r="G191" t="s">
        <v>160</v>
      </c>
      <c r="I191" t="s">
        <v>249</v>
      </c>
      <c r="J191" t="s">
        <v>1690</v>
      </c>
      <c r="K191">
        <v>0</v>
      </c>
      <c r="L191" t="s">
        <v>251</v>
      </c>
      <c r="N191" t="s">
        <v>419</v>
      </c>
      <c r="O191" t="s">
        <v>1690</v>
      </c>
      <c r="P191">
        <v>4.26852988227368E-5</v>
      </c>
      <c r="Q191" t="s">
        <v>251</v>
      </c>
      <c r="S191" t="s">
        <v>420</v>
      </c>
      <c r="T191" t="s">
        <v>1690</v>
      </c>
      <c r="U191">
        <v>8.8653049324260747E-6</v>
      </c>
      <c r="V191" t="s">
        <v>251</v>
      </c>
      <c r="X191">
        <v>1.1415525114155251E-4</v>
      </c>
      <c r="Y191">
        <v>1.093901499142282E-4</v>
      </c>
      <c r="Z191" t="s">
        <v>1690</v>
      </c>
      <c r="AA191" t="s">
        <v>25</v>
      </c>
      <c r="AC191" t="s">
        <v>22</v>
      </c>
      <c r="AD191" t="s">
        <v>1690</v>
      </c>
      <c r="AE191">
        <v>9.8702094213742417E-5</v>
      </c>
      <c r="AG191" t="s">
        <v>99</v>
      </c>
      <c r="AH191" t="s">
        <v>1690</v>
      </c>
      <c r="AI191">
        <v>0</v>
      </c>
    </row>
    <row r="192" spans="5:35" x14ac:dyDescent="0.45">
      <c r="E192" t="s">
        <v>181</v>
      </c>
      <c r="G192" t="s">
        <v>160</v>
      </c>
      <c r="I192" t="s">
        <v>249</v>
      </c>
      <c r="J192" t="s">
        <v>1691</v>
      </c>
      <c r="K192">
        <v>0</v>
      </c>
      <c r="L192" t="s">
        <v>251</v>
      </c>
      <c r="N192" t="s">
        <v>419</v>
      </c>
      <c r="O192" t="s">
        <v>1691</v>
      </c>
      <c r="P192">
        <v>4.8331056134251912E-5</v>
      </c>
      <c r="Q192" t="s">
        <v>251</v>
      </c>
      <c r="S192" t="s">
        <v>420</v>
      </c>
      <c r="T192" t="s">
        <v>1691</v>
      </c>
      <c r="U192">
        <v>8.531369340724737E-6</v>
      </c>
      <c r="V192" t="s">
        <v>251</v>
      </c>
      <c r="X192">
        <v>1.1415525114155251E-4</v>
      </c>
      <c r="Y192">
        <v>7.9556472664893237E-5</v>
      </c>
      <c r="Z192" t="s">
        <v>1691</v>
      </c>
      <c r="AA192" t="s">
        <v>25</v>
      </c>
      <c r="AC192" t="s">
        <v>22</v>
      </c>
      <c r="AD192" t="s">
        <v>1691</v>
      </c>
      <c r="AE192">
        <v>1.1590522628724633E-4</v>
      </c>
      <c r="AG192" t="s">
        <v>99</v>
      </c>
      <c r="AH192" t="s">
        <v>1691</v>
      </c>
      <c r="AI192">
        <v>0</v>
      </c>
    </row>
    <row r="193" spans="5:35" x14ac:dyDescent="0.45">
      <c r="E193" t="s">
        <v>182</v>
      </c>
      <c r="G193" t="s">
        <v>160</v>
      </c>
      <c r="I193" t="s">
        <v>249</v>
      </c>
      <c r="J193" t="s">
        <v>1692</v>
      </c>
      <c r="K193">
        <v>0</v>
      </c>
      <c r="L193" t="s">
        <v>251</v>
      </c>
      <c r="N193" t="s">
        <v>419</v>
      </c>
      <c r="O193" t="s">
        <v>1692</v>
      </c>
      <c r="P193">
        <v>6.0967988206298056E-5</v>
      </c>
      <c r="Q193" t="s">
        <v>251</v>
      </c>
      <c r="S193" t="s">
        <v>420</v>
      </c>
      <c r="T193" t="s">
        <v>1692</v>
      </c>
      <c r="U193">
        <v>9.4545546684152879E-6</v>
      </c>
      <c r="V193" t="s">
        <v>251</v>
      </c>
      <c r="X193">
        <v>1.1415525114155251E-4</v>
      </c>
      <c r="Y193">
        <v>5.6352501470966035E-5</v>
      </c>
      <c r="Z193" t="s">
        <v>1692</v>
      </c>
      <c r="AA193" t="s">
        <v>25</v>
      </c>
      <c r="AC193" t="s">
        <v>22</v>
      </c>
      <c r="AD193" t="s">
        <v>1692</v>
      </c>
      <c r="AE193">
        <v>1.3039207434914436E-4</v>
      </c>
      <c r="AG193" t="s">
        <v>99</v>
      </c>
      <c r="AH193" t="s">
        <v>1692</v>
      </c>
      <c r="AI193">
        <v>0</v>
      </c>
    </row>
    <row r="194" spans="5:35" x14ac:dyDescent="0.45">
      <c r="E194" t="s">
        <v>183</v>
      </c>
      <c r="G194" t="s">
        <v>160</v>
      </c>
      <c r="I194" t="s">
        <v>249</v>
      </c>
      <c r="J194" t="s">
        <v>1693</v>
      </c>
      <c r="K194">
        <v>0</v>
      </c>
      <c r="L194" t="s">
        <v>251</v>
      </c>
      <c r="N194" t="s">
        <v>419</v>
      </c>
      <c r="O194" t="s">
        <v>1693</v>
      </c>
      <c r="P194">
        <v>6.6939170518856038E-5</v>
      </c>
      <c r="Q194" t="s">
        <v>251</v>
      </c>
      <c r="S194" t="s">
        <v>420</v>
      </c>
      <c r="T194" t="s">
        <v>1693</v>
      </c>
      <c r="U194">
        <v>1.2704577340256597E-5</v>
      </c>
      <c r="V194" t="s">
        <v>251</v>
      </c>
      <c r="X194">
        <v>1.1415525114155251E-4</v>
      </c>
      <c r="Y194">
        <v>2.9833677249334962E-5</v>
      </c>
      <c r="Z194" t="s">
        <v>1693</v>
      </c>
      <c r="AA194" t="s">
        <v>25</v>
      </c>
      <c r="AC194" t="s">
        <v>22</v>
      </c>
      <c r="AD194" t="s">
        <v>1693</v>
      </c>
      <c r="AE194">
        <v>1.4089384784138378E-4</v>
      </c>
      <c r="AG194" t="s">
        <v>99</v>
      </c>
      <c r="AH194" t="s">
        <v>1693</v>
      </c>
      <c r="AI194">
        <v>0</v>
      </c>
    </row>
    <row r="195" spans="5:35" x14ac:dyDescent="0.45">
      <c r="E195" t="s">
        <v>184</v>
      </c>
      <c r="G195" t="s">
        <v>160</v>
      </c>
      <c r="I195" t="s">
        <v>249</v>
      </c>
      <c r="J195" t="s">
        <v>1694</v>
      </c>
      <c r="K195">
        <v>0</v>
      </c>
      <c r="L195" t="s">
        <v>251</v>
      </c>
      <c r="N195" t="s">
        <v>419</v>
      </c>
      <c r="O195" t="s">
        <v>1694</v>
      </c>
      <c r="P195">
        <v>6.4190725996525803E-5</v>
      </c>
      <c r="Q195" t="s">
        <v>251</v>
      </c>
      <c r="S195" t="s">
        <v>420</v>
      </c>
      <c r="T195" t="s">
        <v>1694</v>
      </c>
      <c r="U195">
        <v>1.5858334281436536E-5</v>
      </c>
      <c r="V195" t="s">
        <v>251</v>
      </c>
      <c r="X195">
        <v>1.1415525114155251E-4</v>
      </c>
      <c r="Y195">
        <v>2.1546544680075254E-5</v>
      </c>
      <c r="Z195" t="s">
        <v>1694</v>
      </c>
      <c r="AA195" t="s">
        <v>25</v>
      </c>
      <c r="AC195" t="s">
        <v>22</v>
      </c>
      <c r="AD195" t="s">
        <v>1694</v>
      </c>
      <c r="AE195">
        <v>1.3587229647782289E-4</v>
      </c>
      <c r="AG195" t="s">
        <v>99</v>
      </c>
      <c r="AH195" t="s">
        <v>1694</v>
      </c>
      <c r="AI195">
        <v>0</v>
      </c>
    </row>
    <row r="196" spans="5:35" x14ac:dyDescent="0.45">
      <c r="E196" t="s">
        <v>185</v>
      </c>
      <c r="G196" t="s">
        <v>160</v>
      </c>
      <c r="I196" t="s">
        <v>249</v>
      </c>
      <c r="J196" t="s">
        <v>1695</v>
      </c>
      <c r="K196">
        <v>0</v>
      </c>
      <c r="L196" t="s">
        <v>251</v>
      </c>
      <c r="N196" t="s">
        <v>419</v>
      </c>
      <c r="O196" t="s">
        <v>1695</v>
      </c>
      <c r="P196">
        <v>6.4535240551955652E-5</v>
      </c>
      <c r="Q196" t="s">
        <v>251</v>
      </c>
      <c r="S196" t="s">
        <v>420</v>
      </c>
      <c r="T196" t="s">
        <v>1695</v>
      </c>
      <c r="U196">
        <v>1.9026785827505969E-5</v>
      </c>
      <c r="V196" t="s">
        <v>251</v>
      </c>
      <c r="X196">
        <v>1.1415525114155251E-4</v>
      </c>
      <c r="Y196">
        <v>1.4916838624667481E-5</v>
      </c>
      <c r="Z196" t="s">
        <v>1695</v>
      </c>
      <c r="AA196" t="s">
        <v>25</v>
      </c>
      <c r="AC196" t="s">
        <v>22</v>
      </c>
      <c r="AD196" t="s">
        <v>1695</v>
      </c>
      <c r="AE196">
        <v>1.3168469195993051E-4</v>
      </c>
      <c r="AG196" t="s">
        <v>99</v>
      </c>
      <c r="AH196" t="s">
        <v>1695</v>
      </c>
      <c r="AI196">
        <v>0</v>
      </c>
    </row>
    <row r="197" spans="5:35" x14ac:dyDescent="0.45">
      <c r="E197" t="s">
        <v>186</v>
      </c>
      <c r="G197" t="s">
        <v>160</v>
      </c>
      <c r="I197" t="s">
        <v>249</v>
      </c>
      <c r="J197" t="s">
        <v>1696</v>
      </c>
      <c r="K197">
        <v>0</v>
      </c>
      <c r="L197" t="s">
        <v>251</v>
      </c>
      <c r="N197" t="s">
        <v>419</v>
      </c>
      <c r="O197" t="s">
        <v>1696</v>
      </c>
      <c r="P197">
        <v>5.8186219362530624E-5</v>
      </c>
      <c r="Q197" t="s">
        <v>251</v>
      </c>
      <c r="S197" t="s">
        <v>420</v>
      </c>
      <c r="T197" t="s">
        <v>1696</v>
      </c>
      <c r="U197">
        <v>2.1064221240019296E-5</v>
      </c>
      <c r="V197" t="s">
        <v>251</v>
      </c>
      <c r="X197">
        <v>1.1415525114155251E-4</v>
      </c>
      <c r="Y197">
        <v>1.6574265138519424E-5</v>
      </c>
      <c r="Z197" t="s">
        <v>1696</v>
      </c>
      <c r="AA197" t="s">
        <v>25</v>
      </c>
      <c r="AC197" t="s">
        <v>22</v>
      </c>
      <c r="AD197" t="s">
        <v>1696</v>
      </c>
      <c r="AE197">
        <v>1.3152385935398015E-4</v>
      </c>
      <c r="AG197" t="s">
        <v>99</v>
      </c>
      <c r="AH197" t="s">
        <v>1696</v>
      </c>
      <c r="AI197">
        <v>0</v>
      </c>
    </row>
    <row r="198" spans="5:35" x14ac:dyDescent="0.45">
      <c r="E198" t="s">
        <v>187</v>
      </c>
      <c r="G198" t="s">
        <v>160</v>
      </c>
      <c r="I198" t="s">
        <v>249</v>
      </c>
      <c r="J198" t="s">
        <v>1697</v>
      </c>
      <c r="K198">
        <v>0</v>
      </c>
      <c r="L198" t="s">
        <v>251</v>
      </c>
      <c r="N198" t="s">
        <v>419</v>
      </c>
      <c r="O198" t="s">
        <v>1697</v>
      </c>
      <c r="P198">
        <v>5.6109164710116187E-5</v>
      </c>
      <c r="Q198" t="s">
        <v>251</v>
      </c>
      <c r="S198" t="s">
        <v>420</v>
      </c>
      <c r="T198" t="s">
        <v>1697</v>
      </c>
      <c r="U198">
        <v>2.2970863645720103E-5</v>
      </c>
      <c r="V198" t="s">
        <v>251</v>
      </c>
      <c r="X198">
        <v>1.1415525114155251E-4</v>
      </c>
      <c r="Y198">
        <v>1.4585353321897093E-5</v>
      </c>
      <c r="Z198" t="s">
        <v>1697</v>
      </c>
      <c r="AA198" t="s">
        <v>25</v>
      </c>
      <c r="AC198" t="s">
        <v>22</v>
      </c>
      <c r="AD198" t="s">
        <v>1697</v>
      </c>
      <c r="AE198">
        <v>1.3152385935398015E-4</v>
      </c>
      <c r="AG198" t="s">
        <v>99</v>
      </c>
      <c r="AH198" t="s">
        <v>1697</v>
      </c>
      <c r="AI198">
        <v>0</v>
      </c>
    </row>
    <row r="199" spans="5:35" x14ac:dyDescent="0.45">
      <c r="E199" t="s">
        <v>188</v>
      </c>
      <c r="G199" t="s">
        <v>160</v>
      </c>
      <c r="I199" t="s">
        <v>249</v>
      </c>
      <c r="J199" t="s">
        <v>1698</v>
      </c>
      <c r="K199">
        <v>0</v>
      </c>
      <c r="L199" t="s">
        <v>251</v>
      </c>
      <c r="N199" t="s">
        <v>419</v>
      </c>
      <c r="O199" t="s">
        <v>1698</v>
      </c>
      <c r="P199">
        <v>6.0242086210431538E-5</v>
      </c>
      <c r="Q199" t="s">
        <v>251</v>
      </c>
      <c r="S199" t="s">
        <v>420</v>
      </c>
      <c r="T199" t="s">
        <v>1698</v>
      </c>
      <c r="U199">
        <v>2.3387246612240999E-5</v>
      </c>
      <c r="V199" t="s">
        <v>251</v>
      </c>
      <c r="X199">
        <v>1.1415525114155251E-4</v>
      </c>
      <c r="Y199">
        <v>2.1215059377304864E-5</v>
      </c>
      <c r="Z199" t="s">
        <v>1698</v>
      </c>
      <c r="AA199" t="s">
        <v>25</v>
      </c>
      <c r="AC199" t="s">
        <v>22</v>
      </c>
      <c r="AD199" t="s">
        <v>1698</v>
      </c>
      <c r="AE199">
        <v>1.3111879945751261E-4</v>
      </c>
      <c r="AG199" t="s">
        <v>99</v>
      </c>
      <c r="AH199" t="s">
        <v>1698</v>
      </c>
      <c r="AI199">
        <v>0</v>
      </c>
    </row>
    <row r="200" spans="5:35" x14ac:dyDescent="0.45">
      <c r="E200" t="s">
        <v>189</v>
      </c>
      <c r="G200" t="s">
        <v>160</v>
      </c>
      <c r="I200" t="s">
        <v>249</v>
      </c>
      <c r="J200" t="s">
        <v>1699</v>
      </c>
      <c r="K200">
        <v>0</v>
      </c>
      <c r="L200" t="s">
        <v>251</v>
      </c>
      <c r="N200" t="s">
        <v>419</v>
      </c>
      <c r="O200" t="s">
        <v>1699</v>
      </c>
      <c r="P200">
        <v>6.8546747721365744E-5</v>
      </c>
      <c r="Q200" t="s">
        <v>251</v>
      </c>
      <c r="S200" t="s">
        <v>420</v>
      </c>
      <c r="T200" t="s">
        <v>1699</v>
      </c>
      <c r="U200">
        <v>2.4626704624146188E-5</v>
      </c>
      <c r="V200" t="s">
        <v>251</v>
      </c>
      <c r="X200">
        <v>1.1415525114155251E-4</v>
      </c>
      <c r="Y200">
        <v>5.7678442682047593E-5</v>
      </c>
      <c r="Z200" t="s">
        <v>1699</v>
      </c>
      <c r="AA200" t="s">
        <v>25</v>
      </c>
      <c r="AC200" t="s">
        <v>22</v>
      </c>
      <c r="AD200" t="s">
        <v>1699</v>
      </c>
      <c r="AE200">
        <v>1.3052312313917801E-4</v>
      </c>
      <c r="AG200" t="s">
        <v>99</v>
      </c>
      <c r="AH200" t="s">
        <v>1699</v>
      </c>
      <c r="AI200">
        <v>0</v>
      </c>
    </row>
    <row r="201" spans="5:35" x14ac:dyDescent="0.45">
      <c r="E201" t="s">
        <v>190</v>
      </c>
      <c r="G201" t="s">
        <v>160</v>
      </c>
      <c r="I201" t="s">
        <v>249</v>
      </c>
      <c r="J201" t="s">
        <v>1700</v>
      </c>
      <c r="K201">
        <v>0</v>
      </c>
      <c r="L201" t="s">
        <v>251</v>
      </c>
      <c r="N201" t="s">
        <v>419</v>
      </c>
      <c r="O201" t="s">
        <v>1700</v>
      </c>
      <c r="P201">
        <v>8.742165233876756E-5</v>
      </c>
      <c r="Q201" t="s">
        <v>251</v>
      </c>
      <c r="S201" t="s">
        <v>420</v>
      </c>
      <c r="T201" t="s">
        <v>1700</v>
      </c>
      <c r="U201">
        <v>2.5547865173440307E-5</v>
      </c>
      <c r="V201" t="s">
        <v>251</v>
      </c>
      <c r="X201">
        <v>1.1415525114155251E-4</v>
      </c>
      <c r="Y201">
        <v>1.6905750441289813E-4</v>
      </c>
      <c r="Z201" t="s">
        <v>1700</v>
      </c>
      <c r="AA201" t="s">
        <v>25</v>
      </c>
      <c r="AC201" t="s">
        <v>22</v>
      </c>
      <c r="AD201" t="s">
        <v>1700</v>
      </c>
      <c r="AE201">
        <v>1.3073756661377846E-4</v>
      </c>
      <c r="AG201" t="s">
        <v>99</v>
      </c>
      <c r="AH201" t="s">
        <v>1700</v>
      </c>
      <c r="AI201">
        <v>0</v>
      </c>
    </row>
    <row r="202" spans="5:35" x14ac:dyDescent="0.45">
      <c r="E202" t="s">
        <v>191</v>
      </c>
      <c r="G202" t="s">
        <v>160</v>
      </c>
      <c r="I202" t="s">
        <v>249</v>
      </c>
      <c r="J202" t="s">
        <v>1701</v>
      </c>
      <c r="K202">
        <v>4.1830861541236523E-5</v>
      </c>
      <c r="L202" t="s">
        <v>251</v>
      </c>
      <c r="N202" t="s">
        <v>419</v>
      </c>
      <c r="O202" t="s">
        <v>1701</v>
      </c>
      <c r="P202">
        <v>9.1540189945702797E-5</v>
      </c>
      <c r="Q202" t="s">
        <v>251</v>
      </c>
      <c r="S202" t="s">
        <v>420</v>
      </c>
      <c r="T202" t="s">
        <v>1701</v>
      </c>
      <c r="U202">
        <v>2.4158761441651879E-5</v>
      </c>
      <c r="V202" t="s">
        <v>251</v>
      </c>
      <c r="X202">
        <v>1.1415525114155251E-4</v>
      </c>
      <c r="Y202">
        <v>1.9060404909297337E-4</v>
      </c>
      <c r="Z202" t="s">
        <v>1701</v>
      </c>
      <c r="AA202" t="s">
        <v>25</v>
      </c>
      <c r="AC202" t="s">
        <v>22</v>
      </c>
      <c r="AD202" t="s">
        <v>1701</v>
      </c>
      <c r="AE202">
        <v>1.3313218541348364E-4</v>
      </c>
      <c r="AG202" t="s">
        <v>99</v>
      </c>
      <c r="AH202" t="s">
        <v>1701</v>
      </c>
      <c r="AI202">
        <v>0</v>
      </c>
    </row>
    <row r="203" spans="5:35" x14ac:dyDescent="0.45">
      <c r="E203" t="s">
        <v>1454</v>
      </c>
      <c r="G203" t="s">
        <v>160</v>
      </c>
      <c r="I203" t="s">
        <v>249</v>
      </c>
      <c r="J203" t="s">
        <v>1702</v>
      </c>
      <c r="K203">
        <v>9.026892134192678E-5</v>
      </c>
      <c r="L203" t="s">
        <v>251</v>
      </c>
      <c r="N203" t="s">
        <v>419</v>
      </c>
      <c r="O203" t="s">
        <v>1702</v>
      </c>
      <c r="P203">
        <v>8.5473753517174058E-5</v>
      </c>
      <c r="Q203" t="s">
        <v>251</v>
      </c>
      <c r="S203" t="s">
        <v>420</v>
      </c>
      <c r="T203" t="s">
        <v>1702</v>
      </c>
      <c r="U203">
        <v>2.450720801774205E-5</v>
      </c>
      <c r="V203" t="s">
        <v>251</v>
      </c>
      <c r="X203">
        <v>1.1415525114155251E-4</v>
      </c>
      <c r="Y203">
        <v>1.4585353321897094E-4</v>
      </c>
      <c r="Z203" t="s">
        <v>1702</v>
      </c>
      <c r="AA203" t="s">
        <v>25</v>
      </c>
      <c r="AC203" t="s">
        <v>22</v>
      </c>
      <c r="AD203" t="s">
        <v>1702</v>
      </c>
      <c r="AE203">
        <v>1.3460350591977017E-4</v>
      </c>
      <c r="AG203" t="s">
        <v>99</v>
      </c>
      <c r="AH203" t="s">
        <v>1702</v>
      </c>
      <c r="AI203">
        <v>0</v>
      </c>
    </row>
    <row r="204" spans="5:35" x14ac:dyDescent="0.45">
      <c r="E204" t="s">
        <v>1455</v>
      </c>
      <c r="G204" t="s">
        <v>160</v>
      </c>
      <c r="I204" t="s">
        <v>249</v>
      </c>
      <c r="J204" t="s">
        <v>1703</v>
      </c>
      <c r="K204">
        <v>1.139397990527E-4</v>
      </c>
      <c r="L204" t="s">
        <v>251</v>
      </c>
      <c r="N204" t="s">
        <v>419</v>
      </c>
      <c r="O204" t="s">
        <v>1703</v>
      </c>
      <c r="P204">
        <v>8.1142370129722366E-5</v>
      </c>
      <c r="Q204" t="s">
        <v>251</v>
      </c>
      <c r="S204" t="s">
        <v>420</v>
      </c>
      <c r="T204" t="s">
        <v>1703</v>
      </c>
      <c r="U204">
        <v>2.6239176426558174E-5</v>
      </c>
      <c r="V204" t="s">
        <v>251</v>
      </c>
      <c r="X204">
        <v>1.1415525114155251E-4</v>
      </c>
      <c r="Y204">
        <v>1.4452759200788939E-4</v>
      </c>
      <c r="Z204" t="s">
        <v>1703</v>
      </c>
      <c r="AA204" t="s">
        <v>25</v>
      </c>
      <c r="AC204" t="s">
        <v>22</v>
      </c>
      <c r="AD204" t="s">
        <v>1703</v>
      </c>
      <c r="AE204">
        <v>1.3525874986993822E-4</v>
      </c>
      <c r="AG204" t="s">
        <v>99</v>
      </c>
      <c r="AH204" t="s">
        <v>1703</v>
      </c>
      <c r="AI204">
        <v>0</v>
      </c>
    </row>
    <row r="205" spans="5:35" x14ac:dyDescent="0.45">
      <c r="E205" t="s">
        <v>1456</v>
      </c>
      <c r="G205" t="s">
        <v>160</v>
      </c>
      <c r="I205" t="s">
        <v>249</v>
      </c>
      <c r="J205" t="s">
        <v>1704</v>
      </c>
      <c r="K205">
        <v>1.4435347394969999E-4</v>
      </c>
      <c r="L205" t="s">
        <v>251</v>
      </c>
      <c r="N205" t="s">
        <v>419</v>
      </c>
      <c r="O205" t="s">
        <v>1704</v>
      </c>
      <c r="P205">
        <v>8.6946586423402585E-5</v>
      </c>
      <c r="Q205" t="s">
        <v>251</v>
      </c>
      <c r="S205" t="s">
        <v>420</v>
      </c>
      <c r="T205" t="s">
        <v>1704</v>
      </c>
      <c r="U205">
        <v>2.9330497317717649E-5</v>
      </c>
      <c r="V205" t="s">
        <v>251</v>
      </c>
      <c r="X205">
        <v>1.1415525114155251E-4</v>
      </c>
      <c r="Y205">
        <v>1.408812536774151E-4</v>
      </c>
      <c r="Z205" t="s">
        <v>1704</v>
      </c>
      <c r="AA205" t="s">
        <v>25</v>
      </c>
      <c r="AC205" t="s">
        <v>22</v>
      </c>
      <c r="AD205" t="s">
        <v>1704</v>
      </c>
      <c r="AE205">
        <v>1.391544729918467E-4</v>
      </c>
      <c r="AG205" t="s">
        <v>99</v>
      </c>
      <c r="AH205" t="s">
        <v>1704</v>
      </c>
      <c r="AI205">
        <v>0</v>
      </c>
    </row>
    <row r="206" spans="5:35" x14ac:dyDescent="0.45">
      <c r="E206" t="s">
        <v>1457</v>
      </c>
      <c r="G206" t="s">
        <v>160</v>
      </c>
      <c r="I206" t="s">
        <v>249</v>
      </c>
      <c r="J206" t="s">
        <v>1705</v>
      </c>
      <c r="K206">
        <v>1.7313837453939999E-4</v>
      </c>
      <c r="L206" t="s">
        <v>251</v>
      </c>
      <c r="N206" t="s">
        <v>419</v>
      </c>
      <c r="O206" t="s">
        <v>1705</v>
      </c>
      <c r="P206">
        <v>9.8479584279142094E-5</v>
      </c>
      <c r="Q206" t="s">
        <v>251</v>
      </c>
      <c r="S206" t="s">
        <v>420</v>
      </c>
      <c r="T206" t="s">
        <v>1705</v>
      </c>
      <c r="U206">
        <v>2.9456854794628842E-5</v>
      </c>
      <c r="V206" t="s">
        <v>251</v>
      </c>
      <c r="X206">
        <v>1.1415525114155251E-4</v>
      </c>
      <c r="Y206">
        <v>1.4054976837464471E-4</v>
      </c>
      <c r="Z206" t="s">
        <v>1705</v>
      </c>
      <c r="AA206" t="s">
        <v>25</v>
      </c>
      <c r="AC206" t="s">
        <v>22</v>
      </c>
      <c r="AD206" t="s">
        <v>1705</v>
      </c>
      <c r="AE206">
        <v>1.352527931067549E-4</v>
      </c>
      <c r="AG206" t="s">
        <v>99</v>
      </c>
      <c r="AH206" t="s">
        <v>1705</v>
      </c>
      <c r="AI206">
        <v>0</v>
      </c>
    </row>
    <row r="207" spans="5:35" x14ac:dyDescent="0.45">
      <c r="E207" t="s">
        <v>1458</v>
      </c>
      <c r="G207" t="s">
        <v>160</v>
      </c>
      <c r="I207" t="s">
        <v>249</v>
      </c>
      <c r="J207" t="s">
        <v>1706</v>
      </c>
      <c r="K207">
        <v>2.130765852147E-4</v>
      </c>
      <c r="L207" t="s">
        <v>251</v>
      </c>
      <c r="N207" t="s">
        <v>419</v>
      </c>
      <c r="O207" t="s">
        <v>1706</v>
      </c>
      <c r="P207">
        <v>9.5562530827042455E-5</v>
      </c>
      <c r="Q207" t="s">
        <v>251</v>
      </c>
      <c r="S207" t="s">
        <v>420</v>
      </c>
      <c r="T207" t="s">
        <v>1706</v>
      </c>
      <c r="U207">
        <v>3.0970803531068008E-5</v>
      </c>
      <c r="V207" t="s">
        <v>251</v>
      </c>
      <c r="X207">
        <v>1.1415525114155251E-4</v>
      </c>
      <c r="Y207">
        <v>1.4253868019126702E-4</v>
      </c>
      <c r="Z207" t="s">
        <v>1706</v>
      </c>
      <c r="AA207" t="s">
        <v>25</v>
      </c>
      <c r="AC207" t="s">
        <v>22</v>
      </c>
      <c r="AD207" t="s">
        <v>1706</v>
      </c>
      <c r="AE207">
        <v>1.2830125047178984E-4</v>
      </c>
      <c r="AG207" t="s">
        <v>99</v>
      </c>
      <c r="AH207" t="s">
        <v>1706</v>
      </c>
      <c r="AI207">
        <v>0</v>
      </c>
    </row>
    <row r="208" spans="5:35" x14ac:dyDescent="0.45">
      <c r="E208" t="s">
        <v>1459</v>
      </c>
      <c r="G208" t="s">
        <v>160</v>
      </c>
      <c r="I208" t="s">
        <v>249</v>
      </c>
      <c r="J208" t="s">
        <v>1707</v>
      </c>
      <c r="K208">
        <v>2.041789572997E-4</v>
      </c>
      <c r="L208" t="s">
        <v>251</v>
      </c>
      <c r="N208" t="s">
        <v>419</v>
      </c>
      <c r="O208" t="s">
        <v>1707</v>
      </c>
      <c r="P208">
        <v>1.0057795714150001E-4</v>
      </c>
      <c r="Q208" t="s">
        <v>251</v>
      </c>
      <c r="S208" t="s">
        <v>420</v>
      </c>
      <c r="T208" t="s">
        <v>1707</v>
      </c>
      <c r="U208">
        <v>3.4160764815342438E-5</v>
      </c>
      <c r="V208" t="s">
        <v>251</v>
      </c>
      <c r="X208">
        <v>1.1415525114155251E-4</v>
      </c>
      <c r="Y208">
        <v>1.4883690094390442E-4</v>
      </c>
      <c r="Z208" t="s">
        <v>1707</v>
      </c>
      <c r="AA208" t="s">
        <v>25</v>
      </c>
      <c r="AC208" t="s">
        <v>22</v>
      </c>
      <c r="AD208" t="s">
        <v>1707</v>
      </c>
      <c r="AE208">
        <v>1.1773395258453361E-4</v>
      </c>
      <c r="AG208" t="s">
        <v>99</v>
      </c>
      <c r="AH208" t="s">
        <v>1707</v>
      </c>
      <c r="AI208">
        <v>0</v>
      </c>
    </row>
    <row r="209" spans="5:35" x14ac:dyDescent="0.45">
      <c r="E209" t="s">
        <v>1460</v>
      </c>
      <c r="G209" t="s">
        <v>160</v>
      </c>
      <c r="I209" t="s">
        <v>249</v>
      </c>
      <c r="J209" t="s">
        <v>1708</v>
      </c>
      <c r="K209">
        <v>1.7487608750869999E-4</v>
      </c>
      <c r="L209" t="s">
        <v>251</v>
      </c>
      <c r="N209" t="s">
        <v>419</v>
      </c>
      <c r="O209" t="s">
        <v>1708</v>
      </c>
      <c r="P209">
        <v>1.0759832750809999E-4</v>
      </c>
      <c r="Q209" t="s">
        <v>251</v>
      </c>
      <c r="S209" t="s">
        <v>420</v>
      </c>
      <c r="T209" t="s">
        <v>1708</v>
      </c>
      <c r="U209">
        <v>3.8943632586143125E-5</v>
      </c>
      <c r="V209" t="s">
        <v>251</v>
      </c>
      <c r="X209">
        <v>1.1415525114155251E-4</v>
      </c>
      <c r="Y209">
        <v>1.5049432745775637E-4</v>
      </c>
      <c r="Z209" t="s">
        <v>1708</v>
      </c>
      <c r="AA209" t="s">
        <v>25</v>
      </c>
      <c r="AC209" t="s">
        <v>22</v>
      </c>
      <c r="AD209" t="s">
        <v>1708</v>
      </c>
      <c r="AE209">
        <v>1.0575490182282436E-4</v>
      </c>
      <c r="AG209" t="s">
        <v>99</v>
      </c>
      <c r="AH209" t="s">
        <v>1708</v>
      </c>
      <c r="AI209">
        <v>0</v>
      </c>
    </row>
    <row r="210" spans="5:35" x14ac:dyDescent="0.45">
      <c r="E210" t="s">
        <v>1461</v>
      </c>
      <c r="G210" t="s">
        <v>160</v>
      </c>
      <c r="I210" t="s">
        <v>249</v>
      </c>
      <c r="J210" t="s">
        <v>1709</v>
      </c>
      <c r="K210">
        <v>1.576371120634E-4</v>
      </c>
      <c r="L210" t="s">
        <v>251</v>
      </c>
      <c r="N210" t="s">
        <v>419</v>
      </c>
      <c r="O210" t="s">
        <v>1709</v>
      </c>
      <c r="P210">
        <v>1.131122734483E-4</v>
      </c>
      <c r="Q210" t="s">
        <v>251</v>
      </c>
      <c r="S210" t="s">
        <v>420</v>
      </c>
      <c r="T210" t="s">
        <v>1709</v>
      </c>
      <c r="U210">
        <v>4.7690378449585606E-5</v>
      </c>
      <c r="V210" t="s">
        <v>251</v>
      </c>
      <c r="X210">
        <v>1.1415525114155251E-4</v>
      </c>
      <c r="Y210">
        <v>1.7237235744060203E-4</v>
      </c>
      <c r="Z210" t="s">
        <v>1709</v>
      </c>
      <c r="AA210" t="s">
        <v>25</v>
      </c>
      <c r="AC210" t="s">
        <v>22</v>
      </c>
      <c r="AD210" t="s">
        <v>1709</v>
      </c>
      <c r="AE210">
        <v>8.8879391724404488E-5</v>
      </c>
      <c r="AG210" t="s">
        <v>99</v>
      </c>
      <c r="AH210" t="s">
        <v>1709</v>
      </c>
      <c r="AI210">
        <v>0</v>
      </c>
    </row>
    <row r="211" spans="5:35" x14ac:dyDescent="0.45">
      <c r="E211" t="s">
        <v>1462</v>
      </c>
      <c r="G211" t="s">
        <v>160</v>
      </c>
      <c r="I211" t="s">
        <v>249</v>
      </c>
      <c r="J211" t="s">
        <v>1710</v>
      </c>
      <c r="K211">
        <v>1.3763685403960001E-4</v>
      </c>
      <c r="L211" t="s">
        <v>251</v>
      </c>
      <c r="N211" t="s">
        <v>419</v>
      </c>
      <c r="O211" t="s">
        <v>1710</v>
      </c>
      <c r="P211">
        <v>1.1188704647739999E-4</v>
      </c>
      <c r="Q211" t="s">
        <v>251</v>
      </c>
      <c r="S211" t="s">
        <v>420</v>
      </c>
      <c r="T211" t="s">
        <v>1710</v>
      </c>
      <c r="U211">
        <v>5.5179898206872657E-5</v>
      </c>
      <c r="V211" t="s">
        <v>251</v>
      </c>
      <c r="X211">
        <v>1.1415525114155251E-4</v>
      </c>
      <c r="Y211">
        <v>2.2209515285616027E-4</v>
      </c>
      <c r="Z211" t="s">
        <v>1710</v>
      </c>
      <c r="AA211" t="s">
        <v>25</v>
      </c>
      <c r="AC211" t="s">
        <v>22</v>
      </c>
      <c r="AD211" t="s">
        <v>1710</v>
      </c>
      <c r="AE211">
        <v>8.5156414734813098E-5</v>
      </c>
      <c r="AG211" t="s">
        <v>99</v>
      </c>
      <c r="AH211" t="s">
        <v>1710</v>
      </c>
      <c r="AI211">
        <v>0</v>
      </c>
    </row>
    <row r="212" spans="5:35" x14ac:dyDescent="0.45">
      <c r="E212" t="s">
        <v>1463</v>
      </c>
      <c r="G212" t="s">
        <v>160</v>
      </c>
      <c r="I212" t="s">
        <v>249</v>
      </c>
      <c r="J212" t="s">
        <v>1711</v>
      </c>
      <c r="K212">
        <v>9.497743710125788E-5</v>
      </c>
      <c r="L212" t="s">
        <v>251</v>
      </c>
      <c r="N212" t="s">
        <v>419</v>
      </c>
      <c r="O212" t="s">
        <v>1711</v>
      </c>
      <c r="P212">
        <v>1.08922049524E-4</v>
      </c>
      <c r="Q212" t="s">
        <v>251</v>
      </c>
      <c r="S212" t="s">
        <v>420</v>
      </c>
      <c r="T212" t="s">
        <v>1711</v>
      </c>
      <c r="U212">
        <v>5.8061291014300797E-5</v>
      </c>
      <c r="V212" t="s">
        <v>251</v>
      </c>
      <c r="X212">
        <v>1.1415525114155251E-4</v>
      </c>
      <c r="Y212">
        <v>2.2209515285616027E-4</v>
      </c>
      <c r="Z212" t="s">
        <v>1711</v>
      </c>
      <c r="AA212" t="s">
        <v>25</v>
      </c>
      <c r="AC212" t="s">
        <v>22</v>
      </c>
      <c r="AD212" t="s">
        <v>1711</v>
      </c>
      <c r="AE212">
        <v>8.0724582926403499E-5</v>
      </c>
      <c r="AG212" t="s">
        <v>99</v>
      </c>
      <c r="AH212" t="s">
        <v>1711</v>
      </c>
      <c r="AI212">
        <v>0</v>
      </c>
    </row>
    <row r="213" spans="5:35" x14ac:dyDescent="0.45">
      <c r="E213" t="s">
        <v>1464</v>
      </c>
      <c r="G213" t="s">
        <v>160</v>
      </c>
      <c r="I213" t="s">
        <v>249</v>
      </c>
      <c r="J213" t="s">
        <v>1712</v>
      </c>
      <c r="K213">
        <v>1.7099363526341909E-5</v>
      </c>
      <c r="L213" t="s">
        <v>251</v>
      </c>
      <c r="N213" t="s">
        <v>419</v>
      </c>
      <c r="O213" t="s">
        <v>1712</v>
      </c>
      <c r="P213">
        <v>1.067125307514E-4</v>
      </c>
      <c r="Q213" t="s">
        <v>251</v>
      </c>
      <c r="S213" t="s">
        <v>420</v>
      </c>
      <c r="T213" t="s">
        <v>1712</v>
      </c>
      <c r="U213">
        <v>5.530425106136828E-5</v>
      </c>
      <c r="V213" t="s">
        <v>251</v>
      </c>
      <c r="X213">
        <v>1.1415525114155251E-4</v>
      </c>
      <c r="Y213">
        <v>1.7237235744060203E-4</v>
      </c>
      <c r="Z213" t="s">
        <v>1712</v>
      </c>
      <c r="AA213" t="s">
        <v>25</v>
      </c>
      <c r="AC213" t="s">
        <v>22</v>
      </c>
      <c r="AD213" t="s">
        <v>1712</v>
      </c>
      <c r="AE213">
        <v>8.1939762615806133E-5</v>
      </c>
      <c r="AG213" t="s">
        <v>99</v>
      </c>
      <c r="AH213" t="s">
        <v>1712</v>
      </c>
      <c r="AI213">
        <v>0</v>
      </c>
    </row>
    <row r="214" spans="5:35" x14ac:dyDescent="0.45">
      <c r="E214" t="s">
        <v>1465</v>
      </c>
      <c r="G214" t="s">
        <v>160</v>
      </c>
      <c r="I214" t="s">
        <v>249</v>
      </c>
      <c r="J214" t="s">
        <v>1713</v>
      </c>
      <c r="K214">
        <v>0</v>
      </c>
      <c r="L214" t="s">
        <v>251</v>
      </c>
      <c r="N214" t="s">
        <v>419</v>
      </c>
      <c r="O214" t="s">
        <v>1713</v>
      </c>
      <c r="P214">
        <v>1.033302732755E-4</v>
      </c>
      <c r="Q214" t="s">
        <v>251</v>
      </c>
      <c r="S214" t="s">
        <v>420</v>
      </c>
      <c r="T214" t="s">
        <v>1713</v>
      </c>
      <c r="U214">
        <v>5.7505410968169217E-5</v>
      </c>
      <c r="V214" t="s">
        <v>251</v>
      </c>
      <c r="X214">
        <v>1.1415525114155251E-4</v>
      </c>
      <c r="Y214">
        <v>1.5579809230208258E-4</v>
      </c>
      <c r="Z214" t="s">
        <v>1713</v>
      </c>
      <c r="AA214" t="s">
        <v>25</v>
      </c>
      <c r="AC214" t="s">
        <v>22</v>
      </c>
      <c r="AD214" t="s">
        <v>1713</v>
      </c>
      <c r="AE214">
        <v>8.3869753887210315E-5</v>
      </c>
      <c r="AG214" t="s">
        <v>99</v>
      </c>
      <c r="AH214" t="s">
        <v>1713</v>
      </c>
      <c r="AI214">
        <v>0</v>
      </c>
    </row>
    <row r="215" spans="5:35" x14ac:dyDescent="0.45">
      <c r="E215" t="s">
        <v>1466</v>
      </c>
      <c r="G215" t="s">
        <v>160</v>
      </c>
      <c r="I215" t="s">
        <v>249</v>
      </c>
      <c r="J215" t="s">
        <v>1714</v>
      </c>
      <c r="K215">
        <v>0</v>
      </c>
      <c r="L215" t="s">
        <v>251</v>
      </c>
      <c r="N215" t="s">
        <v>419</v>
      </c>
      <c r="O215" t="s">
        <v>1714</v>
      </c>
      <c r="P215">
        <v>9.422155976578592E-5</v>
      </c>
      <c r="Q215" t="s">
        <v>251</v>
      </c>
      <c r="S215" t="s">
        <v>420</v>
      </c>
      <c r="T215" t="s">
        <v>1714</v>
      </c>
      <c r="U215">
        <v>5.5426119085952329E-5</v>
      </c>
      <c r="V215" t="s">
        <v>251</v>
      </c>
      <c r="X215">
        <v>1.1415525114155251E-4</v>
      </c>
      <c r="Y215">
        <v>1.093901499142282E-4</v>
      </c>
      <c r="Z215" t="s">
        <v>1714</v>
      </c>
      <c r="AA215" t="s">
        <v>25</v>
      </c>
      <c r="AC215" t="s">
        <v>22</v>
      </c>
      <c r="AD215" t="s">
        <v>1714</v>
      </c>
      <c r="AE215">
        <v>1.0083461543338038E-4</v>
      </c>
      <c r="AG215" t="s">
        <v>99</v>
      </c>
      <c r="AH215" t="s">
        <v>1714</v>
      </c>
      <c r="AI215">
        <v>0</v>
      </c>
    </row>
    <row r="216" spans="5:35" x14ac:dyDescent="0.45">
      <c r="E216" t="s">
        <v>1467</v>
      </c>
      <c r="G216" t="s">
        <v>160</v>
      </c>
      <c r="I216" t="s">
        <v>249</v>
      </c>
      <c r="J216" t="s">
        <v>1715</v>
      </c>
      <c r="K216">
        <v>0</v>
      </c>
      <c r="L216" t="s">
        <v>251</v>
      </c>
      <c r="N216" t="s">
        <v>419</v>
      </c>
      <c r="O216" t="s">
        <v>1715</v>
      </c>
      <c r="P216">
        <v>8.3874519894675789E-5</v>
      </c>
      <c r="Q216" t="s">
        <v>251</v>
      </c>
      <c r="S216" t="s">
        <v>420</v>
      </c>
      <c r="T216" t="s">
        <v>1715</v>
      </c>
      <c r="U216">
        <v>5.70127124506765E-5</v>
      </c>
      <c r="V216" t="s">
        <v>251</v>
      </c>
      <c r="X216">
        <v>1.1415525114155251E-4</v>
      </c>
      <c r="Y216">
        <v>7.9556472664893237E-5</v>
      </c>
      <c r="Z216" t="s">
        <v>1715</v>
      </c>
      <c r="AA216" t="s">
        <v>25</v>
      </c>
      <c r="AC216" t="s">
        <v>22</v>
      </c>
      <c r="AD216" t="s">
        <v>1715</v>
      </c>
      <c r="AE216">
        <v>1.1590522628724633E-4</v>
      </c>
      <c r="AG216" t="s">
        <v>99</v>
      </c>
      <c r="AH216" t="s">
        <v>1715</v>
      </c>
      <c r="AI216">
        <v>0</v>
      </c>
    </row>
    <row r="217" spans="5:35" x14ac:dyDescent="0.45">
      <c r="E217" t="s">
        <v>1468</v>
      </c>
      <c r="G217" t="s">
        <v>160</v>
      </c>
      <c r="I217" t="s">
        <v>249</v>
      </c>
      <c r="J217" t="s">
        <v>1716</v>
      </c>
      <c r="K217">
        <v>0</v>
      </c>
      <c r="L217" t="s">
        <v>251</v>
      </c>
      <c r="N217" t="s">
        <v>419</v>
      </c>
      <c r="O217" t="s">
        <v>1716</v>
      </c>
      <c r="P217">
        <v>7.9031291960626637E-5</v>
      </c>
      <c r="Q217" t="s">
        <v>251</v>
      </c>
      <c r="S217" t="s">
        <v>420</v>
      </c>
      <c r="T217" t="s">
        <v>1716</v>
      </c>
      <c r="U217">
        <v>5.7247797933401058E-5</v>
      </c>
      <c r="V217" t="s">
        <v>251</v>
      </c>
      <c r="X217">
        <v>1.1415525114155251E-4</v>
      </c>
      <c r="Y217">
        <v>5.6352501470966035E-5</v>
      </c>
      <c r="Z217" t="s">
        <v>1716</v>
      </c>
      <c r="AA217" t="s">
        <v>25</v>
      </c>
      <c r="AC217" t="s">
        <v>22</v>
      </c>
      <c r="AD217" t="s">
        <v>1716</v>
      </c>
      <c r="AE217">
        <v>1.291232837910916E-4</v>
      </c>
      <c r="AG217" t="s">
        <v>99</v>
      </c>
      <c r="AH217" t="s">
        <v>1716</v>
      </c>
      <c r="AI217">
        <v>0</v>
      </c>
    </row>
    <row r="218" spans="5:35" x14ac:dyDescent="0.45">
      <c r="E218" t="s">
        <v>1469</v>
      </c>
      <c r="G218" t="s">
        <v>160</v>
      </c>
      <c r="I218" t="s">
        <v>249</v>
      </c>
      <c r="J218" t="s">
        <v>1717</v>
      </c>
      <c r="K218">
        <v>0</v>
      </c>
      <c r="L218" t="s">
        <v>251</v>
      </c>
      <c r="N218" t="s">
        <v>419</v>
      </c>
      <c r="O218" t="s">
        <v>1717</v>
      </c>
      <c r="P218">
        <v>8.1554265603351621E-5</v>
      </c>
      <c r="Q218" t="s">
        <v>251</v>
      </c>
      <c r="S218" t="s">
        <v>420</v>
      </c>
      <c r="T218" t="s">
        <v>1717</v>
      </c>
      <c r="U218">
        <v>5.8071645712906125E-5</v>
      </c>
      <c r="V218" t="s">
        <v>251</v>
      </c>
      <c r="X218">
        <v>1.1415525114155251E-4</v>
      </c>
      <c r="Y218">
        <v>2.9833677249334962E-5</v>
      </c>
      <c r="Z218" t="s">
        <v>1717</v>
      </c>
      <c r="AA218" t="s">
        <v>25</v>
      </c>
      <c r="AC218" t="s">
        <v>22</v>
      </c>
      <c r="AD218" t="s">
        <v>1717</v>
      </c>
      <c r="AE218">
        <v>1.3790355272334397E-4</v>
      </c>
      <c r="AG218" t="s">
        <v>99</v>
      </c>
      <c r="AH218" t="s">
        <v>1717</v>
      </c>
      <c r="AI218">
        <v>0</v>
      </c>
    </row>
    <row r="219" spans="5:35" x14ac:dyDescent="0.45">
      <c r="E219" t="s">
        <v>1470</v>
      </c>
      <c r="G219" t="s">
        <v>160</v>
      </c>
      <c r="I219" t="s">
        <v>249</v>
      </c>
      <c r="J219" t="s">
        <v>291</v>
      </c>
      <c r="K219">
        <v>0</v>
      </c>
      <c r="L219" t="s">
        <v>251</v>
      </c>
      <c r="N219" t="s">
        <v>419</v>
      </c>
      <c r="O219" t="s">
        <v>291</v>
      </c>
      <c r="P219">
        <v>1.4595195518614155E-2</v>
      </c>
      <c r="Q219" t="s">
        <v>251</v>
      </c>
      <c r="S219" t="s">
        <v>420</v>
      </c>
      <c r="T219" t="s">
        <v>291</v>
      </c>
      <c r="U219">
        <v>1.7136684621003029E-2</v>
      </c>
      <c r="V219" t="s">
        <v>251</v>
      </c>
      <c r="X219">
        <v>1.5753424657534248E-2</v>
      </c>
      <c r="Y219">
        <v>3.3698795879637689E-3</v>
      </c>
      <c r="Z219" t="s">
        <v>291</v>
      </c>
      <c r="AA219" t="s">
        <v>25</v>
      </c>
      <c r="AC219" t="s">
        <v>22</v>
      </c>
      <c r="AD219" t="s">
        <v>291</v>
      </c>
      <c r="AE219">
        <v>1.7378206679055888E-2</v>
      </c>
      <c r="AG219" t="s">
        <v>99</v>
      </c>
      <c r="AH219" t="s">
        <v>291</v>
      </c>
      <c r="AI219">
        <v>9.6932559405243035E-2</v>
      </c>
    </row>
    <row r="220" spans="5:35" x14ac:dyDescent="0.45">
      <c r="E220" t="s">
        <v>1471</v>
      </c>
      <c r="G220" t="s">
        <v>160</v>
      </c>
      <c r="I220" t="s">
        <v>249</v>
      </c>
      <c r="J220" t="s">
        <v>292</v>
      </c>
      <c r="K220">
        <v>0</v>
      </c>
      <c r="L220" t="s">
        <v>251</v>
      </c>
      <c r="N220" t="s">
        <v>419</v>
      </c>
      <c r="O220" t="s">
        <v>292</v>
      </c>
      <c r="P220">
        <v>2.2843808253291834E-3</v>
      </c>
      <c r="Q220" t="s">
        <v>251</v>
      </c>
      <c r="S220" t="s">
        <v>420</v>
      </c>
      <c r="T220" t="s">
        <v>292</v>
      </c>
      <c r="U220">
        <v>2.8193231440700301E-3</v>
      </c>
      <c r="V220" t="s">
        <v>251</v>
      </c>
      <c r="X220">
        <v>2.625570776255708E-3</v>
      </c>
      <c r="Y220">
        <v>3.8883226014966589E-3</v>
      </c>
      <c r="Z220" t="s">
        <v>292</v>
      </c>
      <c r="AA220" t="s">
        <v>25</v>
      </c>
      <c r="AC220" t="s">
        <v>22</v>
      </c>
      <c r="AD220" t="s">
        <v>292</v>
      </c>
      <c r="AE220">
        <v>2.9007460007824076E-3</v>
      </c>
      <c r="AG220" t="s">
        <v>99</v>
      </c>
      <c r="AH220" t="s">
        <v>292</v>
      </c>
      <c r="AI220">
        <v>5.2178880883613221E-2</v>
      </c>
    </row>
    <row r="221" spans="5:35" x14ac:dyDescent="0.45">
      <c r="E221" t="s">
        <v>1472</v>
      </c>
      <c r="G221" t="s">
        <v>160</v>
      </c>
      <c r="I221" t="s">
        <v>249</v>
      </c>
      <c r="J221" t="s">
        <v>293</v>
      </c>
      <c r="K221">
        <v>4.1984829347857728E-4</v>
      </c>
      <c r="L221" t="s">
        <v>251</v>
      </c>
      <c r="N221" t="s">
        <v>419</v>
      </c>
      <c r="O221" t="s">
        <v>293</v>
      </c>
      <c r="P221">
        <v>2.2223138600203228E-3</v>
      </c>
      <c r="Q221" t="s">
        <v>251</v>
      </c>
      <c r="S221" t="s">
        <v>420</v>
      </c>
      <c r="T221" t="s">
        <v>293</v>
      </c>
      <c r="U221">
        <v>2.7487534144363173E-3</v>
      </c>
      <c r="V221" t="s">
        <v>251</v>
      </c>
      <c r="X221">
        <v>2.625570776255708E-3</v>
      </c>
      <c r="Y221">
        <v>4.3838931291383864E-3</v>
      </c>
      <c r="Z221" t="s">
        <v>293</v>
      </c>
      <c r="AA221" t="s">
        <v>25</v>
      </c>
      <c r="AC221" t="s">
        <v>22</v>
      </c>
      <c r="AD221" t="s">
        <v>293</v>
      </c>
      <c r="AE221">
        <v>3.0658555626983984E-3</v>
      </c>
      <c r="AG221" t="s">
        <v>99</v>
      </c>
      <c r="AH221" t="s">
        <v>293</v>
      </c>
      <c r="AI221">
        <v>7.0887145972973853E-2</v>
      </c>
    </row>
    <row r="222" spans="5:35" x14ac:dyDescent="0.45">
      <c r="E222" t="s">
        <v>1473</v>
      </c>
      <c r="G222" t="s">
        <v>160</v>
      </c>
      <c r="I222" t="s">
        <v>249</v>
      </c>
      <c r="J222" t="s">
        <v>294</v>
      </c>
      <c r="K222">
        <v>1.8984625443252221E-2</v>
      </c>
      <c r="L222" t="s">
        <v>251</v>
      </c>
      <c r="N222" t="s">
        <v>419</v>
      </c>
      <c r="O222" t="s">
        <v>294</v>
      </c>
      <c r="P222">
        <v>1.1041363680269024E-2</v>
      </c>
      <c r="Q222" t="s">
        <v>251</v>
      </c>
      <c r="S222" t="s">
        <v>420</v>
      </c>
      <c r="T222" t="s">
        <v>294</v>
      </c>
      <c r="U222">
        <v>1.7104267544524338E-2</v>
      </c>
      <c r="V222" t="s">
        <v>251</v>
      </c>
      <c r="X222">
        <v>1.5753424657534248E-2</v>
      </c>
      <c r="Y222">
        <v>1.9853317753524106E-2</v>
      </c>
      <c r="Z222" t="s">
        <v>294</v>
      </c>
      <c r="AA222" t="s">
        <v>25</v>
      </c>
      <c r="AC222" t="s">
        <v>22</v>
      </c>
      <c r="AD222" t="s">
        <v>294</v>
      </c>
      <c r="AE222">
        <v>1.8329150310408465E-2</v>
      </c>
      <c r="AG222" t="s">
        <v>99</v>
      </c>
      <c r="AH222" t="s">
        <v>294</v>
      </c>
      <c r="AI222">
        <v>0.13153210929923786</v>
      </c>
    </row>
    <row r="223" spans="5:35" x14ac:dyDescent="0.45">
      <c r="E223" t="s">
        <v>1474</v>
      </c>
      <c r="G223" t="s">
        <v>160</v>
      </c>
      <c r="I223" t="s">
        <v>249</v>
      </c>
      <c r="J223" t="s">
        <v>295</v>
      </c>
      <c r="K223">
        <v>8.1272438523979328E-3</v>
      </c>
      <c r="L223" t="s">
        <v>251</v>
      </c>
      <c r="N223" t="s">
        <v>419</v>
      </c>
      <c r="O223" t="s">
        <v>295</v>
      </c>
      <c r="P223">
        <v>5.0221912285424814E-3</v>
      </c>
      <c r="Q223" t="s">
        <v>251</v>
      </c>
      <c r="S223" t="s">
        <v>420</v>
      </c>
      <c r="T223" t="s">
        <v>295</v>
      </c>
      <c r="U223">
        <v>8.4324128679726176E-3</v>
      </c>
      <c r="V223" t="s">
        <v>251</v>
      </c>
      <c r="X223">
        <v>7.8767123287671239E-3</v>
      </c>
      <c r="Y223">
        <v>1.2534122268353924E-2</v>
      </c>
      <c r="Z223" t="s">
        <v>295</v>
      </c>
      <c r="AA223" t="s">
        <v>25</v>
      </c>
      <c r="AC223" t="s">
        <v>22</v>
      </c>
      <c r="AD223" t="s">
        <v>295</v>
      </c>
      <c r="AE223">
        <v>6.545460843026687E-3</v>
      </c>
      <c r="AG223" t="s">
        <v>99</v>
      </c>
      <c r="AH223" t="s">
        <v>295</v>
      </c>
      <c r="AI223">
        <v>0.11738269705300097</v>
      </c>
    </row>
    <row r="224" spans="5:35" x14ac:dyDescent="0.45">
      <c r="E224" t="s">
        <v>1475</v>
      </c>
      <c r="G224" t="s">
        <v>160</v>
      </c>
      <c r="I224" t="s">
        <v>249</v>
      </c>
      <c r="J224" t="s">
        <v>296</v>
      </c>
      <c r="K224">
        <v>1.584656765281803E-3</v>
      </c>
      <c r="L224" t="s">
        <v>251</v>
      </c>
      <c r="N224" t="s">
        <v>419</v>
      </c>
      <c r="O224" t="s">
        <v>296</v>
      </c>
      <c r="P224">
        <v>1.7718579956721432E-3</v>
      </c>
      <c r="Q224" t="s">
        <v>251</v>
      </c>
      <c r="S224" t="s">
        <v>420</v>
      </c>
      <c r="T224" t="s">
        <v>296</v>
      </c>
      <c r="U224">
        <v>2.7930002229078197E-3</v>
      </c>
      <c r="V224" t="s">
        <v>251</v>
      </c>
      <c r="X224">
        <v>2.625570776255708E-3</v>
      </c>
      <c r="Y224">
        <v>5.1081885156916869E-3</v>
      </c>
      <c r="Z224" t="s">
        <v>296</v>
      </c>
      <c r="AA224" t="s">
        <v>25</v>
      </c>
      <c r="AC224" t="s">
        <v>22</v>
      </c>
      <c r="AD224" t="s">
        <v>296</v>
      </c>
      <c r="AE224">
        <v>1.8782199462555604E-3</v>
      </c>
      <c r="AG224" t="s">
        <v>99</v>
      </c>
      <c r="AH224" t="s">
        <v>296</v>
      </c>
      <c r="AI224">
        <v>2.7715943674808452E-2</v>
      </c>
    </row>
    <row r="225" spans="5:35" x14ac:dyDescent="0.45">
      <c r="E225" t="s">
        <v>1476</v>
      </c>
      <c r="G225" t="s">
        <v>160</v>
      </c>
      <c r="I225" t="s">
        <v>249</v>
      </c>
      <c r="J225" t="s">
        <v>297</v>
      </c>
      <c r="K225">
        <v>1.2699041737978208E-4</v>
      </c>
      <c r="L225" t="s">
        <v>251</v>
      </c>
      <c r="N225" t="s">
        <v>419</v>
      </c>
      <c r="O225" t="s">
        <v>297</v>
      </c>
      <c r="P225">
        <v>2.0180727785334977E-3</v>
      </c>
      <c r="Q225" t="s">
        <v>251</v>
      </c>
      <c r="S225" t="s">
        <v>420</v>
      </c>
      <c r="T225" t="s">
        <v>297</v>
      </c>
      <c r="U225">
        <v>2.8324646066227839E-3</v>
      </c>
      <c r="V225" t="s">
        <v>251</v>
      </c>
      <c r="X225">
        <v>2.625570776255708E-3</v>
      </c>
      <c r="Y225">
        <v>3.964564221133845E-3</v>
      </c>
      <c r="Z225" t="s">
        <v>297</v>
      </c>
      <c r="AA225" t="s">
        <v>25</v>
      </c>
      <c r="AC225" t="s">
        <v>22</v>
      </c>
      <c r="AD225" t="s">
        <v>297</v>
      </c>
      <c r="AE225">
        <v>1.8957149597250481E-3</v>
      </c>
      <c r="AG225" t="s">
        <v>99</v>
      </c>
      <c r="AH225" t="s">
        <v>297</v>
      </c>
      <c r="AI225">
        <v>3.0726337374536783E-2</v>
      </c>
    </row>
    <row r="226" spans="5:35" x14ac:dyDescent="0.45">
      <c r="E226" t="s">
        <v>1477</v>
      </c>
      <c r="G226" t="s">
        <v>160</v>
      </c>
      <c r="I226" t="s">
        <v>249</v>
      </c>
      <c r="J226" t="s">
        <v>298</v>
      </c>
      <c r="K226">
        <v>0</v>
      </c>
      <c r="L226" t="s">
        <v>251</v>
      </c>
      <c r="N226" t="s">
        <v>419</v>
      </c>
      <c r="O226" t="s">
        <v>298</v>
      </c>
      <c r="P226">
        <v>1.2578079858621216E-2</v>
      </c>
      <c r="Q226" t="s">
        <v>251</v>
      </c>
      <c r="S226" t="s">
        <v>420</v>
      </c>
      <c r="T226" t="s">
        <v>298</v>
      </c>
      <c r="U226">
        <v>1.4089646720394707E-2</v>
      </c>
      <c r="V226" t="s">
        <v>251</v>
      </c>
      <c r="X226">
        <v>1.3127853881278538E-2</v>
      </c>
      <c r="Y226">
        <v>9.9114105528346139E-3</v>
      </c>
      <c r="Z226" t="s">
        <v>298</v>
      </c>
      <c r="AA226" t="s">
        <v>25</v>
      </c>
      <c r="AC226" t="s">
        <v>22</v>
      </c>
      <c r="AD226" t="s">
        <v>298</v>
      </c>
      <c r="AE226">
        <v>1.2733677823980705E-2</v>
      </c>
      <c r="AG226" t="s">
        <v>99</v>
      </c>
      <c r="AH226" t="s">
        <v>298</v>
      </c>
      <c r="AI226">
        <v>0.21180011154020173</v>
      </c>
    </row>
    <row r="227" spans="5:35" x14ac:dyDescent="0.45">
      <c r="E227" t="s">
        <v>1478</v>
      </c>
      <c r="G227" t="s">
        <v>160</v>
      </c>
      <c r="I227" t="s">
        <v>249</v>
      </c>
      <c r="J227" t="s">
        <v>604</v>
      </c>
      <c r="K227">
        <v>0</v>
      </c>
      <c r="L227" t="s">
        <v>251</v>
      </c>
      <c r="N227" t="s">
        <v>419</v>
      </c>
      <c r="O227" t="s">
        <v>604</v>
      </c>
      <c r="P227">
        <v>4.4499143765978162E-5</v>
      </c>
      <c r="Q227" t="s">
        <v>251</v>
      </c>
      <c r="S227" t="s">
        <v>420</v>
      </c>
      <c r="T227" t="s">
        <v>604</v>
      </c>
      <c r="U227">
        <v>5.9577225820407881E-5</v>
      </c>
      <c r="V227" t="s">
        <v>251</v>
      </c>
      <c r="X227">
        <v>1.1415525114155251E-4</v>
      </c>
      <c r="Y227">
        <v>2.1546544680075254E-5</v>
      </c>
      <c r="Z227" t="s">
        <v>604</v>
      </c>
      <c r="AA227" t="s">
        <v>25</v>
      </c>
      <c r="AC227" t="s">
        <v>22</v>
      </c>
      <c r="AD227" t="s">
        <v>604</v>
      </c>
      <c r="AE227">
        <v>1.4216691135430029E-4</v>
      </c>
      <c r="AG227" t="s">
        <v>99</v>
      </c>
      <c r="AH227" t="s">
        <v>604</v>
      </c>
      <c r="AI227">
        <v>0</v>
      </c>
    </row>
    <row r="228" spans="5:35" x14ac:dyDescent="0.45">
      <c r="E228" t="s">
        <v>1479</v>
      </c>
      <c r="G228" t="s">
        <v>160</v>
      </c>
      <c r="I228" t="s">
        <v>249</v>
      </c>
      <c r="J228" t="s">
        <v>605</v>
      </c>
      <c r="K228">
        <v>0</v>
      </c>
      <c r="L228" t="s">
        <v>251</v>
      </c>
      <c r="N228" t="s">
        <v>419</v>
      </c>
      <c r="O228" t="s">
        <v>605</v>
      </c>
      <c r="P228">
        <v>4.4234966823909632E-5</v>
      </c>
      <c r="Q228" t="s">
        <v>251</v>
      </c>
      <c r="S228" t="s">
        <v>420</v>
      </c>
      <c r="T228" t="s">
        <v>605</v>
      </c>
      <c r="U228">
        <v>5.7133262606319879E-5</v>
      </c>
      <c r="V228" t="s">
        <v>251</v>
      </c>
      <c r="X228">
        <v>1.1415525114155251E-4</v>
      </c>
      <c r="Y228">
        <v>1.4916838624667481E-5</v>
      </c>
      <c r="Z228" t="s">
        <v>605</v>
      </c>
      <c r="AA228" t="s">
        <v>25</v>
      </c>
      <c r="AC228" t="s">
        <v>22</v>
      </c>
      <c r="AD228" t="s">
        <v>605</v>
      </c>
      <c r="AE228">
        <v>1.3834862615377537E-4</v>
      </c>
      <c r="AG228" t="s">
        <v>99</v>
      </c>
      <c r="AH228" t="s">
        <v>605</v>
      </c>
      <c r="AI228">
        <v>0</v>
      </c>
    </row>
    <row r="229" spans="5:35" x14ac:dyDescent="0.45">
      <c r="E229" t="s">
        <v>1480</v>
      </c>
      <c r="G229" t="s">
        <v>160</v>
      </c>
      <c r="I229" t="s">
        <v>249</v>
      </c>
      <c r="J229" t="s">
        <v>606</v>
      </c>
      <c r="K229">
        <v>0</v>
      </c>
      <c r="L229" t="s">
        <v>251</v>
      </c>
      <c r="N229" t="s">
        <v>419</v>
      </c>
      <c r="O229" t="s">
        <v>606</v>
      </c>
      <c r="P229">
        <v>4.4101453381273371E-5</v>
      </c>
      <c r="Q229" t="s">
        <v>251</v>
      </c>
      <c r="S229" t="s">
        <v>420</v>
      </c>
      <c r="T229" t="s">
        <v>606</v>
      </c>
      <c r="U229">
        <v>5.5385318731688292E-5</v>
      </c>
      <c r="V229" t="s">
        <v>251</v>
      </c>
      <c r="X229">
        <v>1.1415525114155251E-4</v>
      </c>
      <c r="Y229">
        <v>1.6574265138519424E-5</v>
      </c>
      <c r="Z229" t="s">
        <v>606</v>
      </c>
      <c r="AA229" t="s">
        <v>25</v>
      </c>
      <c r="AC229" t="s">
        <v>22</v>
      </c>
      <c r="AD229" t="s">
        <v>606</v>
      </c>
      <c r="AE229">
        <v>1.3569190977400294E-4</v>
      </c>
      <c r="AG229" t="s">
        <v>99</v>
      </c>
      <c r="AH229" t="s">
        <v>606</v>
      </c>
      <c r="AI229">
        <v>0</v>
      </c>
    </row>
    <row r="230" spans="5:35" x14ac:dyDescent="0.45">
      <c r="E230" t="s">
        <v>1481</v>
      </c>
      <c r="G230" t="s">
        <v>160</v>
      </c>
      <c r="I230" t="s">
        <v>249</v>
      </c>
      <c r="J230" t="s">
        <v>607</v>
      </c>
      <c r="K230">
        <v>0</v>
      </c>
      <c r="L230" t="s">
        <v>251</v>
      </c>
      <c r="N230" t="s">
        <v>419</v>
      </c>
      <c r="O230" t="s">
        <v>607</v>
      </c>
      <c r="P230">
        <v>4.4004452299967778E-5</v>
      </c>
      <c r="Q230" t="s">
        <v>251</v>
      </c>
      <c r="S230" t="s">
        <v>420</v>
      </c>
      <c r="T230" t="s">
        <v>607</v>
      </c>
      <c r="U230">
        <v>5.1995407682923491E-5</v>
      </c>
      <c r="V230" t="s">
        <v>251</v>
      </c>
      <c r="X230">
        <v>1.1415525114155251E-4</v>
      </c>
      <c r="Y230">
        <v>1.4585353321897093E-5</v>
      </c>
      <c r="Z230" t="s">
        <v>607</v>
      </c>
      <c r="AA230" t="s">
        <v>25</v>
      </c>
      <c r="AC230" t="s">
        <v>22</v>
      </c>
      <c r="AD230" t="s">
        <v>607</v>
      </c>
      <c r="AE230">
        <v>1.3569190977400294E-4</v>
      </c>
      <c r="AG230" t="s">
        <v>99</v>
      </c>
      <c r="AH230" t="s">
        <v>607</v>
      </c>
      <c r="AI230">
        <v>0</v>
      </c>
    </row>
    <row r="231" spans="5:35" x14ac:dyDescent="0.45">
      <c r="E231" t="s">
        <v>1482</v>
      </c>
      <c r="G231" t="s">
        <v>160</v>
      </c>
      <c r="I231" t="s">
        <v>249</v>
      </c>
      <c r="J231" t="s">
        <v>608</v>
      </c>
      <c r="K231">
        <v>0</v>
      </c>
      <c r="L231" t="s">
        <v>251</v>
      </c>
      <c r="N231" t="s">
        <v>419</v>
      </c>
      <c r="O231" t="s">
        <v>608</v>
      </c>
      <c r="P231">
        <v>4.2487077012462368E-5</v>
      </c>
      <c r="Q231" t="s">
        <v>251</v>
      </c>
      <c r="S231" t="s">
        <v>420</v>
      </c>
      <c r="T231" t="s">
        <v>608</v>
      </c>
      <c r="U231">
        <v>5.1299614741577302E-5</v>
      </c>
      <c r="V231" t="s">
        <v>251</v>
      </c>
      <c r="X231">
        <v>1.1415525114155251E-4</v>
      </c>
      <c r="Y231">
        <v>2.1215059377304864E-5</v>
      </c>
      <c r="Z231" t="s">
        <v>608</v>
      </c>
      <c r="AA231" t="s">
        <v>25</v>
      </c>
      <c r="AC231" t="s">
        <v>22</v>
      </c>
      <c r="AD231" t="s">
        <v>608</v>
      </c>
      <c r="AE231">
        <v>1.3436950834730006E-4</v>
      </c>
      <c r="AG231" t="s">
        <v>99</v>
      </c>
      <c r="AH231" t="s">
        <v>608</v>
      </c>
      <c r="AI231">
        <v>0</v>
      </c>
    </row>
    <row r="232" spans="5:35" x14ac:dyDescent="0.45">
      <c r="E232" t="s">
        <v>1483</v>
      </c>
      <c r="G232" t="s">
        <v>160</v>
      </c>
      <c r="I232" t="s">
        <v>249</v>
      </c>
      <c r="J232" t="s">
        <v>609</v>
      </c>
      <c r="K232">
        <v>0</v>
      </c>
      <c r="L232" t="s">
        <v>251</v>
      </c>
      <c r="N232" t="s">
        <v>419</v>
      </c>
      <c r="O232" t="s">
        <v>609</v>
      </c>
      <c r="P232">
        <v>4.0711811748859439E-5</v>
      </c>
      <c r="Q232" t="s">
        <v>251</v>
      </c>
      <c r="S232" t="s">
        <v>420</v>
      </c>
      <c r="T232" t="s">
        <v>609</v>
      </c>
      <c r="U232">
        <v>5.0782609338270538E-5</v>
      </c>
      <c r="V232" t="s">
        <v>251</v>
      </c>
      <c r="X232">
        <v>1.1415525114155251E-4</v>
      </c>
      <c r="Y232">
        <v>5.7678442682047593E-5</v>
      </c>
      <c r="Z232" t="s">
        <v>609</v>
      </c>
      <c r="AA232" t="s">
        <v>25</v>
      </c>
      <c r="AC232" t="s">
        <v>22</v>
      </c>
      <c r="AD232" t="s">
        <v>609</v>
      </c>
      <c r="AE232">
        <v>1.3436950834730006E-4</v>
      </c>
      <c r="AG232" t="s">
        <v>99</v>
      </c>
      <c r="AH232" t="s">
        <v>609</v>
      </c>
      <c r="AI232">
        <v>0</v>
      </c>
    </row>
    <row r="233" spans="5:35" x14ac:dyDescent="0.45">
      <c r="E233" t="s">
        <v>1484</v>
      </c>
      <c r="G233" t="s">
        <v>160</v>
      </c>
      <c r="I233" t="s">
        <v>249</v>
      </c>
      <c r="J233" t="s">
        <v>610</v>
      </c>
      <c r="K233">
        <v>0</v>
      </c>
      <c r="L233" t="s">
        <v>251</v>
      </c>
      <c r="N233" t="s">
        <v>419</v>
      </c>
      <c r="O233" t="s">
        <v>610</v>
      </c>
      <c r="P233">
        <v>3.8615827402659132E-5</v>
      </c>
      <c r="Q233" t="s">
        <v>251</v>
      </c>
      <c r="S233" t="s">
        <v>420</v>
      </c>
      <c r="T233" t="s">
        <v>610</v>
      </c>
      <c r="U233">
        <v>5.3202695258249142E-5</v>
      </c>
      <c r="V233" t="s">
        <v>251</v>
      </c>
      <c r="X233">
        <v>1.1415525114155251E-4</v>
      </c>
      <c r="Y233">
        <v>1.6905750441289813E-4</v>
      </c>
      <c r="Z233" t="s">
        <v>610</v>
      </c>
      <c r="AA233" t="s">
        <v>25</v>
      </c>
      <c r="AC233" t="s">
        <v>22</v>
      </c>
      <c r="AD233" t="s">
        <v>610</v>
      </c>
      <c r="AE233">
        <v>1.3591231001178677E-4</v>
      </c>
      <c r="AG233" t="s">
        <v>99</v>
      </c>
      <c r="AH233" t="s">
        <v>610</v>
      </c>
      <c r="AI233">
        <v>0</v>
      </c>
    </row>
    <row r="234" spans="5:35" x14ac:dyDescent="0.45">
      <c r="E234" t="s">
        <v>1485</v>
      </c>
      <c r="G234" t="s">
        <v>160</v>
      </c>
      <c r="I234" t="s">
        <v>249</v>
      </c>
      <c r="J234" t="s">
        <v>611</v>
      </c>
      <c r="K234">
        <v>1.1674552845265375E-6</v>
      </c>
      <c r="L234" t="s">
        <v>251</v>
      </c>
      <c r="N234" t="s">
        <v>419</v>
      </c>
      <c r="O234" t="s">
        <v>611</v>
      </c>
      <c r="P234">
        <v>4.1845524210227469E-5</v>
      </c>
      <c r="Q234" t="s">
        <v>251</v>
      </c>
      <c r="S234" t="s">
        <v>420</v>
      </c>
      <c r="T234" t="s">
        <v>611</v>
      </c>
      <c r="U234">
        <v>5.6800220836299827E-5</v>
      </c>
      <c r="V234" t="s">
        <v>251</v>
      </c>
      <c r="X234">
        <v>1.1415525114155251E-4</v>
      </c>
      <c r="Y234">
        <v>1.9060404909297337E-4</v>
      </c>
      <c r="Z234" t="s">
        <v>611</v>
      </c>
      <c r="AA234" t="s">
        <v>25</v>
      </c>
      <c r="AC234" t="s">
        <v>22</v>
      </c>
      <c r="AD234" t="s">
        <v>611</v>
      </c>
      <c r="AE234">
        <v>1.4780200932574584E-4</v>
      </c>
      <c r="AG234" t="s">
        <v>99</v>
      </c>
      <c r="AH234" t="s">
        <v>611</v>
      </c>
      <c r="AI234">
        <v>0</v>
      </c>
    </row>
    <row r="235" spans="5:35" x14ac:dyDescent="0.45">
      <c r="E235" t="s">
        <v>1486</v>
      </c>
      <c r="G235" t="s">
        <v>160</v>
      </c>
      <c r="I235" t="s">
        <v>249</v>
      </c>
      <c r="J235" t="s">
        <v>612</v>
      </c>
      <c r="K235">
        <v>3.4350279544761811E-5</v>
      </c>
      <c r="L235" t="s">
        <v>251</v>
      </c>
      <c r="N235" t="s">
        <v>419</v>
      </c>
      <c r="O235" t="s">
        <v>612</v>
      </c>
      <c r="P235">
        <v>3.9344890510767599E-5</v>
      </c>
      <c r="Q235" t="s">
        <v>251</v>
      </c>
      <c r="S235" t="s">
        <v>420</v>
      </c>
      <c r="T235" t="s">
        <v>612</v>
      </c>
      <c r="U235">
        <v>6.7774610768942358E-5</v>
      </c>
      <c r="V235" t="s">
        <v>251</v>
      </c>
      <c r="X235">
        <v>1.1415525114155251E-4</v>
      </c>
      <c r="Y235">
        <v>1.4585353321897094E-4</v>
      </c>
      <c r="Z235" t="s">
        <v>612</v>
      </c>
      <c r="AA235" t="s">
        <v>25</v>
      </c>
      <c r="AC235" t="s">
        <v>22</v>
      </c>
      <c r="AD235" t="s">
        <v>612</v>
      </c>
      <c r="AE235">
        <v>1.5061955831146859E-4</v>
      </c>
      <c r="AG235" t="s">
        <v>99</v>
      </c>
      <c r="AH235" t="s">
        <v>612</v>
      </c>
      <c r="AI235">
        <v>0</v>
      </c>
    </row>
    <row r="236" spans="5:35" x14ac:dyDescent="0.45">
      <c r="E236" t="s">
        <v>1487</v>
      </c>
      <c r="G236" t="s">
        <v>160</v>
      </c>
      <c r="I236" t="s">
        <v>249</v>
      </c>
      <c r="J236" t="s">
        <v>613</v>
      </c>
      <c r="K236">
        <v>5.4465530851961328E-5</v>
      </c>
      <c r="L236" t="s">
        <v>251</v>
      </c>
      <c r="N236" t="s">
        <v>419</v>
      </c>
      <c r="O236" t="s">
        <v>613</v>
      </c>
      <c r="P236">
        <v>2.9652874354868337E-5</v>
      </c>
      <c r="Q236" t="s">
        <v>251</v>
      </c>
      <c r="S236" t="s">
        <v>420</v>
      </c>
      <c r="T236" t="s">
        <v>613</v>
      </c>
      <c r="U236">
        <v>7.1337021978762545E-5</v>
      </c>
      <c r="V236" t="s">
        <v>251</v>
      </c>
      <c r="X236">
        <v>1.1415525114155251E-4</v>
      </c>
      <c r="Y236">
        <v>1.4452759200788939E-4</v>
      </c>
      <c r="Z236" t="s">
        <v>613</v>
      </c>
      <c r="AA236" t="s">
        <v>25</v>
      </c>
      <c r="AC236" t="s">
        <v>22</v>
      </c>
      <c r="AD236" t="s">
        <v>613</v>
      </c>
      <c r="AE236">
        <v>1.5763662534145048E-4</v>
      </c>
      <c r="AG236" t="s">
        <v>99</v>
      </c>
      <c r="AH236" t="s">
        <v>613</v>
      </c>
      <c r="AI236">
        <v>0</v>
      </c>
    </row>
    <row r="237" spans="5:35" x14ac:dyDescent="0.45">
      <c r="E237" t="s">
        <v>1488</v>
      </c>
      <c r="G237" t="s">
        <v>160</v>
      </c>
      <c r="I237" t="s">
        <v>249</v>
      </c>
      <c r="J237" t="s">
        <v>614</v>
      </c>
      <c r="K237">
        <v>7.1974736236062322E-5</v>
      </c>
      <c r="L237" t="s">
        <v>251</v>
      </c>
      <c r="N237" t="s">
        <v>419</v>
      </c>
      <c r="O237" t="s">
        <v>614</v>
      </c>
      <c r="P237">
        <v>2.5341769434099131E-5</v>
      </c>
      <c r="Q237" t="s">
        <v>251</v>
      </c>
      <c r="S237" t="s">
        <v>420</v>
      </c>
      <c r="T237" t="s">
        <v>614</v>
      </c>
      <c r="U237">
        <v>6.6732109978240244E-5</v>
      </c>
      <c r="V237" t="s">
        <v>251</v>
      </c>
      <c r="X237">
        <v>1.1415525114155251E-4</v>
      </c>
      <c r="Y237">
        <v>1.408812536774151E-4</v>
      </c>
      <c r="Z237" t="s">
        <v>614</v>
      </c>
      <c r="AA237" t="s">
        <v>25</v>
      </c>
      <c r="AC237" t="s">
        <v>22</v>
      </c>
      <c r="AD237" t="s">
        <v>614</v>
      </c>
      <c r="AE237">
        <v>1.607460557231572E-4</v>
      </c>
      <c r="AG237" t="s">
        <v>99</v>
      </c>
      <c r="AH237" t="s">
        <v>614</v>
      </c>
      <c r="AI237">
        <v>0</v>
      </c>
    </row>
    <row r="238" spans="5:35" x14ac:dyDescent="0.45">
      <c r="E238" t="s">
        <v>1489</v>
      </c>
      <c r="G238" t="s">
        <v>160</v>
      </c>
      <c r="I238" t="s">
        <v>249</v>
      </c>
      <c r="J238" t="s">
        <v>615</v>
      </c>
      <c r="K238">
        <v>9.5278243135412836E-5</v>
      </c>
      <c r="L238" t="s">
        <v>251</v>
      </c>
      <c r="N238" t="s">
        <v>419</v>
      </c>
      <c r="O238" t="s">
        <v>615</v>
      </c>
      <c r="P238">
        <v>3.0796740204960403E-5</v>
      </c>
      <c r="Q238" t="s">
        <v>251</v>
      </c>
      <c r="S238" t="s">
        <v>420</v>
      </c>
      <c r="T238" t="s">
        <v>615</v>
      </c>
      <c r="U238">
        <v>5.919997086820766E-5</v>
      </c>
      <c r="V238" t="s">
        <v>251</v>
      </c>
      <c r="X238">
        <v>1.1415525114155251E-4</v>
      </c>
      <c r="Y238">
        <v>1.4054976837464471E-4</v>
      </c>
      <c r="Z238" t="s">
        <v>615</v>
      </c>
      <c r="AA238" t="s">
        <v>25</v>
      </c>
      <c r="AC238" t="s">
        <v>22</v>
      </c>
      <c r="AD238" t="s">
        <v>615</v>
      </c>
      <c r="AE238">
        <v>1.5717795457633282E-4</v>
      </c>
      <c r="AG238" t="s">
        <v>99</v>
      </c>
      <c r="AH238" t="s">
        <v>615</v>
      </c>
      <c r="AI238">
        <v>0</v>
      </c>
    </row>
    <row r="239" spans="5:35" x14ac:dyDescent="0.45">
      <c r="E239" t="s">
        <v>1490</v>
      </c>
      <c r="G239" t="s">
        <v>160</v>
      </c>
      <c r="I239" t="s">
        <v>249</v>
      </c>
      <c r="J239" t="s">
        <v>616</v>
      </c>
      <c r="K239">
        <v>1.176239729482E-4</v>
      </c>
      <c r="L239" t="s">
        <v>251</v>
      </c>
      <c r="N239" t="s">
        <v>419</v>
      </c>
      <c r="O239" t="s">
        <v>616</v>
      </c>
      <c r="P239">
        <v>2.866131419145021E-5</v>
      </c>
      <c r="Q239" t="s">
        <v>251</v>
      </c>
      <c r="S239" t="s">
        <v>420</v>
      </c>
      <c r="T239" t="s">
        <v>616</v>
      </c>
      <c r="U239">
        <v>5.0872603940587072E-5</v>
      </c>
      <c r="V239" t="s">
        <v>251</v>
      </c>
      <c r="X239">
        <v>1.1415525114155251E-4</v>
      </c>
      <c r="Y239">
        <v>1.4253868019126702E-4</v>
      </c>
      <c r="Z239" t="s">
        <v>616</v>
      </c>
      <c r="AA239" t="s">
        <v>25</v>
      </c>
      <c r="AC239" t="s">
        <v>22</v>
      </c>
      <c r="AD239" t="s">
        <v>616</v>
      </c>
      <c r="AE239">
        <v>1.4293533380495195E-4</v>
      </c>
      <c r="AG239" t="s">
        <v>99</v>
      </c>
      <c r="AH239" t="s">
        <v>616</v>
      </c>
      <c r="AI239">
        <v>0</v>
      </c>
    </row>
    <row r="240" spans="5:35" x14ac:dyDescent="0.45">
      <c r="E240" t="s">
        <v>1491</v>
      </c>
      <c r="G240" t="s">
        <v>160</v>
      </c>
      <c r="I240" t="s">
        <v>249</v>
      </c>
      <c r="J240" t="s">
        <v>617</v>
      </c>
      <c r="K240">
        <v>1.0776810514560001E-4</v>
      </c>
      <c r="L240" t="s">
        <v>251</v>
      </c>
      <c r="N240" t="s">
        <v>419</v>
      </c>
      <c r="O240" t="s">
        <v>617</v>
      </c>
      <c r="P240">
        <v>2.584334668492916E-5</v>
      </c>
      <c r="Q240" t="s">
        <v>251</v>
      </c>
      <c r="S240" t="s">
        <v>420</v>
      </c>
      <c r="T240" t="s">
        <v>617</v>
      </c>
      <c r="U240">
        <v>4.4728438378380447E-5</v>
      </c>
      <c r="V240" t="s">
        <v>251</v>
      </c>
      <c r="X240">
        <v>1.1415525114155251E-4</v>
      </c>
      <c r="Y240">
        <v>1.4883690094390442E-4</v>
      </c>
      <c r="Z240" t="s">
        <v>617</v>
      </c>
      <c r="AA240" t="s">
        <v>25</v>
      </c>
      <c r="AC240" t="s">
        <v>22</v>
      </c>
      <c r="AD240" t="s">
        <v>617</v>
      </c>
      <c r="AE240">
        <v>1.2474337904301258E-4</v>
      </c>
      <c r="AG240" t="s">
        <v>99</v>
      </c>
      <c r="AH240" t="s">
        <v>617</v>
      </c>
      <c r="AI240">
        <v>0</v>
      </c>
    </row>
    <row r="241" spans="5:35" x14ac:dyDescent="0.45">
      <c r="E241" t="s">
        <v>1492</v>
      </c>
      <c r="G241" t="s">
        <v>160</v>
      </c>
      <c r="I241" t="s">
        <v>249</v>
      </c>
      <c r="J241" t="s">
        <v>618</v>
      </c>
      <c r="K241">
        <v>1.006089100692E-4</v>
      </c>
      <c r="L241" t="s">
        <v>251</v>
      </c>
      <c r="N241" t="s">
        <v>419</v>
      </c>
      <c r="O241" t="s">
        <v>618</v>
      </c>
      <c r="P241">
        <v>2.3832261545094293E-5</v>
      </c>
      <c r="Q241" t="s">
        <v>251</v>
      </c>
      <c r="S241" t="s">
        <v>420</v>
      </c>
      <c r="T241" t="s">
        <v>618</v>
      </c>
      <c r="U241">
        <v>4.5620382344985283E-5</v>
      </c>
      <c r="V241" t="s">
        <v>251</v>
      </c>
      <c r="X241">
        <v>1.1415525114155251E-4</v>
      </c>
      <c r="Y241">
        <v>1.5049432745775637E-4</v>
      </c>
      <c r="Z241" t="s">
        <v>618</v>
      </c>
      <c r="AA241" t="s">
        <v>25</v>
      </c>
      <c r="AC241" t="s">
        <v>22</v>
      </c>
      <c r="AD241" t="s">
        <v>618</v>
      </c>
      <c r="AE241">
        <v>1.1412247028710623E-4</v>
      </c>
      <c r="AG241" t="s">
        <v>99</v>
      </c>
      <c r="AH241" t="s">
        <v>618</v>
      </c>
      <c r="AI241">
        <v>0</v>
      </c>
    </row>
    <row r="242" spans="5:35" x14ac:dyDescent="0.45">
      <c r="E242" t="s">
        <v>1493</v>
      </c>
      <c r="G242" t="s">
        <v>160</v>
      </c>
      <c r="I242" t="s">
        <v>249</v>
      </c>
      <c r="J242" t="s">
        <v>619</v>
      </c>
      <c r="K242">
        <v>9.3775725353677339E-5</v>
      </c>
      <c r="L242" t="s">
        <v>251</v>
      </c>
      <c r="N242" t="s">
        <v>419</v>
      </c>
      <c r="O242" t="s">
        <v>619</v>
      </c>
      <c r="P242">
        <v>2.4164572293492236E-5</v>
      </c>
      <c r="Q242" t="s">
        <v>251</v>
      </c>
      <c r="S242" t="s">
        <v>420</v>
      </c>
      <c r="T242" t="s">
        <v>619</v>
      </c>
      <c r="U242">
        <v>5.2139079556697794E-5</v>
      </c>
      <c r="V242" t="s">
        <v>251</v>
      </c>
      <c r="X242">
        <v>1.1415525114155251E-4</v>
      </c>
      <c r="Y242">
        <v>1.7237235744060203E-4</v>
      </c>
      <c r="Z242" t="s">
        <v>619</v>
      </c>
      <c r="AA242" t="s">
        <v>25</v>
      </c>
      <c r="AC242" t="s">
        <v>22</v>
      </c>
      <c r="AD242" t="s">
        <v>619</v>
      </c>
      <c r="AE242">
        <v>9.3440588514528126E-5</v>
      </c>
      <c r="AG242" t="s">
        <v>99</v>
      </c>
      <c r="AH242" t="s">
        <v>619</v>
      </c>
      <c r="AI242">
        <v>0</v>
      </c>
    </row>
    <row r="243" spans="5:35" x14ac:dyDescent="0.45">
      <c r="E243" t="s">
        <v>1494</v>
      </c>
      <c r="G243" t="s">
        <v>160</v>
      </c>
      <c r="I243" t="s">
        <v>249</v>
      </c>
      <c r="J243" t="s">
        <v>620</v>
      </c>
      <c r="K243">
        <v>8.6068357588442543E-5</v>
      </c>
      <c r="L243" t="s">
        <v>251</v>
      </c>
      <c r="N243" t="s">
        <v>419</v>
      </c>
      <c r="O243" t="s">
        <v>620</v>
      </c>
      <c r="P243">
        <v>2.4995836368786968E-5</v>
      </c>
      <c r="Q243" t="s">
        <v>251</v>
      </c>
      <c r="S243" t="s">
        <v>420</v>
      </c>
      <c r="T243" t="s">
        <v>620</v>
      </c>
      <c r="U243">
        <v>6.032169745863095E-5</v>
      </c>
      <c r="V243" t="s">
        <v>251</v>
      </c>
      <c r="X243">
        <v>1.1415525114155251E-4</v>
      </c>
      <c r="Y243">
        <v>2.2209515285616027E-4</v>
      </c>
      <c r="Z243" t="s">
        <v>620</v>
      </c>
      <c r="AA243" t="s">
        <v>25</v>
      </c>
      <c r="AC243" t="s">
        <v>22</v>
      </c>
      <c r="AD243" t="s">
        <v>620</v>
      </c>
      <c r="AE243">
        <v>8.9622303314003203E-5</v>
      </c>
      <c r="AG243" t="s">
        <v>99</v>
      </c>
      <c r="AH243" t="s">
        <v>620</v>
      </c>
      <c r="AI243">
        <v>0</v>
      </c>
    </row>
    <row r="244" spans="5:35" x14ac:dyDescent="0.45">
      <c r="E244" t="s">
        <v>1495</v>
      </c>
      <c r="G244" t="s">
        <v>160</v>
      </c>
      <c r="I244" t="s">
        <v>249</v>
      </c>
      <c r="J244" t="s">
        <v>621</v>
      </c>
      <c r="K244">
        <v>6.09903040000963E-5</v>
      </c>
      <c r="L244" t="s">
        <v>251</v>
      </c>
      <c r="N244" t="s">
        <v>419</v>
      </c>
      <c r="O244" t="s">
        <v>621</v>
      </c>
      <c r="P244">
        <v>2.5601439498923502E-5</v>
      </c>
      <c r="Q244" t="s">
        <v>251</v>
      </c>
      <c r="S244" t="s">
        <v>420</v>
      </c>
      <c r="T244" t="s">
        <v>621</v>
      </c>
      <c r="U244">
        <v>6.7594174428298266E-5</v>
      </c>
      <c r="V244" t="s">
        <v>251</v>
      </c>
      <c r="X244">
        <v>1.1415525114155251E-4</v>
      </c>
      <c r="Y244">
        <v>2.2209515285616027E-4</v>
      </c>
      <c r="Z244" t="s">
        <v>621</v>
      </c>
      <c r="AA244" t="s">
        <v>25</v>
      </c>
      <c r="AC244" t="s">
        <v>22</v>
      </c>
      <c r="AD244" t="s">
        <v>621</v>
      </c>
      <c r="AE244">
        <v>8.5631271981161219E-5</v>
      </c>
      <c r="AG244" t="s">
        <v>99</v>
      </c>
      <c r="AH244" t="s">
        <v>621</v>
      </c>
      <c r="AI244">
        <v>0</v>
      </c>
    </row>
    <row r="245" spans="5:35" x14ac:dyDescent="0.45">
      <c r="E245" t="s">
        <v>1496</v>
      </c>
      <c r="G245" t="s">
        <v>160</v>
      </c>
      <c r="I245" t="s">
        <v>249</v>
      </c>
      <c r="J245" t="s">
        <v>622</v>
      </c>
      <c r="K245">
        <v>3.2322467964585049E-6</v>
      </c>
      <c r="L245" t="s">
        <v>251</v>
      </c>
      <c r="N245" t="s">
        <v>419</v>
      </c>
      <c r="O245" t="s">
        <v>622</v>
      </c>
      <c r="P245">
        <v>2.8693943736878041E-5</v>
      </c>
      <c r="Q245" t="s">
        <v>251</v>
      </c>
      <c r="S245" t="s">
        <v>420</v>
      </c>
      <c r="T245" t="s">
        <v>622</v>
      </c>
      <c r="U245">
        <v>6.9745630753263737E-5</v>
      </c>
      <c r="V245" t="s">
        <v>251</v>
      </c>
      <c r="X245">
        <v>1.1415525114155251E-4</v>
      </c>
      <c r="Y245">
        <v>1.7237235744060203E-4</v>
      </c>
      <c r="Z245" t="s">
        <v>622</v>
      </c>
      <c r="AA245" t="s">
        <v>25</v>
      </c>
      <c r="AC245" t="s">
        <v>22</v>
      </c>
      <c r="AD245" t="s">
        <v>622</v>
      </c>
      <c r="AE245">
        <v>8.6846451670563853E-5</v>
      </c>
      <c r="AG245" t="s">
        <v>99</v>
      </c>
      <c r="AH245" t="s">
        <v>622</v>
      </c>
      <c r="AI245">
        <v>0</v>
      </c>
    </row>
    <row r="246" spans="5:35" x14ac:dyDescent="0.45">
      <c r="E246" t="s">
        <v>1497</v>
      </c>
      <c r="G246" t="s">
        <v>160</v>
      </c>
      <c r="I246" t="s">
        <v>249</v>
      </c>
      <c r="J246" t="s">
        <v>623</v>
      </c>
      <c r="K246">
        <v>0</v>
      </c>
      <c r="L246" t="s">
        <v>251</v>
      </c>
      <c r="N246" t="s">
        <v>419</v>
      </c>
      <c r="O246" t="s">
        <v>623</v>
      </c>
      <c r="P246">
        <v>3.597427121552569E-5</v>
      </c>
      <c r="Q246" t="s">
        <v>251</v>
      </c>
      <c r="S246" t="s">
        <v>420</v>
      </c>
      <c r="T246" t="s">
        <v>623</v>
      </c>
      <c r="U246">
        <v>6.429807690388643E-5</v>
      </c>
      <c r="V246" t="s">
        <v>251</v>
      </c>
      <c r="X246">
        <v>1.1415525114155251E-4</v>
      </c>
      <c r="Y246">
        <v>1.5579809230208258E-4</v>
      </c>
      <c r="Z246" t="s">
        <v>623</v>
      </c>
      <c r="AA246" t="s">
        <v>25</v>
      </c>
      <c r="AC246" t="s">
        <v>22</v>
      </c>
      <c r="AD246" t="s">
        <v>623</v>
      </c>
      <c r="AE246">
        <v>9.1629732506790873E-5</v>
      </c>
      <c r="AG246" t="s">
        <v>99</v>
      </c>
      <c r="AH246" t="s">
        <v>623</v>
      </c>
      <c r="AI246">
        <v>0</v>
      </c>
    </row>
    <row r="247" spans="5:35" x14ac:dyDescent="0.45">
      <c r="E247" t="s">
        <v>1498</v>
      </c>
      <c r="G247" t="s">
        <v>160</v>
      </c>
      <c r="I247" t="s">
        <v>249</v>
      </c>
      <c r="J247" t="s">
        <v>624</v>
      </c>
      <c r="K247">
        <v>0</v>
      </c>
      <c r="L247" t="s">
        <v>251</v>
      </c>
      <c r="N247" t="s">
        <v>419</v>
      </c>
      <c r="O247" t="s">
        <v>624</v>
      </c>
      <c r="P247">
        <v>4.3827917386146018E-5</v>
      </c>
      <c r="Q247" t="s">
        <v>251</v>
      </c>
      <c r="S247" t="s">
        <v>420</v>
      </c>
      <c r="T247" t="s">
        <v>624</v>
      </c>
      <c r="U247">
        <v>6.0080371498222193E-5</v>
      </c>
      <c r="V247" t="s">
        <v>251</v>
      </c>
      <c r="X247">
        <v>1.1415525114155251E-4</v>
      </c>
      <c r="Y247">
        <v>1.093901499142282E-4</v>
      </c>
      <c r="Z247" t="s">
        <v>624</v>
      </c>
      <c r="AA247" t="s">
        <v>25</v>
      </c>
      <c r="AC247" t="s">
        <v>22</v>
      </c>
      <c r="AD247" t="s">
        <v>624</v>
      </c>
      <c r="AE247">
        <v>1.0976807640008015E-4</v>
      </c>
      <c r="AG247" t="s">
        <v>99</v>
      </c>
      <c r="AH247" t="s">
        <v>624</v>
      </c>
      <c r="AI247">
        <v>0</v>
      </c>
    </row>
    <row r="248" spans="5:35" x14ac:dyDescent="0.45">
      <c r="E248" t="s">
        <v>1499</v>
      </c>
      <c r="G248" t="s">
        <v>160</v>
      </c>
      <c r="I248" t="s">
        <v>249</v>
      </c>
      <c r="J248" t="s">
        <v>625</v>
      </c>
      <c r="K248">
        <v>0</v>
      </c>
      <c r="L248" t="s">
        <v>251</v>
      </c>
      <c r="N248" t="s">
        <v>419</v>
      </c>
      <c r="O248" t="s">
        <v>625</v>
      </c>
      <c r="P248">
        <v>4.7520183322475729E-5</v>
      </c>
      <c r="Q248" t="s">
        <v>251</v>
      </c>
      <c r="S248" t="s">
        <v>420</v>
      </c>
      <c r="T248" t="s">
        <v>625</v>
      </c>
      <c r="U248">
        <v>5.0372139819090582E-5</v>
      </c>
      <c r="V248" t="s">
        <v>251</v>
      </c>
      <c r="X248">
        <v>1.1415525114155251E-4</v>
      </c>
      <c r="Y248">
        <v>7.9556472664893237E-5</v>
      </c>
      <c r="Z248" t="s">
        <v>625</v>
      </c>
      <c r="AA248" t="s">
        <v>25</v>
      </c>
      <c r="AC248" t="s">
        <v>22</v>
      </c>
      <c r="AD248" t="s">
        <v>625</v>
      </c>
      <c r="AE248">
        <v>1.2981854127522356E-4</v>
      </c>
      <c r="AG248" t="s">
        <v>99</v>
      </c>
      <c r="AH248" t="s">
        <v>625</v>
      </c>
      <c r="AI248">
        <v>0</v>
      </c>
    </row>
    <row r="249" spans="5:35" x14ac:dyDescent="0.45">
      <c r="E249" t="s">
        <v>1500</v>
      </c>
      <c r="G249" t="s">
        <v>160</v>
      </c>
      <c r="I249" t="s">
        <v>249</v>
      </c>
      <c r="J249" t="s">
        <v>626</v>
      </c>
      <c r="K249">
        <v>0</v>
      </c>
      <c r="L249" t="s">
        <v>251</v>
      </c>
      <c r="N249" t="s">
        <v>419</v>
      </c>
      <c r="O249" t="s">
        <v>626</v>
      </c>
      <c r="P249">
        <v>4.4157841581766655E-5</v>
      </c>
      <c r="Q249" t="s">
        <v>251</v>
      </c>
      <c r="S249" t="s">
        <v>420</v>
      </c>
      <c r="T249" t="s">
        <v>626</v>
      </c>
      <c r="U249">
        <v>4.7558686780736096E-5</v>
      </c>
      <c r="V249" t="s">
        <v>251</v>
      </c>
      <c r="X249">
        <v>1.1415525114155251E-4</v>
      </c>
      <c r="Y249">
        <v>5.6352501470966035E-5</v>
      </c>
      <c r="Z249" t="s">
        <v>626</v>
      </c>
      <c r="AA249" t="s">
        <v>25</v>
      </c>
      <c r="AC249" t="s">
        <v>22</v>
      </c>
      <c r="AD249" t="s">
        <v>626</v>
      </c>
      <c r="AE249">
        <v>1.3696665709523904E-4</v>
      </c>
      <c r="AG249" t="s">
        <v>99</v>
      </c>
      <c r="AH249" t="s">
        <v>626</v>
      </c>
      <c r="AI249">
        <v>0</v>
      </c>
    </row>
    <row r="250" spans="5:35" x14ac:dyDescent="0.45">
      <c r="E250" t="s">
        <v>1501</v>
      </c>
      <c r="G250" t="s">
        <v>160</v>
      </c>
      <c r="I250" t="s">
        <v>249</v>
      </c>
      <c r="J250" t="s">
        <v>627</v>
      </c>
      <c r="K250">
        <v>0</v>
      </c>
      <c r="L250" t="s">
        <v>251</v>
      </c>
      <c r="N250" t="s">
        <v>419</v>
      </c>
      <c r="O250" t="s">
        <v>627</v>
      </c>
      <c r="P250">
        <v>4.29419329566179E-5</v>
      </c>
      <c r="Q250" t="s">
        <v>251</v>
      </c>
      <c r="S250" t="s">
        <v>420</v>
      </c>
      <c r="T250" t="s">
        <v>627</v>
      </c>
      <c r="U250">
        <v>4.8612016254802383E-5</v>
      </c>
      <c r="V250" t="s">
        <v>251</v>
      </c>
      <c r="X250">
        <v>1.1415525114155251E-4</v>
      </c>
      <c r="Y250">
        <v>2.9833677249334962E-5</v>
      </c>
      <c r="Z250" t="s">
        <v>627</v>
      </c>
      <c r="AA250" t="s">
        <v>25</v>
      </c>
      <c r="AC250" t="s">
        <v>22</v>
      </c>
      <c r="AD250" t="s">
        <v>627</v>
      </c>
      <c r="AE250">
        <v>1.4573501250112467E-4</v>
      </c>
      <c r="AG250" t="s">
        <v>99</v>
      </c>
      <c r="AH250" t="s">
        <v>627</v>
      </c>
      <c r="AI250">
        <v>0</v>
      </c>
    </row>
    <row r="251" spans="5:35" x14ac:dyDescent="0.45">
      <c r="E251" t="s">
        <v>1502</v>
      </c>
      <c r="G251" t="s">
        <v>160</v>
      </c>
      <c r="I251" t="s">
        <v>249</v>
      </c>
      <c r="J251" t="s">
        <v>1718</v>
      </c>
      <c r="K251">
        <v>0</v>
      </c>
      <c r="L251" t="s">
        <v>251</v>
      </c>
      <c r="N251" t="s">
        <v>419</v>
      </c>
      <c r="O251" t="s">
        <v>1718</v>
      </c>
      <c r="P251">
        <v>4.1122218712673471E-5</v>
      </c>
      <c r="Q251" t="s">
        <v>251</v>
      </c>
      <c r="S251" t="s">
        <v>420</v>
      </c>
      <c r="T251" t="s">
        <v>1718</v>
      </c>
      <c r="U251">
        <v>4.7807127295523113E-5</v>
      </c>
      <c r="V251" t="s">
        <v>251</v>
      </c>
      <c r="X251">
        <v>1.1415525114155251E-4</v>
      </c>
      <c r="Y251">
        <v>2.1546544680075254E-5</v>
      </c>
      <c r="Z251" t="s">
        <v>1718</v>
      </c>
      <c r="AA251" t="s">
        <v>25</v>
      </c>
      <c r="AC251" t="s">
        <v>22</v>
      </c>
      <c r="AD251" t="s">
        <v>1718</v>
      </c>
      <c r="AE251">
        <v>1.4410285938888784E-4</v>
      </c>
      <c r="AG251" t="s">
        <v>99</v>
      </c>
      <c r="AH251" t="s">
        <v>1718</v>
      </c>
      <c r="AI251">
        <v>0</v>
      </c>
    </row>
    <row r="252" spans="5:35" x14ac:dyDescent="0.45">
      <c r="E252" t="s">
        <v>1503</v>
      </c>
      <c r="G252" t="s">
        <v>160</v>
      </c>
      <c r="I252" t="s">
        <v>249</v>
      </c>
      <c r="J252" t="s">
        <v>1719</v>
      </c>
      <c r="K252">
        <v>0</v>
      </c>
      <c r="L252" t="s">
        <v>251</v>
      </c>
      <c r="N252" t="s">
        <v>419</v>
      </c>
      <c r="O252" t="s">
        <v>1719</v>
      </c>
      <c r="P252">
        <v>4.3220911871095068E-5</v>
      </c>
      <c r="Q252" t="s">
        <v>251</v>
      </c>
      <c r="S252" t="s">
        <v>420</v>
      </c>
      <c r="T252" t="s">
        <v>1719</v>
      </c>
      <c r="U252">
        <v>4.5310689265916679E-5</v>
      </c>
      <c r="V252" t="s">
        <v>251</v>
      </c>
      <c r="X252">
        <v>1.1415525114155251E-4</v>
      </c>
      <c r="Y252">
        <v>1.4916838624667481E-5</v>
      </c>
      <c r="Z252" t="s">
        <v>1719</v>
      </c>
      <c r="AA252" t="s">
        <v>25</v>
      </c>
      <c r="AC252" t="s">
        <v>22</v>
      </c>
      <c r="AD252" t="s">
        <v>1719</v>
      </c>
      <c r="AE252">
        <v>1.3834862615377537E-4</v>
      </c>
      <c r="AG252" t="s">
        <v>99</v>
      </c>
      <c r="AH252" t="s">
        <v>1719</v>
      </c>
      <c r="AI252">
        <v>0</v>
      </c>
    </row>
    <row r="253" spans="5:35" x14ac:dyDescent="0.45">
      <c r="E253" t="s">
        <v>1504</v>
      </c>
      <c r="G253" t="s">
        <v>160</v>
      </c>
      <c r="I253" t="s">
        <v>249</v>
      </c>
      <c r="J253" t="s">
        <v>1720</v>
      </c>
      <c r="K253">
        <v>0</v>
      </c>
      <c r="L253" t="s">
        <v>251</v>
      </c>
      <c r="N253" t="s">
        <v>419</v>
      </c>
      <c r="O253" t="s">
        <v>1720</v>
      </c>
      <c r="P253">
        <v>3.949304281524451E-5</v>
      </c>
      <c r="Q253" t="s">
        <v>251</v>
      </c>
      <c r="S253" t="s">
        <v>420</v>
      </c>
      <c r="T253" t="s">
        <v>1720</v>
      </c>
      <c r="U253">
        <v>5.0512477117798808E-5</v>
      </c>
      <c r="V253" t="s">
        <v>251</v>
      </c>
      <c r="X253">
        <v>1.1415525114155251E-4</v>
      </c>
      <c r="Y253">
        <v>1.6574265138519424E-5</v>
      </c>
      <c r="Z253" t="s">
        <v>1720</v>
      </c>
      <c r="AA253" t="s">
        <v>25</v>
      </c>
      <c r="AC253" t="s">
        <v>22</v>
      </c>
      <c r="AD253" t="s">
        <v>1720</v>
      </c>
      <c r="AE253">
        <v>1.3702622472707251E-4</v>
      </c>
      <c r="AG253" t="s">
        <v>99</v>
      </c>
      <c r="AH253" t="s">
        <v>1720</v>
      </c>
      <c r="AI253">
        <v>0</v>
      </c>
    </row>
    <row r="254" spans="5:35" x14ac:dyDescent="0.45">
      <c r="E254" t="s">
        <v>1505</v>
      </c>
      <c r="G254" t="s">
        <v>160</v>
      </c>
      <c r="I254" t="s">
        <v>249</v>
      </c>
      <c r="J254" t="s">
        <v>1721</v>
      </c>
      <c r="K254">
        <v>0</v>
      </c>
      <c r="L254" t="s">
        <v>251</v>
      </c>
      <c r="N254" t="s">
        <v>419</v>
      </c>
      <c r="O254" t="s">
        <v>1721</v>
      </c>
      <c r="P254">
        <v>3.8103936876243459E-5</v>
      </c>
      <c r="Q254" t="s">
        <v>251</v>
      </c>
      <c r="S254" t="s">
        <v>420</v>
      </c>
      <c r="T254" t="s">
        <v>1721</v>
      </c>
      <c r="U254">
        <v>5.7045147072007242E-5</v>
      </c>
      <c r="V254" t="s">
        <v>251</v>
      </c>
      <c r="X254">
        <v>1.1415525114155251E-4</v>
      </c>
      <c r="Y254">
        <v>1.4585353321897093E-5</v>
      </c>
      <c r="Z254" t="s">
        <v>1721</v>
      </c>
      <c r="AA254" t="s">
        <v>25</v>
      </c>
      <c r="AC254" t="s">
        <v>22</v>
      </c>
      <c r="AD254" t="s">
        <v>1721</v>
      </c>
      <c r="AE254">
        <v>1.3762785780859047E-4</v>
      </c>
      <c r="AG254" t="s">
        <v>99</v>
      </c>
      <c r="AH254" t="s">
        <v>1721</v>
      </c>
      <c r="AI254">
        <v>0</v>
      </c>
    </row>
    <row r="255" spans="5:35" x14ac:dyDescent="0.45">
      <c r="E255" t="s">
        <v>1506</v>
      </c>
      <c r="G255" t="s">
        <v>160</v>
      </c>
      <c r="I255" t="s">
        <v>249</v>
      </c>
      <c r="J255" t="s">
        <v>1722</v>
      </c>
      <c r="K255">
        <v>0</v>
      </c>
      <c r="L255" t="s">
        <v>251</v>
      </c>
      <c r="N255" t="s">
        <v>419</v>
      </c>
      <c r="O255" t="s">
        <v>1722</v>
      </c>
      <c r="P255">
        <v>3.7780151692748011E-5</v>
      </c>
      <c r="Q255" t="s">
        <v>251</v>
      </c>
      <c r="S255" t="s">
        <v>420</v>
      </c>
      <c r="T255" t="s">
        <v>1722</v>
      </c>
      <c r="U255">
        <v>5.8887528098371769E-5</v>
      </c>
      <c r="V255" t="s">
        <v>251</v>
      </c>
      <c r="X255">
        <v>1.1415525114155251E-4</v>
      </c>
      <c r="Y255">
        <v>2.1215059377304864E-5</v>
      </c>
      <c r="Z255" t="s">
        <v>1722</v>
      </c>
      <c r="AA255" t="s">
        <v>25</v>
      </c>
      <c r="AC255" t="s">
        <v>22</v>
      </c>
      <c r="AD255" t="s">
        <v>1722</v>
      </c>
      <c r="AE255">
        <v>1.3550725011531921E-4</v>
      </c>
      <c r="AG255" t="s">
        <v>99</v>
      </c>
      <c r="AH255" t="s">
        <v>1722</v>
      </c>
      <c r="AI255">
        <v>0</v>
      </c>
    </row>
    <row r="256" spans="5:35" x14ac:dyDescent="0.45">
      <c r="E256" t="s">
        <v>1507</v>
      </c>
      <c r="G256" t="s">
        <v>160</v>
      </c>
      <c r="I256" t="s">
        <v>249</v>
      </c>
      <c r="J256" t="s">
        <v>1723</v>
      </c>
      <c r="K256">
        <v>0</v>
      </c>
      <c r="L256" t="s">
        <v>251</v>
      </c>
      <c r="N256" t="s">
        <v>419</v>
      </c>
      <c r="O256" t="s">
        <v>1723</v>
      </c>
      <c r="P256">
        <v>3.6075678407828953E-5</v>
      </c>
      <c r="Q256" t="s">
        <v>251</v>
      </c>
      <c r="S256" t="s">
        <v>420</v>
      </c>
      <c r="T256" t="s">
        <v>1723</v>
      </c>
      <c r="U256">
        <v>5.4642804845801242E-5</v>
      </c>
      <c r="V256" t="s">
        <v>251</v>
      </c>
      <c r="X256">
        <v>1.1415525114155251E-4</v>
      </c>
      <c r="Y256">
        <v>5.7678442682047593E-5</v>
      </c>
      <c r="Z256" t="s">
        <v>1723</v>
      </c>
      <c r="AA256" t="s">
        <v>25</v>
      </c>
      <c r="AC256" t="s">
        <v>22</v>
      </c>
      <c r="AD256" t="s">
        <v>1723</v>
      </c>
      <c r="AE256">
        <v>1.3550725011531921E-4</v>
      </c>
      <c r="AG256" t="s">
        <v>99</v>
      </c>
      <c r="AH256" t="s">
        <v>1723</v>
      </c>
      <c r="AI256">
        <v>0</v>
      </c>
    </row>
    <row r="257" spans="5:35" x14ac:dyDescent="0.45">
      <c r="E257" t="s">
        <v>1508</v>
      </c>
      <c r="G257" t="s">
        <v>160</v>
      </c>
      <c r="I257" t="s">
        <v>249</v>
      </c>
      <c r="J257" t="s">
        <v>1724</v>
      </c>
      <c r="K257">
        <v>0</v>
      </c>
      <c r="L257" t="s">
        <v>251</v>
      </c>
      <c r="N257" t="s">
        <v>419</v>
      </c>
      <c r="O257" t="s">
        <v>1724</v>
      </c>
      <c r="P257">
        <v>3.6469369479089162E-5</v>
      </c>
      <c r="Q257" t="s">
        <v>251</v>
      </c>
      <c r="S257" t="s">
        <v>420</v>
      </c>
      <c r="T257" t="s">
        <v>1724</v>
      </c>
      <c r="U257">
        <v>5.192535878506376E-5</v>
      </c>
      <c r="V257" t="s">
        <v>251</v>
      </c>
      <c r="X257">
        <v>1.1415525114155251E-4</v>
      </c>
      <c r="Y257">
        <v>1.6905750441289813E-4</v>
      </c>
      <c r="Z257" t="s">
        <v>1724</v>
      </c>
      <c r="AA257" t="s">
        <v>25</v>
      </c>
      <c r="AC257" t="s">
        <v>22</v>
      </c>
      <c r="AD257" t="s">
        <v>1724</v>
      </c>
      <c r="AE257">
        <v>1.3705005177980589E-4</v>
      </c>
      <c r="AG257" t="s">
        <v>99</v>
      </c>
      <c r="AH257" t="s">
        <v>1724</v>
      </c>
      <c r="AI257">
        <v>0</v>
      </c>
    </row>
    <row r="258" spans="5:35" x14ac:dyDescent="0.45">
      <c r="E258" t="s">
        <v>1509</v>
      </c>
      <c r="G258" t="s">
        <v>160</v>
      </c>
      <c r="I258" t="s">
        <v>249</v>
      </c>
      <c r="J258" t="s">
        <v>1725</v>
      </c>
      <c r="K258">
        <v>2.1658925679316363E-5</v>
      </c>
      <c r="L258" t="s">
        <v>251</v>
      </c>
      <c r="N258" t="s">
        <v>419</v>
      </c>
      <c r="O258" t="s">
        <v>1725</v>
      </c>
      <c r="P258">
        <v>4.2895571488441858E-5</v>
      </c>
      <c r="Q258" t="s">
        <v>251</v>
      </c>
      <c r="S258" t="s">
        <v>420</v>
      </c>
      <c r="T258" t="s">
        <v>1725</v>
      </c>
      <c r="U258">
        <v>5.0830525561069253E-5</v>
      </c>
      <c r="V258" t="s">
        <v>251</v>
      </c>
      <c r="X258">
        <v>1.1415525114155251E-4</v>
      </c>
      <c r="Y258">
        <v>1.9060404909297337E-4</v>
      </c>
      <c r="Z258" t="s">
        <v>1725</v>
      </c>
      <c r="AA258" t="s">
        <v>25</v>
      </c>
      <c r="AC258" t="s">
        <v>22</v>
      </c>
      <c r="AD258" t="s">
        <v>1725</v>
      </c>
      <c r="AE258">
        <v>1.4951160035936618E-4</v>
      </c>
      <c r="AG258" t="s">
        <v>99</v>
      </c>
      <c r="AH258" t="s">
        <v>1725</v>
      </c>
      <c r="AI258">
        <v>0</v>
      </c>
    </row>
    <row r="259" spans="5:35" x14ac:dyDescent="0.45">
      <c r="E259" t="s">
        <v>1510</v>
      </c>
      <c r="G259" t="s">
        <v>160</v>
      </c>
      <c r="I259" t="s">
        <v>249</v>
      </c>
      <c r="J259" t="s">
        <v>1726</v>
      </c>
      <c r="K259">
        <v>1.3705778556220001E-4</v>
      </c>
      <c r="L259" t="s">
        <v>251</v>
      </c>
      <c r="N259" t="s">
        <v>419</v>
      </c>
      <c r="O259" t="s">
        <v>1726</v>
      </c>
      <c r="P259">
        <v>4.083043025417803E-5</v>
      </c>
      <c r="Q259" t="s">
        <v>251</v>
      </c>
      <c r="S259" t="s">
        <v>420</v>
      </c>
      <c r="T259" t="s">
        <v>1726</v>
      </c>
      <c r="U259">
        <v>5.1797851295484266E-5</v>
      </c>
      <c r="V259" t="s">
        <v>251</v>
      </c>
      <c r="X259">
        <v>1.1415525114155251E-4</v>
      </c>
      <c r="Y259">
        <v>1.4585353321897094E-4</v>
      </c>
      <c r="Z259" t="s">
        <v>1726</v>
      </c>
      <c r="AA259" t="s">
        <v>25</v>
      </c>
      <c r="AC259" t="s">
        <v>22</v>
      </c>
      <c r="AD259" t="s">
        <v>1726</v>
      </c>
      <c r="AE259">
        <v>1.567014135216651E-4</v>
      </c>
      <c r="AG259" t="s">
        <v>99</v>
      </c>
      <c r="AH259" t="s">
        <v>1726</v>
      </c>
      <c r="AI259">
        <v>0</v>
      </c>
    </row>
    <row r="260" spans="5:35" x14ac:dyDescent="0.45">
      <c r="E260" t="s">
        <v>1511</v>
      </c>
      <c r="G260" t="s">
        <v>160</v>
      </c>
      <c r="I260" t="s">
        <v>249</v>
      </c>
      <c r="J260" t="s">
        <v>1727</v>
      </c>
      <c r="K260">
        <v>1.6685537693250001E-4</v>
      </c>
      <c r="L260" t="s">
        <v>251</v>
      </c>
      <c r="N260" t="s">
        <v>419</v>
      </c>
      <c r="O260" t="s">
        <v>1727</v>
      </c>
      <c r="P260">
        <v>2.4511081100648579E-5</v>
      </c>
      <c r="Q260" t="s">
        <v>251</v>
      </c>
      <c r="S260" t="s">
        <v>420</v>
      </c>
      <c r="T260" t="s">
        <v>1727</v>
      </c>
      <c r="U260">
        <v>4.4545894961141309E-5</v>
      </c>
      <c r="V260" t="s">
        <v>251</v>
      </c>
      <c r="X260">
        <v>1.1415525114155251E-4</v>
      </c>
      <c r="Y260">
        <v>1.4452759200788939E-4</v>
      </c>
      <c r="Z260" t="s">
        <v>1727</v>
      </c>
      <c r="AA260" t="s">
        <v>25</v>
      </c>
      <c r="AC260" t="s">
        <v>22</v>
      </c>
      <c r="AD260" t="s">
        <v>1727</v>
      </c>
      <c r="AE260">
        <v>1.5763662534145048E-4</v>
      </c>
      <c r="AG260" t="s">
        <v>99</v>
      </c>
      <c r="AH260" t="s">
        <v>1727</v>
      </c>
      <c r="AI260">
        <v>0</v>
      </c>
    </row>
    <row r="261" spans="5:35" x14ac:dyDescent="0.45">
      <c r="E261" t="s">
        <v>1512</v>
      </c>
      <c r="G261" t="s">
        <v>160</v>
      </c>
      <c r="I261" t="s">
        <v>249</v>
      </c>
      <c r="J261" t="s">
        <v>1728</v>
      </c>
      <c r="K261">
        <v>1.75633146418E-4</v>
      </c>
      <c r="L261" t="s">
        <v>251</v>
      </c>
      <c r="N261" t="s">
        <v>419</v>
      </c>
      <c r="O261" t="s">
        <v>1728</v>
      </c>
      <c r="P261">
        <v>1.5987504571706832E-5</v>
      </c>
      <c r="Q261" t="s">
        <v>251</v>
      </c>
      <c r="S261" t="s">
        <v>420</v>
      </c>
      <c r="T261" t="s">
        <v>1728</v>
      </c>
      <c r="U261">
        <v>3.2307900684487863E-5</v>
      </c>
      <c r="V261" t="s">
        <v>251</v>
      </c>
      <c r="X261">
        <v>1.1415525114155251E-4</v>
      </c>
      <c r="Y261">
        <v>1.408812536774151E-4</v>
      </c>
      <c r="Z261" t="s">
        <v>1728</v>
      </c>
      <c r="AA261" t="s">
        <v>25</v>
      </c>
      <c r="AC261" t="s">
        <v>22</v>
      </c>
      <c r="AD261" t="s">
        <v>1728</v>
      </c>
      <c r="AE261">
        <v>1.64183108079948E-4</v>
      </c>
      <c r="AG261" t="s">
        <v>99</v>
      </c>
      <c r="AH261" t="s">
        <v>1728</v>
      </c>
      <c r="AI261">
        <v>0</v>
      </c>
    </row>
    <row r="262" spans="5:35" x14ac:dyDescent="0.45">
      <c r="E262" t="s">
        <v>1513</v>
      </c>
      <c r="G262" t="s">
        <v>160</v>
      </c>
      <c r="I262" t="s">
        <v>249</v>
      </c>
      <c r="J262" t="s">
        <v>1729</v>
      </c>
      <c r="K262">
        <v>1.9578673988760001E-4</v>
      </c>
      <c r="L262" t="s">
        <v>251</v>
      </c>
      <c r="N262" t="s">
        <v>419</v>
      </c>
      <c r="O262" t="s">
        <v>1729</v>
      </c>
      <c r="P262">
        <v>1.6797262791753346E-5</v>
      </c>
      <c r="Q262" t="s">
        <v>251</v>
      </c>
      <c r="S262" t="s">
        <v>420</v>
      </c>
      <c r="T262" t="s">
        <v>1729</v>
      </c>
      <c r="U262">
        <v>2.207877248065654E-5</v>
      </c>
      <c r="V262" t="s">
        <v>251</v>
      </c>
      <c r="X262">
        <v>1.1415525114155251E-4</v>
      </c>
      <c r="Y262">
        <v>1.4054976837464471E-4</v>
      </c>
      <c r="Z262" t="s">
        <v>1729</v>
      </c>
      <c r="AA262" t="s">
        <v>25</v>
      </c>
      <c r="AC262" t="s">
        <v>22</v>
      </c>
      <c r="AD262" t="s">
        <v>1729</v>
      </c>
      <c r="AE262">
        <v>1.5783915528968422E-4</v>
      </c>
      <c r="AG262" t="s">
        <v>99</v>
      </c>
      <c r="AH262" t="s">
        <v>1729</v>
      </c>
      <c r="AI262">
        <v>0</v>
      </c>
    </row>
    <row r="263" spans="5:35" x14ac:dyDescent="0.45">
      <c r="E263" t="s">
        <v>1514</v>
      </c>
      <c r="G263" t="s">
        <v>160</v>
      </c>
      <c r="I263" t="s">
        <v>249</v>
      </c>
      <c r="J263" t="s">
        <v>1730</v>
      </c>
      <c r="K263">
        <v>2.2341932673050001E-4</v>
      </c>
      <c r="L263" t="s">
        <v>251</v>
      </c>
      <c r="N263" t="s">
        <v>419</v>
      </c>
      <c r="O263" t="s">
        <v>1730</v>
      </c>
      <c r="P263">
        <v>1.8379908477818867E-5</v>
      </c>
      <c r="Q263" t="s">
        <v>251</v>
      </c>
      <c r="S263" t="s">
        <v>420</v>
      </c>
      <c r="T263" t="s">
        <v>1730</v>
      </c>
      <c r="U263">
        <v>1.4503412263185931E-5</v>
      </c>
      <c r="V263" t="s">
        <v>251</v>
      </c>
      <c r="X263">
        <v>1.1415525114155251E-4</v>
      </c>
      <c r="Y263">
        <v>1.4253868019126702E-4</v>
      </c>
      <c r="Z263" t="s">
        <v>1730</v>
      </c>
      <c r="AA263" t="s">
        <v>25</v>
      </c>
      <c r="AC263" t="s">
        <v>22</v>
      </c>
      <c r="AD263" t="s">
        <v>1730</v>
      </c>
      <c r="AE263">
        <v>1.4293533380495195E-4</v>
      </c>
      <c r="AG263" t="s">
        <v>99</v>
      </c>
      <c r="AH263" t="s">
        <v>1730</v>
      </c>
      <c r="AI263">
        <v>0</v>
      </c>
    </row>
    <row r="264" spans="5:35" x14ac:dyDescent="0.45">
      <c r="E264" t="s">
        <v>1515</v>
      </c>
      <c r="G264" t="s">
        <v>160</v>
      </c>
      <c r="I264" t="s">
        <v>249</v>
      </c>
      <c r="J264" t="s">
        <v>1731</v>
      </c>
      <c r="K264">
        <v>2.1206839703810001E-4</v>
      </c>
      <c r="L264" t="s">
        <v>251</v>
      </c>
      <c r="N264" t="s">
        <v>419</v>
      </c>
      <c r="O264" t="s">
        <v>1731</v>
      </c>
      <c r="P264">
        <v>1.6039815172594591E-5</v>
      </c>
      <c r="Q264" t="s">
        <v>251</v>
      </c>
      <c r="S264" t="s">
        <v>420</v>
      </c>
      <c r="T264" t="s">
        <v>1731</v>
      </c>
      <c r="U264">
        <v>9.8910684180253708E-6</v>
      </c>
      <c r="V264" t="s">
        <v>251</v>
      </c>
      <c r="X264">
        <v>1.1415525114155251E-4</v>
      </c>
      <c r="Y264">
        <v>1.4883690094390442E-4</v>
      </c>
      <c r="Z264" t="s">
        <v>1731</v>
      </c>
      <c r="AA264" t="s">
        <v>25</v>
      </c>
      <c r="AC264" t="s">
        <v>22</v>
      </c>
      <c r="AD264" t="s">
        <v>1731</v>
      </c>
      <c r="AE264">
        <v>1.2511269836038005E-4</v>
      </c>
      <c r="AG264" t="s">
        <v>99</v>
      </c>
      <c r="AH264" t="s">
        <v>1731</v>
      </c>
      <c r="AI264">
        <v>0</v>
      </c>
    </row>
    <row r="265" spans="5:35" x14ac:dyDescent="0.45">
      <c r="E265" t="s">
        <v>1516</v>
      </c>
      <c r="G265" t="s">
        <v>160</v>
      </c>
      <c r="I265" t="s">
        <v>249</v>
      </c>
      <c r="J265" t="s">
        <v>1732</v>
      </c>
      <c r="K265">
        <v>1.7770079322379999E-4</v>
      </c>
      <c r="L265" t="s">
        <v>251</v>
      </c>
      <c r="N265" t="s">
        <v>419</v>
      </c>
      <c r="O265" t="s">
        <v>1732</v>
      </c>
      <c r="P265">
        <v>1.4859443221103078E-5</v>
      </c>
      <c r="Q265" t="s">
        <v>251</v>
      </c>
      <c r="S265" t="s">
        <v>420</v>
      </c>
      <c r="T265" t="s">
        <v>1732</v>
      </c>
      <c r="U265">
        <v>7.8781175011083388E-6</v>
      </c>
      <c r="V265" t="s">
        <v>251</v>
      </c>
      <c r="X265">
        <v>1.1415525114155251E-4</v>
      </c>
      <c r="Y265">
        <v>1.5049432745775637E-4</v>
      </c>
      <c r="Z265" t="s">
        <v>1732</v>
      </c>
      <c r="AA265" t="s">
        <v>25</v>
      </c>
      <c r="AC265" t="s">
        <v>22</v>
      </c>
      <c r="AD265" t="s">
        <v>1732</v>
      </c>
      <c r="AE265">
        <v>1.1322299904642097E-4</v>
      </c>
      <c r="AG265" t="s">
        <v>99</v>
      </c>
      <c r="AH265" t="s">
        <v>1732</v>
      </c>
      <c r="AI265">
        <v>0</v>
      </c>
    </row>
    <row r="266" spans="5:35" x14ac:dyDescent="0.45">
      <c r="E266" t="s">
        <v>1517</v>
      </c>
      <c r="G266" t="s">
        <v>160</v>
      </c>
      <c r="I266" t="s">
        <v>249</v>
      </c>
      <c r="J266" t="s">
        <v>1733</v>
      </c>
      <c r="K266">
        <v>1.574679496692E-4</v>
      </c>
      <c r="L266" t="s">
        <v>251</v>
      </c>
      <c r="N266" t="s">
        <v>419</v>
      </c>
      <c r="O266" t="s">
        <v>1733</v>
      </c>
      <c r="P266">
        <v>1.642397964409213E-5</v>
      </c>
      <c r="Q266" t="s">
        <v>251</v>
      </c>
      <c r="S266" t="s">
        <v>420</v>
      </c>
      <c r="T266" t="s">
        <v>1733</v>
      </c>
      <c r="U266">
        <v>6.7944200738767536E-6</v>
      </c>
      <c r="V266" t="s">
        <v>251</v>
      </c>
      <c r="X266">
        <v>1.1415525114155251E-4</v>
      </c>
      <c r="Y266">
        <v>1.7237235744060203E-4</v>
      </c>
      <c r="Z266" t="s">
        <v>1733</v>
      </c>
      <c r="AA266" t="s">
        <v>25</v>
      </c>
      <c r="AC266" t="s">
        <v>22</v>
      </c>
      <c r="AD266" t="s">
        <v>1733</v>
      </c>
      <c r="AE266">
        <v>9.1278283478973438E-5</v>
      </c>
      <c r="AG266" t="s">
        <v>99</v>
      </c>
      <c r="AH266" t="s">
        <v>1733</v>
      </c>
      <c r="AI266">
        <v>0</v>
      </c>
    </row>
    <row r="267" spans="5:35" x14ac:dyDescent="0.45">
      <c r="E267" t="s">
        <v>1518</v>
      </c>
      <c r="G267" t="s">
        <v>160</v>
      </c>
      <c r="I267" t="s">
        <v>249</v>
      </c>
      <c r="J267" t="s">
        <v>1734</v>
      </c>
      <c r="K267">
        <v>1.3349860428850001E-4</v>
      </c>
      <c r="L267" t="s">
        <v>251</v>
      </c>
      <c r="N267" t="s">
        <v>419</v>
      </c>
      <c r="O267" t="s">
        <v>1734</v>
      </c>
      <c r="P267">
        <v>1.9240069822603271E-5</v>
      </c>
      <c r="Q267" t="s">
        <v>251</v>
      </c>
      <c r="S267" t="s">
        <v>420</v>
      </c>
      <c r="T267" t="s">
        <v>1734</v>
      </c>
      <c r="U267">
        <v>6.4609944474195781E-6</v>
      </c>
      <c r="V267" t="s">
        <v>251</v>
      </c>
      <c r="X267">
        <v>1.1415525114155251E-4</v>
      </c>
      <c r="Y267">
        <v>2.2209515285616027E-4</v>
      </c>
      <c r="Z267" t="s">
        <v>1734</v>
      </c>
      <c r="AA267" t="s">
        <v>25</v>
      </c>
      <c r="AC267" t="s">
        <v>22</v>
      </c>
      <c r="AD267" t="s">
        <v>1734</v>
      </c>
      <c r="AE267">
        <v>8.8597740046467648E-5</v>
      </c>
      <c r="AG267" t="s">
        <v>99</v>
      </c>
      <c r="AH267" t="s">
        <v>1734</v>
      </c>
      <c r="AI267">
        <v>0</v>
      </c>
    </row>
    <row r="268" spans="5:35" x14ac:dyDescent="0.45">
      <c r="E268" t="s">
        <v>1519</v>
      </c>
      <c r="G268" t="s">
        <v>160</v>
      </c>
      <c r="I268" t="s">
        <v>249</v>
      </c>
      <c r="J268" t="s">
        <v>1735</v>
      </c>
      <c r="K268">
        <v>1.01668127485E-4</v>
      </c>
      <c r="L268" t="s">
        <v>251</v>
      </c>
      <c r="N268" t="s">
        <v>419</v>
      </c>
      <c r="O268" t="s">
        <v>1735</v>
      </c>
      <c r="P268">
        <v>2.2879368847890144E-5</v>
      </c>
      <c r="Q268" t="s">
        <v>251</v>
      </c>
      <c r="S268" t="s">
        <v>420</v>
      </c>
      <c r="T268" t="s">
        <v>1735</v>
      </c>
      <c r="U268">
        <v>6.302349727190498E-6</v>
      </c>
      <c r="V268" t="s">
        <v>251</v>
      </c>
      <c r="X268">
        <v>1.1415525114155251E-4</v>
      </c>
      <c r="Y268">
        <v>2.2209515285616027E-4</v>
      </c>
      <c r="Z268" t="s">
        <v>1735</v>
      </c>
      <c r="AA268" t="s">
        <v>25</v>
      </c>
      <c r="AC268" t="s">
        <v>22</v>
      </c>
      <c r="AD268" t="s">
        <v>1735</v>
      </c>
      <c r="AE268">
        <v>8.5631271981161219E-5</v>
      </c>
      <c r="AG268" t="s">
        <v>99</v>
      </c>
      <c r="AH268" t="s">
        <v>1735</v>
      </c>
      <c r="AI268">
        <v>0</v>
      </c>
    </row>
    <row r="269" spans="5:35" x14ac:dyDescent="0.45">
      <c r="E269" t="s">
        <v>1520</v>
      </c>
      <c r="G269" t="s">
        <v>160</v>
      </c>
      <c r="I269" t="s">
        <v>249</v>
      </c>
      <c r="J269" t="s">
        <v>1736</v>
      </c>
      <c r="K269">
        <v>1.2214423213043898E-5</v>
      </c>
      <c r="L269" t="s">
        <v>251</v>
      </c>
      <c r="N269" t="s">
        <v>419</v>
      </c>
      <c r="O269" t="s">
        <v>1736</v>
      </c>
      <c r="P269">
        <v>3.4284713007263466E-5</v>
      </c>
      <c r="Q269" t="s">
        <v>251</v>
      </c>
      <c r="S269" t="s">
        <v>420</v>
      </c>
      <c r="T269" t="s">
        <v>1736</v>
      </c>
      <c r="U269">
        <v>5.5226020969172192E-6</v>
      </c>
      <c r="V269" t="s">
        <v>251</v>
      </c>
      <c r="X269">
        <v>1.1415525114155251E-4</v>
      </c>
      <c r="Y269">
        <v>1.7237235744060203E-4</v>
      </c>
      <c r="Z269" t="s">
        <v>1736</v>
      </c>
      <c r="AA269" t="s">
        <v>25</v>
      </c>
      <c r="AC269" t="s">
        <v>22</v>
      </c>
      <c r="AD269" t="s">
        <v>1736</v>
      </c>
      <c r="AE269">
        <v>8.822246396591683E-5</v>
      </c>
      <c r="AG269" t="s">
        <v>99</v>
      </c>
      <c r="AH269" t="s">
        <v>1736</v>
      </c>
      <c r="AI269">
        <v>0</v>
      </c>
    </row>
    <row r="270" spans="5:35" x14ac:dyDescent="0.45">
      <c r="E270" t="s">
        <v>1521</v>
      </c>
      <c r="G270" t="s">
        <v>160</v>
      </c>
      <c r="I270" t="s">
        <v>249</v>
      </c>
      <c r="J270" t="s">
        <v>1737</v>
      </c>
      <c r="K270">
        <v>0</v>
      </c>
      <c r="L270" t="s">
        <v>251</v>
      </c>
      <c r="N270" t="s">
        <v>419</v>
      </c>
      <c r="O270" t="s">
        <v>1737</v>
      </c>
      <c r="P270">
        <v>4.3932308368866553E-5</v>
      </c>
      <c r="Q270" t="s">
        <v>251</v>
      </c>
      <c r="S270" t="s">
        <v>420</v>
      </c>
      <c r="T270" t="s">
        <v>1737</v>
      </c>
      <c r="U270">
        <v>4.5695537873327243E-6</v>
      </c>
      <c r="V270" t="s">
        <v>251</v>
      </c>
      <c r="X270">
        <v>1.1415525114155251E-4</v>
      </c>
      <c r="Y270">
        <v>1.5579809230208258E-4</v>
      </c>
      <c r="Z270" t="s">
        <v>1737</v>
      </c>
      <c r="AA270" t="s">
        <v>25</v>
      </c>
      <c r="AC270" t="s">
        <v>22</v>
      </c>
      <c r="AD270" t="s">
        <v>1737</v>
      </c>
      <c r="AE270">
        <v>9.2886609538476934E-5</v>
      </c>
      <c r="AG270" t="s">
        <v>99</v>
      </c>
      <c r="AH270" t="s">
        <v>1737</v>
      </c>
      <c r="AI270">
        <v>0</v>
      </c>
    </row>
    <row r="271" spans="5:35" x14ac:dyDescent="0.45">
      <c r="E271" t="s">
        <v>1522</v>
      </c>
      <c r="G271" t="s">
        <v>160</v>
      </c>
      <c r="I271" t="s">
        <v>249</v>
      </c>
      <c r="J271" t="s">
        <v>1738</v>
      </c>
      <c r="K271">
        <v>0</v>
      </c>
      <c r="L271" t="s">
        <v>251</v>
      </c>
      <c r="N271" t="s">
        <v>419</v>
      </c>
      <c r="O271" t="s">
        <v>1738</v>
      </c>
      <c r="P271">
        <v>4.8597326155547417E-5</v>
      </c>
      <c r="Q271" t="s">
        <v>251</v>
      </c>
      <c r="S271" t="s">
        <v>420</v>
      </c>
      <c r="T271" t="s">
        <v>1738</v>
      </c>
      <c r="U271">
        <v>4.6198293208580247E-6</v>
      </c>
      <c r="V271" t="s">
        <v>251</v>
      </c>
      <c r="X271">
        <v>1.1415525114155251E-4</v>
      </c>
      <c r="Y271">
        <v>1.093901499142282E-4</v>
      </c>
      <c r="Z271" t="s">
        <v>1738</v>
      </c>
      <c r="AA271" t="s">
        <v>25</v>
      </c>
      <c r="AC271" t="s">
        <v>22</v>
      </c>
      <c r="AD271" t="s">
        <v>1738</v>
      </c>
      <c r="AE271">
        <v>1.1156701888145072E-4</v>
      </c>
      <c r="AG271" t="s">
        <v>99</v>
      </c>
      <c r="AH271" t="s">
        <v>1738</v>
      </c>
      <c r="AI271">
        <v>0</v>
      </c>
    </row>
    <row r="272" spans="5:35" x14ac:dyDescent="0.45">
      <c r="E272" t="s">
        <v>1523</v>
      </c>
      <c r="G272" t="s">
        <v>160</v>
      </c>
      <c r="I272" t="s">
        <v>249</v>
      </c>
      <c r="J272" t="s">
        <v>1739</v>
      </c>
      <c r="K272">
        <v>0</v>
      </c>
      <c r="L272" t="s">
        <v>251</v>
      </c>
      <c r="N272" t="s">
        <v>419</v>
      </c>
      <c r="O272" t="s">
        <v>1739</v>
      </c>
      <c r="P272">
        <v>5.2704093487827508E-5</v>
      </c>
      <c r="Q272" t="s">
        <v>251</v>
      </c>
      <c r="S272" t="s">
        <v>420</v>
      </c>
      <c r="T272" t="s">
        <v>1739</v>
      </c>
      <c r="U272">
        <v>3.301252054198381E-6</v>
      </c>
      <c r="V272" t="s">
        <v>251</v>
      </c>
      <c r="X272">
        <v>1.1415525114155251E-4</v>
      </c>
      <c r="Y272">
        <v>7.9556472664893237E-5</v>
      </c>
      <c r="Z272" t="s">
        <v>1739</v>
      </c>
      <c r="AA272" t="s">
        <v>25</v>
      </c>
      <c r="AC272" t="s">
        <v>22</v>
      </c>
      <c r="AD272" t="s">
        <v>1739</v>
      </c>
      <c r="AE272">
        <v>1.3087884512185918E-4</v>
      </c>
      <c r="AG272" t="s">
        <v>99</v>
      </c>
      <c r="AH272" t="s">
        <v>1739</v>
      </c>
      <c r="AI272">
        <v>0</v>
      </c>
    </row>
    <row r="273" spans="5:35" x14ac:dyDescent="0.45">
      <c r="E273" t="s">
        <v>1524</v>
      </c>
      <c r="G273" t="s">
        <v>160</v>
      </c>
      <c r="I273" t="s">
        <v>249</v>
      </c>
      <c r="J273" t="s">
        <v>1740</v>
      </c>
      <c r="K273">
        <v>0</v>
      </c>
      <c r="L273" t="s">
        <v>251</v>
      </c>
      <c r="N273" t="s">
        <v>419</v>
      </c>
      <c r="O273" t="s">
        <v>1740</v>
      </c>
      <c r="P273">
        <v>5.8243209360562691E-5</v>
      </c>
      <c r="Q273" t="s">
        <v>251</v>
      </c>
      <c r="S273" t="s">
        <v>420</v>
      </c>
      <c r="T273" t="s">
        <v>1740</v>
      </c>
      <c r="U273">
        <v>3.2004673842039299E-6</v>
      </c>
      <c r="V273" t="s">
        <v>251</v>
      </c>
      <c r="X273">
        <v>1.1415525114155251E-4</v>
      </c>
      <c r="Y273">
        <v>5.6352501470966035E-5</v>
      </c>
      <c r="Z273" t="s">
        <v>1740</v>
      </c>
      <c r="AA273" t="s">
        <v>25</v>
      </c>
      <c r="AC273" t="s">
        <v>22</v>
      </c>
      <c r="AD273" t="s">
        <v>1740</v>
      </c>
      <c r="AE273">
        <v>1.3901578363031015E-4</v>
      </c>
      <c r="AG273" t="s">
        <v>99</v>
      </c>
      <c r="AH273" t="s">
        <v>1740</v>
      </c>
      <c r="AI273">
        <v>0</v>
      </c>
    </row>
    <row r="274" spans="5:35" x14ac:dyDescent="0.45">
      <c r="E274" t="s">
        <v>1525</v>
      </c>
      <c r="G274" t="s">
        <v>160</v>
      </c>
      <c r="I274" t="s">
        <v>249</v>
      </c>
      <c r="J274" t="s">
        <v>1741</v>
      </c>
      <c r="K274">
        <v>0</v>
      </c>
      <c r="L274" t="s">
        <v>251</v>
      </c>
      <c r="N274" t="s">
        <v>419</v>
      </c>
      <c r="O274" t="s">
        <v>1741</v>
      </c>
      <c r="P274">
        <v>6.6488378560715901E-5</v>
      </c>
      <c r="Q274" t="s">
        <v>251</v>
      </c>
      <c r="S274" t="s">
        <v>420</v>
      </c>
      <c r="T274" t="s">
        <v>1741</v>
      </c>
      <c r="U274">
        <v>3.4958550400416103E-6</v>
      </c>
      <c r="V274" t="s">
        <v>251</v>
      </c>
      <c r="X274">
        <v>1.1415525114155251E-4</v>
      </c>
      <c r="Y274">
        <v>2.9833677249334962E-5</v>
      </c>
      <c r="Z274" t="s">
        <v>1741</v>
      </c>
      <c r="AA274" t="s">
        <v>25</v>
      </c>
      <c r="AC274" t="s">
        <v>22</v>
      </c>
      <c r="AD274" t="s">
        <v>1741</v>
      </c>
      <c r="AE274">
        <v>1.5218618702868866E-4</v>
      </c>
      <c r="AG274" t="s">
        <v>99</v>
      </c>
      <c r="AH274" t="s">
        <v>1741</v>
      </c>
      <c r="AI274">
        <v>0</v>
      </c>
    </row>
    <row r="275" spans="5:35" x14ac:dyDescent="0.45">
      <c r="E275" t="s">
        <v>1526</v>
      </c>
      <c r="G275" t="s">
        <v>160</v>
      </c>
      <c r="I275" t="s">
        <v>249</v>
      </c>
      <c r="J275" t="s">
        <v>1742</v>
      </c>
      <c r="K275">
        <v>0</v>
      </c>
      <c r="L275" t="s">
        <v>251</v>
      </c>
      <c r="N275" t="s">
        <v>419</v>
      </c>
      <c r="O275" t="s">
        <v>1742</v>
      </c>
      <c r="P275">
        <v>7.2714760897015543E-5</v>
      </c>
      <c r="Q275" t="s">
        <v>251</v>
      </c>
      <c r="S275" t="s">
        <v>420</v>
      </c>
      <c r="T275" t="s">
        <v>1742</v>
      </c>
      <c r="U275">
        <v>4.1893626555624153E-6</v>
      </c>
      <c r="V275" t="s">
        <v>251</v>
      </c>
      <c r="X275">
        <v>1.1415525114155251E-4</v>
      </c>
      <c r="Y275">
        <v>2.1546544680075254E-5</v>
      </c>
      <c r="Z275" t="s">
        <v>1742</v>
      </c>
      <c r="AA275" t="s">
        <v>25</v>
      </c>
      <c r="AC275" t="s">
        <v>22</v>
      </c>
      <c r="AD275" t="s">
        <v>1742</v>
      </c>
      <c r="AE275">
        <v>1.5340136671809131E-4</v>
      </c>
      <c r="AG275" t="s">
        <v>99</v>
      </c>
      <c r="AH275" t="s">
        <v>1742</v>
      </c>
      <c r="AI275">
        <v>0</v>
      </c>
    </row>
    <row r="276" spans="5:35" x14ac:dyDescent="0.45">
      <c r="E276" t="s">
        <v>1527</v>
      </c>
      <c r="G276" t="s">
        <v>160</v>
      </c>
      <c r="I276" t="s">
        <v>249</v>
      </c>
      <c r="J276" t="s">
        <v>1743</v>
      </c>
      <c r="K276">
        <v>0</v>
      </c>
      <c r="L276" t="s">
        <v>251</v>
      </c>
      <c r="N276" t="s">
        <v>419</v>
      </c>
      <c r="O276" t="s">
        <v>1743</v>
      </c>
      <c r="P276">
        <v>6.886286575154167E-5</v>
      </c>
      <c r="Q276" t="s">
        <v>251</v>
      </c>
      <c r="S276" t="s">
        <v>420</v>
      </c>
      <c r="T276" t="s">
        <v>1743</v>
      </c>
      <c r="U276">
        <v>4.7120488064226569E-6</v>
      </c>
      <c r="V276" t="s">
        <v>251</v>
      </c>
      <c r="X276">
        <v>1.1415525114155251E-4</v>
      </c>
      <c r="Y276">
        <v>1.4916838624667481E-5</v>
      </c>
      <c r="Z276" t="s">
        <v>1743</v>
      </c>
      <c r="AA276" t="s">
        <v>25</v>
      </c>
      <c r="AC276" t="s">
        <v>22</v>
      </c>
      <c r="AD276" t="s">
        <v>1743</v>
      </c>
      <c r="AE276">
        <v>1.4220860869658373E-4</v>
      </c>
      <c r="AG276" t="s">
        <v>99</v>
      </c>
      <c r="AH276" t="s">
        <v>1743</v>
      </c>
      <c r="AI276">
        <v>0</v>
      </c>
    </row>
    <row r="277" spans="5:35" x14ac:dyDescent="0.45">
      <c r="E277" t="s">
        <v>1528</v>
      </c>
      <c r="G277" t="s">
        <v>160</v>
      </c>
      <c r="I277" t="s">
        <v>249</v>
      </c>
      <c r="J277" t="s">
        <v>1744</v>
      </c>
      <c r="K277">
        <v>0</v>
      </c>
      <c r="L277" t="s">
        <v>251</v>
      </c>
      <c r="N277" t="s">
        <v>419</v>
      </c>
      <c r="O277" t="s">
        <v>1744</v>
      </c>
      <c r="P277">
        <v>6.1022254374986237E-5</v>
      </c>
      <c r="Q277" t="s">
        <v>251</v>
      </c>
      <c r="S277" t="s">
        <v>420</v>
      </c>
      <c r="T277" t="s">
        <v>1744</v>
      </c>
      <c r="U277">
        <v>4.8644710884152205E-6</v>
      </c>
      <c r="V277" t="s">
        <v>251</v>
      </c>
      <c r="X277">
        <v>1.1415525114155251E-4</v>
      </c>
      <c r="Y277">
        <v>1.6574265138519424E-5</v>
      </c>
      <c r="Z277" t="s">
        <v>1744</v>
      </c>
      <c r="AA277" t="s">
        <v>25</v>
      </c>
      <c r="AC277" t="s">
        <v>22</v>
      </c>
      <c r="AD277" t="s">
        <v>1744</v>
      </c>
      <c r="AE277">
        <v>1.4000460631874561E-4</v>
      </c>
      <c r="AG277" t="s">
        <v>99</v>
      </c>
      <c r="AH277" t="s">
        <v>1744</v>
      </c>
      <c r="AI277">
        <v>0</v>
      </c>
    </row>
    <row r="278" spans="5:35" x14ac:dyDescent="0.45">
      <c r="E278" t="s">
        <v>1529</v>
      </c>
      <c r="G278" t="s">
        <v>160</v>
      </c>
      <c r="I278" t="s">
        <v>249</v>
      </c>
      <c r="J278" t="s">
        <v>1745</v>
      </c>
      <c r="K278">
        <v>0</v>
      </c>
      <c r="L278" t="s">
        <v>251</v>
      </c>
      <c r="N278" t="s">
        <v>419</v>
      </c>
      <c r="O278" t="s">
        <v>1745</v>
      </c>
      <c r="P278">
        <v>5.7879689687258882E-5</v>
      </c>
      <c r="Q278" t="s">
        <v>251</v>
      </c>
      <c r="S278" t="s">
        <v>420</v>
      </c>
      <c r="T278" t="s">
        <v>1745</v>
      </c>
      <c r="U278">
        <v>4.9075674731130309E-6</v>
      </c>
      <c r="V278" t="s">
        <v>251</v>
      </c>
      <c r="X278">
        <v>1.1415525114155251E-4</v>
      </c>
      <c r="Y278">
        <v>1.4585353321897093E-5</v>
      </c>
      <c r="Z278" t="s">
        <v>1745</v>
      </c>
      <c r="AA278" t="s">
        <v>25</v>
      </c>
      <c r="AC278" t="s">
        <v>22</v>
      </c>
      <c r="AD278" t="s">
        <v>1745</v>
      </c>
      <c r="AE278">
        <v>1.4060623940026357E-4</v>
      </c>
      <c r="AG278" t="s">
        <v>99</v>
      </c>
      <c r="AH278" t="s">
        <v>1745</v>
      </c>
      <c r="AI278">
        <v>0</v>
      </c>
    </row>
    <row r="279" spans="5:35" x14ac:dyDescent="0.45">
      <c r="E279" t="s">
        <v>1530</v>
      </c>
      <c r="G279" t="s">
        <v>160</v>
      </c>
      <c r="I279" t="s">
        <v>249</v>
      </c>
      <c r="J279" t="s">
        <v>1746</v>
      </c>
      <c r="K279">
        <v>0</v>
      </c>
      <c r="L279" t="s">
        <v>251</v>
      </c>
      <c r="N279" t="s">
        <v>419</v>
      </c>
      <c r="O279" t="s">
        <v>1746</v>
      </c>
      <c r="P279">
        <v>5.6339489757702415E-5</v>
      </c>
      <c r="Q279" t="s">
        <v>251</v>
      </c>
      <c r="S279" t="s">
        <v>420</v>
      </c>
      <c r="T279" t="s">
        <v>1746</v>
      </c>
      <c r="U279">
        <v>5.0572084645691026E-6</v>
      </c>
      <c r="V279" t="s">
        <v>251</v>
      </c>
      <c r="X279">
        <v>1.1415525114155251E-4</v>
      </c>
      <c r="Y279">
        <v>2.1215059377304864E-5</v>
      </c>
      <c r="Z279" t="s">
        <v>1746</v>
      </c>
      <c r="AA279" t="s">
        <v>25</v>
      </c>
      <c r="AC279" t="s">
        <v>22</v>
      </c>
      <c r="AD279" t="s">
        <v>1746</v>
      </c>
      <c r="AE279">
        <v>1.3744319814990675E-4</v>
      </c>
      <c r="AG279" t="s">
        <v>99</v>
      </c>
      <c r="AH279" t="s">
        <v>1746</v>
      </c>
      <c r="AI279">
        <v>0</v>
      </c>
    </row>
    <row r="280" spans="5:35" x14ac:dyDescent="0.45">
      <c r="E280" t="s">
        <v>1531</v>
      </c>
      <c r="G280" t="s">
        <v>160</v>
      </c>
      <c r="I280" t="s">
        <v>249</v>
      </c>
      <c r="J280" t="s">
        <v>1747</v>
      </c>
      <c r="K280">
        <v>0</v>
      </c>
      <c r="L280" t="s">
        <v>251</v>
      </c>
      <c r="N280" t="s">
        <v>419</v>
      </c>
      <c r="O280" t="s">
        <v>1747</v>
      </c>
      <c r="P280">
        <v>5.4103524250985898E-5</v>
      </c>
      <c r="Q280" t="s">
        <v>251</v>
      </c>
      <c r="S280" t="s">
        <v>420</v>
      </c>
      <c r="T280" t="s">
        <v>1747</v>
      </c>
      <c r="U280">
        <v>5.7938828404213931E-6</v>
      </c>
      <c r="V280" t="s">
        <v>251</v>
      </c>
      <c r="X280">
        <v>1.1415525114155251E-4</v>
      </c>
      <c r="Y280">
        <v>5.7678442682047593E-5</v>
      </c>
      <c r="Z280" t="s">
        <v>1747</v>
      </c>
      <c r="AA280" t="s">
        <v>25</v>
      </c>
      <c r="AC280" t="s">
        <v>22</v>
      </c>
      <c r="AD280" t="s">
        <v>1747</v>
      </c>
      <c r="AE280">
        <v>1.3651989985648806E-4</v>
      </c>
      <c r="AG280" t="s">
        <v>99</v>
      </c>
      <c r="AH280" t="s">
        <v>1747</v>
      </c>
      <c r="AI280">
        <v>0</v>
      </c>
    </row>
    <row r="281" spans="5:35" x14ac:dyDescent="0.45">
      <c r="E281" t="s">
        <v>1532</v>
      </c>
      <c r="G281" t="s">
        <v>160</v>
      </c>
      <c r="I281" t="s">
        <v>249</v>
      </c>
      <c r="J281" t="s">
        <v>1748</v>
      </c>
      <c r="K281">
        <v>0</v>
      </c>
      <c r="L281" t="s">
        <v>251</v>
      </c>
      <c r="N281" t="s">
        <v>419</v>
      </c>
      <c r="O281" t="s">
        <v>1748</v>
      </c>
      <c r="P281">
        <v>5.5835044030201838E-5</v>
      </c>
      <c r="Q281" t="s">
        <v>251</v>
      </c>
      <c r="S281" t="s">
        <v>420</v>
      </c>
      <c r="T281" t="s">
        <v>1748</v>
      </c>
      <c r="U281">
        <v>7.4788781073919594E-6</v>
      </c>
      <c r="V281" t="s">
        <v>251</v>
      </c>
      <c r="X281">
        <v>1.1415525114155251E-4</v>
      </c>
      <c r="Y281">
        <v>1.6905750441289813E-4</v>
      </c>
      <c r="Z281" t="s">
        <v>1748</v>
      </c>
      <c r="AA281" t="s">
        <v>25</v>
      </c>
      <c r="AC281" t="s">
        <v>22</v>
      </c>
      <c r="AD281" t="s">
        <v>1748</v>
      </c>
      <c r="AE281">
        <v>1.3806270152097474E-4</v>
      </c>
      <c r="AG281" t="s">
        <v>99</v>
      </c>
      <c r="AH281" t="s">
        <v>1748</v>
      </c>
      <c r="AI281">
        <v>0</v>
      </c>
    </row>
    <row r="282" spans="5:35" x14ac:dyDescent="0.45">
      <c r="E282" t="s">
        <v>1533</v>
      </c>
      <c r="G282" t="s">
        <v>160</v>
      </c>
      <c r="I282" t="s">
        <v>249</v>
      </c>
      <c r="J282" t="s">
        <v>1749</v>
      </c>
      <c r="K282">
        <v>2.3315277203433377E-5</v>
      </c>
      <c r="L282" t="s">
        <v>251</v>
      </c>
      <c r="N282" t="s">
        <v>419</v>
      </c>
      <c r="O282" t="s">
        <v>1749</v>
      </c>
      <c r="P282">
        <v>5.6801741758546133E-5</v>
      </c>
      <c r="Q282" t="s">
        <v>251</v>
      </c>
      <c r="S282" t="s">
        <v>420</v>
      </c>
      <c r="T282" t="s">
        <v>1749</v>
      </c>
      <c r="U282">
        <v>1.0666603317767539E-5</v>
      </c>
      <c r="V282" t="s">
        <v>251</v>
      </c>
      <c r="X282">
        <v>1.1415525114155251E-4</v>
      </c>
      <c r="Y282">
        <v>1.9060404909297337E-4</v>
      </c>
      <c r="Z282" t="s">
        <v>1749</v>
      </c>
      <c r="AA282" t="s">
        <v>25</v>
      </c>
      <c r="AC282" t="s">
        <v>22</v>
      </c>
      <c r="AD282" t="s">
        <v>1749</v>
      </c>
      <c r="AE282">
        <v>1.5424127032694312E-4</v>
      </c>
      <c r="AG282" t="s">
        <v>99</v>
      </c>
      <c r="AH282" t="s">
        <v>1749</v>
      </c>
      <c r="AI282">
        <v>0</v>
      </c>
    </row>
    <row r="283" spans="5:35" x14ac:dyDescent="0.45">
      <c r="E283" t="s">
        <v>1534</v>
      </c>
      <c r="G283" t="s">
        <v>160</v>
      </c>
      <c r="I283" t="s">
        <v>249</v>
      </c>
      <c r="J283" t="s">
        <v>1750</v>
      </c>
      <c r="K283">
        <v>1.2226107376000001E-4</v>
      </c>
      <c r="L283" t="s">
        <v>251</v>
      </c>
      <c r="N283" t="s">
        <v>419</v>
      </c>
      <c r="O283" t="s">
        <v>1750</v>
      </c>
      <c r="P283">
        <v>5.0830620409403802E-5</v>
      </c>
      <c r="Q283" t="s">
        <v>251</v>
      </c>
      <c r="S283" t="s">
        <v>420</v>
      </c>
      <c r="T283" t="s">
        <v>1750</v>
      </c>
      <c r="U283">
        <v>1.4264120743535917E-5</v>
      </c>
      <c r="V283" t="s">
        <v>251</v>
      </c>
      <c r="X283">
        <v>1.1415525114155251E-4</v>
      </c>
      <c r="Y283">
        <v>1.4585353321897094E-4</v>
      </c>
      <c r="Z283" t="s">
        <v>1750</v>
      </c>
      <c r="AA283" t="s">
        <v>25</v>
      </c>
      <c r="AC283" t="s">
        <v>22</v>
      </c>
      <c r="AD283" t="s">
        <v>1750</v>
      </c>
      <c r="AE283">
        <v>1.567014135216651E-4</v>
      </c>
      <c r="AG283" t="s">
        <v>99</v>
      </c>
      <c r="AH283" t="s">
        <v>1750</v>
      </c>
      <c r="AI283">
        <v>0</v>
      </c>
    </row>
    <row r="284" spans="5:35" x14ac:dyDescent="0.45">
      <c r="E284" t="s">
        <v>1535</v>
      </c>
      <c r="G284" t="s">
        <v>160</v>
      </c>
      <c r="I284" t="s">
        <v>249</v>
      </c>
      <c r="J284" t="s">
        <v>1751</v>
      </c>
      <c r="K284">
        <v>1.5525457659810001E-4</v>
      </c>
      <c r="L284" t="s">
        <v>251</v>
      </c>
      <c r="N284" t="s">
        <v>419</v>
      </c>
      <c r="O284" t="s">
        <v>1751</v>
      </c>
      <c r="P284">
        <v>3.5112707872154114E-5</v>
      </c>
      <c r="Q284" t="s">
        <v>251</v>
      </c>
      <c r="S284" t="s">
        <v>420</v>
      </c>
      <c r="T284" t="s">
        <v>1751</v>
      </c>
      <c r="U284">
        <v>1.749222294057139E-5</v>
      </c>
      <c r="V284" t="s">
        <v>251</v>
      </c>
      <c r="X284">
        <v>1.1415525114155251E-4</v>
      </c>
      <c r="Y284">
        <v>1.4452759200788939E-4</v>
      </c>
      <c r="Z284" t="s">
        <v>1751</v>
      </c>
      <c r="AA284" t="s">
        <v>25</v>
      </c>
      <c r="AC284" t="s">
        <v>22</v>
      </c>
      <c r="AD284" t="s">
        <v>1751</v>
      </c>
      <c r="AE284">
        <v>1.5763662534145048E-4</v>
      </c>
      <c r="AG284" t="s">
        <v>99</v>
      </c>
      <c r="AH284" t="s">
        <v>1751</v>
      </c>
      <c r="AI284">
        <v>0</v>
      </c>
    </row>
    <row r="285" spans="5:35" x14ac:dyDescent="0.45">
      <c r="E285" t="s">
        <v>1536</v>
      </c>
      <c r="G285" t="s">
        <v>160</v>
      </c>
      <c r="I285" t="s">
        <v>249</v>
      </c>
      <c r="J285" t="s">
        <v>1752</v>
      </c>
      <c r="K285">
        <v>1.696881770316E-4</v>
      </c>
      <c r="L285" t="s">
        <v>251</v>
      </c>
      <c r="N285" t="s">
        <v>419</v>
      </c>
      <c r="O285" t="s">
        <v>1752</v>
      </c>
      <c r="P285">
        <v>3.0013062945982579E-5</v>
      </c>
      <c r="Q285" t="s">
        <v>251</v>
      </c>
      <c r="S285" t="s">
        <v>420</v>
      </c>
      <c r="T285" t="s">
        <v>1752</v>
      </c>
      <c r="U285">
        <v>2.0637779984273074E-5</v>
      </c>
      <c r="V285" t="s">
        <v>251</v>
      </c>
      <c r="X285">
        <v>1.1415525114155251E-4</v>
      </c>
      <c r="Y285">
        <v>1.408812536774151E-4</v>
      </c>
      <c r="Z285" t="s">
        <v>1752</v>
      </c>
      <c r="AA285" t="s">
        <v>25</v>
      </c>
      <c r="AC285" t="s">
        <v>22</v>
      </c>
      <c r="AD285" t="s">
        <v>1752</v>
      </c>
      <c r="AE285">
        <v>1.64183108079948E-4</v>
      </c>
      <c r="AG285" t="s">
        <v>99</v>
      </c>
      <c r="AH285" t="s">
        <v>1752</v>
      </c>
      <c r="AI285">
        <v>0</v>
      </c>
    </row>
    <row r="286" spans="5:35" x14ac:dyDescent="0.45">
      <c r="E286" t="s">
        <v>1537</v>
      </c>
      <c r="G286" t="s">
        <v>160</v>
      </c>
      <c r="I286" t="s">
        <v>249</v>
      </c>
      <c r="J286" t="s">
        <v>1753</v>
      </c>
      <c r="K286">
        <v>1.8930003181229999E-4</v>
      </c>
      <c r="L286" t="s">
        <v>251</v>
      </c>
      <c r="N286" t="s">
        <v>419</v>
      </c>
      <c r="O286" t="s">
        <v>1753</v>
      </c>
      <c r="P286">
        <v>2.8244600382136912E-5</v>
      </c>
      <c r="Q286" t="s">
        <v>251</v>
      </c>
      <c r="S286" t="s">
        <v>420</v>
      </c>
      <c r="T286" t="s">
        <v>1753</v>
      </c>
      <c r="U286">
        <v>2.3396070678628241E-5</v>
      </c>
      <c r="V286" t="s">
        <v>251</v>
      </c>
      <c r="X286">
        <v>1.1415525114155251E-4</v>
      </c>
      <c r="Y286">
        <v>1.4054976837464471E-4</v>
      </c>
      <c r="Z286" t="s">
        <v>1753</v>
      </c>
      <c r="AA286" t="s">
        <v>25</v>
      </c>
      <c r="AC286" t="s">
        <v>22</v>
      </c>
      <c r="AD286" t="s">
        <v>1753</v>
      </c>
      <c r="AE286">
        <v>1.5783915528968422E-4</v>
      </c>
      <c r="AG286" t="s">
        <v>99</v>
      </c>
      <c r="AH286" t="s">
        <v>1753</v>
      </c>
      <c r="AI286">
        <v>0</v>
      </c>
    </row>
    <row r="287" spans="5:35" x14ac:dyDescent="0.45">
      <c r="E287" t="s">
        <v>1538</v>
      </c>
      <c r="G287" t="s">
        <v>160</v>
      </c>
      <c r="I287" t="s">
        <v>249</v>
      </c>
      <c r="J287" t="s">
        <v>1754</v>
      </c>
      <c r="K287">
        <v>2.1946110313049999E-4</v>
      </c>
      <c r="L287" t="s">
        <v>251</v>
      </c>
      <c r="N287" t="s">
        <v>419</v>
      </c>
      <c r="O287" t="s">
        <v>1754</v>
      </c>
      <c r="P287">
        <v>2.51939761788934E-5</v>
      </c>
      <c r="Q287" t="s">
        <v>251</v>
      </c>
      <c r="S287" t="s">
        <v>420</v>
      </c>
      <c r="T287" t="s">
        <v>1754</v>
      </c>
      <c r="U287">
        <v>2.3221233194370403E-5</v>
      </c>
      <c r="V287" t="s">
        <v>251</v>
      </c>
      <c r="X287">
        <v>1.1415525114155251E-4</v>
      </c>
      <c r="Y287">
        <v>1.4253868019126702E-4</v>
      </c>
      <c r="Z287" t="s">
        <v>1754</v>
      </c>
      <c r="AA287" t="s">
        <v>25</v>
      </c>
      <c r="AC287" t="s">
        <v>22</v>
      </c>
      <c r="AD287" t="s">
        <v>1754</v>
      </c>
      <c r="AE287">
        <v>1.4293533380495195E-4</v>
      </c>
      <c r="AG287" t="s">
        <v>99</v>
      </c>
      <c r="AH287" t="s">
        <v>1754</v>
      </c>
      <c r="AI287">
        <v>0</v>
      </c>
    </row>
    <row r="288" spans="5:35" x14ac:dyDescent="0.45">
      <c r="E288" t="s">
        <v>1539</v>
      </c>
      <c r="G288" t="s">
        <v>160</v>
      </c>
      <c r="I288" t="s">
        <v>249</v>
      </c>
      <c r="J288" t="s">
        <v>1755</v>
      </c>
      <c r="K288">
        <v>2.0865012356750001E-4</v>
      </c>
      <c r="L288" t="s">
        <v>251</v>
      </c>
      <c r="N288" t="s">
        <v>419</v>
      </c>
      <c r="O288" t="s">
        <v>1755</v>
      </c>
      <c r="P288">
        <v>2.1014377054220748E-5</v>
      </c>
      <c r="Q288" t="s">
        <v>251</v>
      </c>
      <c r="S288" t="s">
        <v>420</v>
      </c>
      <c r="T288" t="s">
        <v>1755</v>
      </c>
      <c r="U288">
        <v>2.1936469068316424E-5</v>
      </c>
      <c r="V288" t="s">
        <v>251</v>
      </c>
      <c r="X288">
        <v>1.1415525114155251E-4</v>
      </c>
      <c r="Y288">
        <v>1.4883690094390442E-4</v>
      </c>
      <c r="Z288" t="s">
        <v>1755</v>
      </c>
      <c r="AA288" t="s">
        <v>25</v>
      </c>
      <c r="AC288" t="s">
        <v>22</v>
      </c>
      <c r="AD288" t="s">
        <v>1755</v>
      </c>
      <c r="AE288">
        <v>1.2483273049076278E-4</v>
      </c>
      <c r="AG288" t="s">
        <v>99</v>
      </c>
      <c r="AH288" t="s">
        <v>1755</v>
      </c>
      <c r="AI288">
        <v>0</v>
      </c>
    </row>
    <row r="289" spans="5:35" x14ac:dyDescent="0.45">
      <c r="E289" t="s">
        <v>1540</v>
      </c>
      <c r="G289" t="s">
        <v>160</v>
      </c>
      <c r="I289" t="s">
        <v>249</v>
      </c>
      <c r="J289" t="s">
        <v>1756</v>
      </c>
      <c r="K289">
        <v>1.7596167475599999E-4</v>
      </c>
      <c r="L289" t="s">
        <v>251</v>
      </c>
      <c r="N289" t="s">
        <v>419</v>
      </c>
      <c r="O289" t="s">
        <v>1756</v>
      </c>
      <c r="P289">
        <v>1.7997948927671602E-5</v>
      </c>
      <c r="Q289" t="s">
        <v>251</v>
      </c>
      <c r="S289" t="s">
        <v>420</v>
      </c>
      <c r="T289" t="s">
        <v>1756</v>
      </c>
      <c r="U289">
        <v>2.1613565986434916E-5</v>
      </c>
      <c r="V289" t="s">
        <v>251</v>
      </c>
      <c r="X289">
        <v>1.1415525114155251E-4</v>
      </c>
      <c r="Y289">
        <v>1.5049432745775637E-4</v>
      </c>
      <c r="Z289" t="s">
        <v>1756</v>
      </c>
      <c r="AA289" t="s">
        <v>25</v>
      </c>
      <c r="AC289" t="s">
        <v>22</v>
      </c>
      <c r="AD289" t="s">
        <v>1756</v>
      </c>
      <c r="AE289">
        <v>1.1412247028710623E-4</v>
      </c>
      <c r="AG289" t="s">
        <v>99</v>
      </c>
      <c r="AH289" t="s">
        <v>1756</v>
      </c>
      <c r="AI289">
        <v>0</v>
      </c>
    </row>
    <row r="290" spans="5:35" x14ac:dyDescent="0.45">
      <c r="E290" t="s">
        <v>1541</v>
      </c>
      <c r="G290" t="s">
        <v>160</v>
      </c>
      <c r="I290" t="s">
        <v>249</v>
      </c>
      <c r="J290" t="s">
        <v>1757</v>
      </c>
      <c r="K290">
        <v>1.6168523519E-4</v>
      </c>
      <c r="L290" t="s">
        <v>251</v>
      </c>
      <c r="N290" t="s">
        <v>419</v>
      </c>
      <c r="O290" t="s">
        <v>1757</v>
      </c>
      <c r="P290">
        <v>1.7703509791001266E-5</v>
      </c>
      <c r="Q290" t="s">
        <v>251</v>
      </c>
      <c r="S290" t="s">
        <v>420</v>
      </c>
      <c r="T290" t="s">
        <v>1757</v>
      </c>
      <c r="U290">
        <v>2.3594137919221004E-5</v>
      </c>
      <c r="V290" t="s">
        <v>251</v>
      </c>
      <c r="X290">
        <v>1.1415525114155251E-4</v>
      </c>
      <c r="Y290">
        <v>1.7237235744060203E-4</v>
      </c>
      <c r="Z290" t="s">
        <v>1757</v>
      </c>
      <c r="AA290" t="s">
        <v>25</v>
      </c>
      <c r="AC290" t="s">
        <v>22</v>
      </c>
      <c r="AD290" t="s">
        <v>1757</v>
      </c>
      <c r="AE290">
        <v>9.3440588514528139E-5</v>
      </c>
      <c r="AG290" t="s">
        <v>99</v>
      </c>
      <c r="AH290" t="s">
        <v>1757</v>
      </c>
      <c r="AI290">
        <v>0</v>
      </c>
    </row>
    <row r="291" spans="5:35" x14ac:dyDescent="0.45">
      <c r="E291" t="s">
        <v>1542</v>
      </c>
      <c r="G291" t="s">
        <v>160</v>
      </c>
      <c r="I291" t="s">
        <v>249</v>
      </c>
      <c r="J291" t="s">
        <v>1758</v>
      </c>
      <c r="K291">
        <v>1.5011290284659999E-4</v>
      </c>
      <c r="L291" t="s">
        <v>251</v>
      </c>
      <c r="N291" t="s">
        <v>419</v>
      </c>
      <c r="O291" t="s">
        <v>1758</v>
      </c>
      <c r="P291">
        <v>2.0196351312027064E-5</v>
      </c>
      <c r="Q291" t="s">
        <v>251</v>
      </c>
      <c r="S291" t="s">
        <v>420</v>
      </c>
      <c r="T291" t="s">
        <v>1758</v>
      </c>
      <c r="U291">
        <v>2.9223122869612465E-5</v>
      </c>
      <c r="V291" t="s">
        <v>251</v>
      </c>
      <c r="X291">
        <v>1.1415525114155251E-4</v>
      </c>
      <c r="Y291">
        <v>2.2209515285616027E-4</v>
      </c>
      <c r="Z291" t="s">
        <v>1758</v>
      </c>
      <c r="AA291" t="s">
        <v>25</v>
      </c>
      <c r="AC291" t="s">
        <v>22</v>
      </c>
      <c r="AD291" t="s">
        <v>1758</v>
      </c>
      <c r="AE291">
        <v>8.9622303314003203E-5</v>
      </c>
      <c r="AG291" t="s">
        <v>99</v>
      </c>
      <c r="AH291" t="s">
        <v>1758</v>
      </c>
      <c r="AI291">
        <v>0</v>
      </c>
    </row>
    <row r="292" spans="5:35" x14ac:dyDescent="0.45">
      <c r="E292" t="s">
        <v>1543</v>
      </c>
      <c r="G292" t="s">
        <v>160</v>
      </c>
      <c r="I292" t="s">
        <v>249</v>
      </c>
      <c r="J292" t="s">
        <v>1759</v>
      </c>
      <c r="K292">
        <v>1.216439947333E-4</v>
      </c>
      <c r="L292" t="s">
        <v>251</v>
      </c>
      <c r="N292" t="s">
        <v>419</v>
      </c>
      <c r="O292" t="s">
        <v>1759</v>
      </c>
      <c r="P292">
        <v>2.745978935061117E-5</v>
      </c>
      <c r="Q292" t="s">
        <v>251</v>
      </c>
      <c r="S292" t="s">
        <v>420</v>
      </c>
      <c r="T292" t="s">
        <v>1759</v>
      </c>
      <c r="U292">
        <v>3.6400435664759616E-5</v>
      </c>
      <c r="V292" t="s">
        <v>251</v>
      </c>
      <c r="X292">
        <v>1.1415525114155251E-4</v>
      </c>
      <c r="Y292">
        <v>2.2209515285616027E-4</v>
      </c>
      <c r="Z292" t="s">
        <v>1759</v>
      </c>
      <c r="AA292" t="s">
        <v>25</v>
      </c>
      <c r="AC292" t="s">
        <v>22</v>
      </c>
      <c r="AD292" t="s">
        <v>1759</v>
      </c>
      <c r="AE292">
        <v>8.5631271981161219E-5</v>
      </c>
      <c r="AG292" t="s">
        <v>99</v>
      </c>
      <c r="AH292" t="s">
        <v>1759</v>
      </c>
      <c r="AI292">
        <v>0</v>
      </c>
    </row>
    <row r="293" spans="5:35" x14ac:dyDescent="0.45">
      <c r="E293" t="s">
        <v>1544</v>
      </c>
      <c r="G293" t="s">
        <v>160</v>
      </c>
      <c r="I293" t="s">
        <v>249</v>
      </c>
      <c r="J293" t="s">
        <v>1760</v>
      </c>
      <c r="K293">
        <v>1.2428885350110892E-5</v>
      </c>
      <c r="L293" t="s">
        <v>251</v>
      </c>
      <c r="N293" t="s">
        <v>419</v>
      </c>
      <c r="O293" t="s">
        <v>1760</v>
      </c>
      <c r="P293">
        <v>4.2288569141169427E-5</v>
      </c>
      <c r="Q293" t="s">
        <v>251</v>
      </c>
      <c r="S293" t="s">
        <v>420</v>
      </c>
      <c r="T293" t="s">
        <v>1760</v>
      </c>
      <c r="U293">
        <v>4.4276185361377202E-5</v>
      </c>
      <c r="V293" t="s">
        <v>251</v>
      </c>
      <c r="X293">
        <v>1.1415525114155251E-4</v>
      </c>
      <c r="Y293">
        <v>1.7237235744060203E-4</v>
      </c>
      <c r="Z293" t="s">
        <v>1760</v>
      </c>
      <c r="AA293" t="s">
        <v>25</v>
      </c>
      <c r="AC293" t="s">
        <v>22</v>
      </c>
      <c r="AD293" t="s">
        <v>1760</v>
      </c>
      <c r="AE293">
        <v>8.7168116882464553E-5</v>
      </c>
      <c r="AG293" t="s">
        <v>99</v>
      </c>
      <c r="AH293" t="s">
        <v>1760</v>
      </c>
      <c r="AI293">
        <v>0</v>
      </c>
    </row>
    <row r="294" spans="5:35" x14ac:dyDescent="0.45">
      <c r="E294" t="s">
        <v>1545</v>
      </c>
      <c r="G294" t="s">
        <v>160</v>
      </c>
      <c r="I294" t="s">
        <v>249</v>
      </c>
      <c r="J294" t="s">
        <v>1761</v>
      </c>
      <c r="K294">
        <v>0</v>
      </c>
      <c r="L294" t="s">
        <v>251</v>
      </c>
      <c r="N294" t="s">
        <v>419</v>
      </c>
      <c r="O294" t="s">
        <v>1761</v>
      </c>
      <c r="P294">
        <v>5.6402555173987077E-5</v>
      </c>
      <c r="Q294" t="s">
        <v>251</v>
      </c>
      <c r="S294" t="s">
        <v>420</v>
      </c>
      <c r="T294" t="s">
        <v>1761</v>
      </c>
      <c r="U294">
        <v>5.4381101703525457E-5</v>
      </c>
      <c r="V294" t="s">
        <v>251</v>
      </c>
      <c r="X294">
        <v>1.1415525114155251E-4</v>
      </c>
      <c r="Y294">
        <v>1.5579809230208258E-4</v>
      </c>
      <c r="Z294" t="s">
        <v>1761</v>
      </c>
      <c r="AA294" t="s">
        <v>25</v>
      </c>
      <c r="AC294" t="s">
        <v>22</v>
      </c>
      <c r="AD294" t="s">
        <v>1761</v>
      </c>
      <c r="AE294">
        <v>9.2684079590243164E-5</v>
      </c>
      <c r="AG294" t="s">
        <v>99</v>
      </c>
      <c r="AH294" t="s">
        <v>1761</v>
      </c>
      <c r="AI294">
        <v>0</v>
      </c>
    </row>
    <row r="295" spans="5:35" x14ac:dyDescent="0.45">
      <c r="E295" t="s">
        <v>1546</v>
      </c>
      <c r="G295" t="s">
        <v>160</v>
      </c>
      <c r="I295" t="s">
        <v>249</v>
      </c>
      <c r="J295" t="s">
        <v>1762</v>
      </c>
      <c r="K295">
        <v>0</v>
      </c>
      <c r="L295" t="s">
        <v>251</v>
      </c>
      <c r="N295" t="s">
        <v>419</v>
      </c>
      <c r="O295" t="s">
        <v>1762</v>
      </c>
      <c r="P295">
        <v>6.6888022832068092E-5</v>
      </c>
      <c r="Q295" t="s">
        <v>251</v>
      </c>
      <c r="S295" t="s">
        <v>420</v>
      </c>
      <c r="T295" t="s">
        <v>1762</v>
      </c>
      <c r="U295">
        <v>6.3809374656833659E-5</v>
      </c>
      <c r="V295" t="s">
        <v>251</v>
      </c>
      <c r="X295">
        <v>1.1415525114155251E-4</v>
      </c>
      <c r="Y295">
        <v>1.093901499142282E-4</v>
      </c>
      <c r="Z295" t="s">
        <v>1762</v>
      </c>
      <c r="AA295" t="s">
        <v>25</v>
      </c>
      <c r="AC295" t="s">
        <v>22</v>
      </c>
      <c r="AD295" t="s">
        <v>1762</v>
      </c>
      <c r="AE295">
        <v>1.1050671503481509E-4</v>
      </c>
      <c r="AG295" t="s">
        <v>99</v>
      </c>
      <c r="AH295" t="s">
        <v>1762</v>
      </c>
      <c r="AI295">
        <v>0</v>
      </c>
    </row>
    <row r="296" spans="5:35" x14ac:dyDescent="0.45">
      <c r="E296" t="s">
        <v>1547</v>
      </c>
      <c r="G296" t="s">
        <v>160</v>
      </c>
      <c r="I296" t="s">
        <v>249</v>
      </c>
      <c r="J296" t="s">
        <v>1763</v>
      </c>
      <c r="K296">
        <v>0</v>
      </c>
      <c r="L296" t="s">
        <v>251</v>
      </c>
      <c r="N296" t="s">
        <v>419</v>
      </c>
      <c r="O296" t="s">
        <v>1763</v>
      </c>
      <c r="P296">
        <v>7.2816103561015492E-5</v>
      </c>
      <c r="Q296" t="s">
        <v>251</v>
      </c>
      <c r="S296" t="s">
        <v>420</v>
      </c>
      <c r="T296" t="s">
        <v>1763</v>
      </c>
      <c r="U296">
        <v>6.9976252493457954E-5</v>
      </c>
      <c r="V296" t="s">
        <v>251</v>
      </c>
      <c r="X296">
        <v>1.1415525114155251E-4</v>
      </c>
      <c r="Y296">
        <v>7.9556472664893237E-5</v>
      </c>
      <c r="Z296" t="s">
        <v>1763</v>
      </c>
      <c r="AA296" t="s">
        <v>25</v>
      </c>
      <c r="AC296" t="s">
        <v>22</v>
      </c>
      <c r="AD296" t="s">
        <v>1763</v>
      </c>
      <c r="AE296">
        <v>1.2981854127522356E-4</v>
      </c>
      <c r="AG296" t="s">
        <v>99</v>
      </c>
      <c r="AH296" t="s">
        <v>1763</v>
      </c>
      <c r="AI296">
        <v>0</v>
      </c>
    </row>
    <row r="297" spans="5:35" x14ac:dyDescent="0.45">
      <c r="E297" t="s">
        <v>1548</v>
      </c>
      <c r="G297" t="s">
        <v>160</v>
      </c>
      <c r="I297" t="s">
        <v>249</v>
      </c>
      <c r="J297" t="s">
        <v>1764</v>
      </c>
      <c r="K297">
        <v>0</v>
      </c>
      <c r="L297" t="s">
        <v>251</v>
      </c>
      <c r="N297" t="s">
        <v>419</v>
      </c>
      <c r="O297" t="s">
        <v>1764</v>
      </c>
      <c r="P297">
        <v>7.6514065811621865E-5</v>
      </c>
      <c r="Q297" t="s">
        <v>251</v>
      </c>
      <c r="S297" t="s">
        <v>420</v>
      </c>
      <c r="T297" t="s">
        <v>1764</v>
      </c>
      <c r="U297">
        <v>7.1244115449849236E-5</v>
      </c>
      <c r="V297" t="s">
        <v>251</v>
      </c>
      <c r="X297">
        <v>1.1415525114155251E-4</v>
      </c>
      <c r="Y297">
        <v>5.6352501470966035E-5</v>
      </c>
      <c r="Z297" t="s">
        <v>1764</v>
      </c>
      <c r="AA297" t="s">
        <v>25</v>
      </c>
      <c r="AC297" t="s">
        <v>22</v>
      </c>
      <c r="AD297" t="s">
        <v>1764</v>
      </c>
      <c r="AE297">
        <v>1.4351909659691988E-4</v>
      </c>
      <c r="AG297" t="s">
        <v>99</v>
      </c>
      <c r="AH297" t="s">
        <v>1764</v>
      </c>
      <c r="AI297">
        <v>0</v>
      </c>
    </row>
    <row r="298" spans="5:35" x14ac:dyDescent="0.45">
      <c r="E298" t="s">
        <v>1549</v>
      </c>
      <c r="G298" t="s">
        <v>160</v>
      </c>
      <c r="I298" t="s">
        <v>249</v>
      </c>
      <c r="J298" t="s">
        <v>1765</v>
      </c>
      <c r="K298">
        <v>0</v>
      </c>
      <c r="L298" t="s">
        <v>251</v>
      </c>
      <c r="N298" t="s">
        <v>419</v>
      </c>
      <c r="O298" t="s">
        <v>1765</v>
      </c>
      <c r="P298">
        <v>7.9047648557271409E-5</v>
      </c>
      <c r="Q298" t="s">
        <v>251</v>
      </c>
      <c r="S298" t="s">
        <v>420</v>
      </c>
      <c r="T298" t="s">
        <v>1765</v>
      </c>
      <c r="U298">
        <v>7.1922379525709085E-5</v>
      </c>
      <c r="V298" t="s">
        <v>251</v>
      </c>
      <c r="X298">
        <v>1.1415525114155251E-4</v>
      </c>
      <c r="Y298">
        <v>2.9833677249334962E-5</v>
      </c>
      <c r="Z298" t="s">
        <v>1765</v>
      </c>
      <c r="AA298" t="s">
        <v>25</v>
      </c>
      <c r="AC298" t="s">
        <v>22</v>
      </c>
      <c r="AD298" t="s">
        <v>1765</v>
      </c>
      <c r="AE298">
        <v>1.5372898869317535E-4</v>
      </c>
      <c r="AG298" t="s">
        <v>99</v>
      </c>
      <c r="AH298" t="s">
        <v>1765</v>
      </c>
      <c r="AI298">
        <v>0</v>
      </c>
    </row>
    <row r="299" spans="5:35" x14ac:dyDescent="0.45">
      <c r="E299" t="s">
        <v>1550</v>
      </c>
      <c r="G299" t="s">
        <v>160</v>
      </c>
      <c r="I299" t="s">
        <v>249</v>
      </c>
      <c r="J299" t="s">
        <v>1766</v>
      </c>
      <c r="K299">
        <v>0</v>
      </c>
      <c r="L299" t="s">
        <v>251</v>
      </c>
      <c r="N299" t="s">
        <v>419</v>
      </c>
      <c r="O299" t="s">
        <v>1766</v>
      </c>
      <c r="P299">
        <v>7.6617204437118535E-5</v>
      </c>
      <c r="Q299" t="s">
        <v>251</v>
      </c>
      <c r="S299" t="s">
        <v>420</v>
      </c>
      <c r="T299" t="s">
        <v>1766</v>
      </c>
      <c r="U299">
        <v>7.1692991873399973E-5</v>
      </c>
      <c r="V299" t="s">
        <v>251</v>
      </c>
      <c r="X299">
        <v>1.1415525114155251E-4</v>
      </c>
      <c r="Y299">
        <v>2.1546544680075254E-5</v>
      </c>
      <c r="Z299" t="s">
        <v>1766</v>
      </c>
      <c r="AA299" t="s">
        <v>25</v>
      </c>
      <c r="AC299" t="s">
        <v>22</v>
      </c>
      <c r="AD299" t="s">
        <v>1766</v>
      </c>
      <c r="AE299">
        <v>1.5075060710150221E-4</v>
      </c>
      <c r="AG299" t="s">
        <v>99</v>
      </c>
      <c r="AH299" t="s">
        <v>1766</v>
      </c>
      <c r="AI299">
        <v>0</v>
      </c>
    </row>
    <row r="300" spans="5:35" x14ac:dyDescent="0.45">
      <c r="E300" t="s">
        <v>1551</v>
      </c>
      <c r="G300" t="s">
        <v>160</v>
      </c>
      <c r="I300" t="s">
        <v>249</v>
      </c>
      <c r="J300" t="s">
        <v>1767</v>
      </c>
      <c r="K300">
        <v>0</v>
      </c>
      <c r="L300" t="s">
        <v>251</v>
      </c>
      <c r="N300" t="s">
        <v>419</v>
      </c>
      <c r="O300" t="s">
        <v>1767</v>
      </c>
      <c r="P300">
        <v>7.273959307286596E-5</v>
      </c>
      <c r="Q300" t="s">
        <v>251</v>
      </c>
      <c r="S300" t="s">
        <v>420</v>
      </c>
      <c r="T300" t="s">
        <v>1767</v>
      </c>
      <c r="U300">
        <v>7.0449597454512827E-5</v>
      </c>
      <c r="V300" t="s">
        <v>251</v>
      </c>
      <c r="X300">
        <v>1.1415525114155251E-4</v>
      </c>
      <c r="Y300">
        <v>1.4916838624667481E-5</v>
      </c>
      <c r="Z300" t="s">
        <v>1767</v>
      </c>
      <c r="AA300" t="s">
        <v>25</v>
      </c>
      <c r="AC300" t="s">
        <v>22</v>
      </c>
      <c r="AD300" t="s">
        <v>1767</v>
      </c>
      <c r="AE300">
        <v>1.4220860869658373E-4</v>
      </c>
      <c r="AG300" t="s">
        <v>99</v>
      </c>
      <c r="AH300" t="s">
        <v>1767</v>
      </c>
      <c r="AI300">
        <v>0</v>
      </c>
    </row>
    <row r="301" spans="5:35" x14ac:dyDescent="0.45">
      <c r="E301" t="s">
        <v>1552</v>
      </c>
      <c r="G301" t="s">
        <v>160</v>
      </c>
      <c r="I301" t="s">
        <v>249</v>
      </c>
      <c r="J301" t="s">
        <v>1768</v>
      </c>
      <c r="K301">
        <v>0</v>
      </c>
      <c r="L301" t="s">
        <v>251</v>
      </c>
      <c r="N301" t="s">
        <v>419</v>
      </c>
      <c r="O301" t="s">
        <v>1768</v>
      </c>
      <c r="P301">
        <v>7.0981401862967494E-5</v>
      </c>
      <c r="Q301" t="s">
        <v>251</v>
      </c>
      <c r="S301" t="s">
        <v>420</v>
      </c>
      <c r="T301" t="s">
        <v>1768</v>
      </c>
      <c r="U301">
        <v>6.8307130909133667E-5</v>
      </c>
      <c r="V301" t="s">
        <v>251</v>
      </c>
      <c r="X301">
        <v>1.1415525114155251E-4</v>
      </c>
      <c r="Y301">
        <v>1.6574265138519424E-5</v>
      </c>
      <c r="Z301" t="s">
        <v>1768</v>
      </c>
      <c r="AA301" t="s">
        <v>25</v>
      </c>
      <c r="AC301" t="s">
        <v>22</v>
      </c>
      <c r="AD301" t="s">
        <v>1768</v>
      </c>
      <c r="AE301">
        <v>1.4069559084801375E-4</v>
      </c>
      <c r="AG301" t="s">
        <v>99</v>
      </c>
      <c r="AH301" t="s">
        <v>1768</v>
      </c>
      <c r="AI301">
        <v>0</v>
      </c>
    </row>
    <row r="302" spans="5:35" x14ac:dyDescent="0.45">
      <c r="E302" t="s">
        <v>1553</v>
      </c>
      <c r="G302" t="s">
        <v>160</v>
      </c>
      <c r="I302" t="s">
        <v>249</v>
      </c>
      <c r="J302" t="s">
        <v>1769</v>
      </c>
      <c r="K302">
        <v>0</v>
      </c>
      <c r="L302" t="s">
        <v>251</v>
      </c>
      <c r="N302" t="s">
        <v>419</v>
      </c>
      <c r="O302" t="s">
        <v>1769</v>
      </c>
      <c r="P302">
        <v>7.180892540300439E-5</v>
      </c>
      <c r="Q302" t="s">
        <v>251</v>
      </c>
      <c r="S302" t="s">
        <v>420</v>
      </c>
      <c r="T302" t="s">
        <v>1769</v>
      </c>
      <c r="U302">
        <v>6.5467309136742574E-5</v>
      </c>
      <c r="V302" t="s">
        <v>251</v>
      </c>
      <c r="X302">
        <v>1.1415525114155251E-4</v>
      </c>
      <c r="Y302">
        <v>1.4585353321897093E-5</v>
      </c>
      <c r="Z302" t="s">
        <v>1769</v>
      </c>
      <c r="AA302" t="s">
        <v>25</v>
      </c>
      <c r="AC302" t="s">
        <v>22</v>
      </c>
      <c r="AD302" t="s">
        <v>1769</v>
      </c>
      <c r="AE302">
        <v>1.4129722392953174E-4</v>
      </c>
      <c r="AG302" t="s">
        <v>99</v>
      </c>
      <c r="AH302" t="s">
        <v>1769</v>
      </c>
      <c r="AI302">
        <v>0</v>
      </c>
    </row>
    <row r="303" spans="5:35" x14ac:dyDescent="0.45">
      <c r="E303" t="s">
        <v>1554</v>
      </c>
      <c r="G303" t="s">
        <v>160</v>
      </c>
      <c r="I303" t="s">
        <v>249</v>
      </c>
      <c r="J303" t="s">
        <v>1770</v>
      </c>
      <c r="K303">
        <v>0</v>
      </c>
      <c r="L303" t="s">
        <v>251</v>
      </c>
      <c r="N303" t="s">
        <v>419</v>
      </c>
      <c r="O303" t="s">
        <v>1770</v>
      </c>
      <c r="P303">
        <v>7.2581937210132203E-5</v>
      </c>
      <c r="Q303" t="s">
        <v>251</v>
      </c>
      <c r="S303" t="s">
        <v>420</v>
      </c>
      <c r="T303" t="s">
        <v>1770</v>
      </c>
      <c r="U303">
        <v>6.2784384162534073E-5</v>
      </c>
      <c r="V303" t="s">
        <v>251</v>
      </c>
      <c r="X303">
        <v>1.1415525114155251E-4</v>
      </c>
      <c r="Y303">
        <v>2.1215059377304864E-5</v>
      </c>
      <c r="Z303" t="s">
        <v>1770</v>
      </c>
      <c r="AA303" t="s">
        <v>25</v>
      </c>
      <c r="AC303" t="s">
        <v>22</v>
      </c>
      <c r="AD303" t="s">
        <v>1770</v>
      </c>
      <c r="AE303">
        <v>1.4042157974157986E-4</v>
      </c>
      <c r="AG303" t="s">
        <v>99</v>
      </c>
      <c r="AH303" t="s">
        <v>1770</v>
      </c>
      <c r="AI303">
        <v>0</v>
      </c>
    </row>
    <row r="304" spans="5:35" x14ac:dyDescent="0.45">
      <c r="E304" t="s">
        <v>1555</v>
      </c>
      <c r="G304" t="s">
        <v>160</v>
      </c>
      <c r="I304" t="s">
        <v>249</v>
      </c>
      <c r="J304" t="s">
        <v>1771</v>
      </c>
      <c r="K304">
        <v>0</v>
      </c>
      <c r="L304" t="s">
        <v>251</v>
      </c>
      <c r="N304" t="s">
        <v>419</v>
      </c>
      <c r="O304" t="s">
        <v>1771</v>
      </c>
      <c r="P304">
        <v>7.5361079953453565E-5</v>
      </c>
      <c r="Q304" t="s">
        <v>251</v>
      </c>
      <c r="S304" t="s">
        <v>420</v>
      </c>
      <c r="T304" t="s">
        <v>1771</v>
      </c>
      <c r="U304">
        <v>6.0968634426848068E-5</v>
      </c>
      <c r="V304" t="s">
        <v>251</v>
      </c>
      <c r="X304">
        <v>1.1415525114155251E-4</v>
      </c>
      <c r="Y304">
        <v>5.7678442682047593E-5</v>
      </c>
      <c r="Z304" t="s">
        <v>1771</v>
      </c>
      <c r="AA304" t="s">
        <v>25</v>
      </c>
      <c r="AC304" t="s">
        <v>22</v>
      </c>
      <c r="AD304" t="s">
        <v>1771</v>
      </c>
      <c r="AE304">
        <v>1.4042157974157986E-4</v>
      </c>
      <c r="AG304" t="s">
        <v>99</v>
      </c>
      <c r="AH304" t="s">
        <v>1771</v>
      </c>
      <c r="AI304">
        <v>0</v>
      </c>
    </row>
    <row r="305" spans="5:35" x14ac:dyDescent="0.45">
      <c r="E305" t="s">
        <v>1556</v>
      </c>
      <c r="G305" t="s">
        <v>160</v>
      </c>
      <c r="I305" t="s">
        <v>249</v>
      </c>
      <c r="J305" t="s">
        <v>1772</v>
      </c>
      <c r="K305">
        <v>0</v>
      </c>
      <c r="L305" t="s">
        <v>251</v>
      </c>
      <c r="N305" t="s">
        <v>419</v>
      </c>
      <c r="O305" t="s">
        <v>1772</v>
      </c>
      <c r="P305">
        <v>7.9015773401866057E-5</v>
      </c>
      <c r="Q305" t="s">
        <v>251</v>
      </c>
      <c r="S305" t="s">
        <v>420</v>
      </c>
      <c r="T305" t="s">
        <v>1772</v>
      </c>
      <c r="U305">
        <v>6.0176738872389353E-5</v>
      </c>
      <c r="V305" t="s">
        <v>251</v>
      </c>
      <c r="X305">
        <v>1.1415525114155251E-4</v>
      </c>
      <c r="Y305">
        <v>1.6905750441289813E-4</v>
      </c>
      <c r="Z305" t="s">
        <v>1772</v>
      </c>
      <c r="AA305" t="s">
        <v>25</v>
      </c>
      <c r="AC305" t="s">
        <v>22</v>
      </c>
      <c r="AD305" t="s">
        <v>1772</v>
      </c>
      <c r="AE305">
        <v>1.4339400457006961E-4</v>
      </c>
      <c r="AG305" t="s">
        <v>99</v>
      </c>
      <c r="AH305" t="s">
        <v>1772</v>
      </c>
      <c r="AI305">
        <v>0</v>
      </c>
    </row>
    <row r="306" spans="5:35" x14ac:dyDescent="0.45">
      <c r="E306" t="s">
        <v>1557</v>
      </c>
      <c r="G306" t="s">
        <v>160</v>
      </c>
      <c r="I306" t="s">
        <v>249</v>
      </c>
      <c r="J306" t="s">
        <v>1773</v>
      </c>
      <c r="K306">
        <v>2.3156739363138452E-5</v>
      </c>
      <c r="L306" t="s">
        <v>251</v>
      </c>
      <c r="N306" t="s">
        <v>419</v>
      </c>
      <c r="O306" t="s">
        <v>1773</v>
      </c>
      <c r="P306">
        <v>8.113984299010243E-5</v>
      </c>
      <c r="Q306" t="s">
        <v>251</v>
      </c>
      <c r="S306" t="s">
        <v>420</v>
      </c>
      <c r="T306" t="s">
        <v>1773</v>
      </c>
      <c r="U306">
        <v>4.7539187657643331E-5</v>
      </c>
      <c r="V306" t="s">
        <v>251</v>
      </c>
      <c r="X306">
        <v>1.1415525114155251E-4</v>
      </c>
      <c r="Y306">
        <v>1.9060404909297337E-4</v>
      </c>
      <c r="Z306" t="s">
        <v>1773</v>
      </c>
      <c r="AA306" t="s">
        <v>25</v>
      </c>
      <c r="AC306" t="s">
        <v>22</v>
      </c>
      <c r="AD306" t="s">
        <v>1773</v>
      </c>
      <c r="AE306">
        <v>1.5603425604513032E-4</v>
      </c>
      <c r="AG306" t="s">
        <v>99</v>
      </c>
      <c r="AH306" t="s">
        <v>1773</v>
      </c>
      <c r="AI306">
        <v>0</v>
      </c>
    </row>
    <row r="307" spans="5:35" x14ac:dyDescent="0.45">
      <c r="E307" t="s">
        <v>1558</v>
      </c>
      <c r="G307" t="s">
        <v>160</v>
      </c>
      <c r="I307" t="s">
        <v>249</v>
      </c>
      <c r="J307" t="s">
        <v>1774</v>
      </c>
      <c r="K307">
        <v>1.5746078901579999E-4</v>
      </c>
      <c r="L307" t="s">
        <v>251</v>
      </c>
      <c r="N307" t="s">
        <v>419</v>
      </c>
      <c r="O307" t="s">
        <v>1774</v>
      </c>
      <c r="P307">
        <v>7.8307416475509347E-5</v>
      </c>
      <c r="Q307" t="s">
        <v>251</v>
      </c>
      <c r="S307" t="s">
        <v>420</v>
      </c>
      <c r="T307" t="s">
        <v>1774</v>
      </c>
      <c r="U307">
        <v>4.9713013787326468E-5</v>
      </c>
      <c r="V307" t="s">
        <v>251</v>
      </c>
      <c r="X307">
        <v>1.1415525114155251E-4</v>
      </c>
      <c r="Y307">
        <v>1.4585353321897094E-4</v>
      </c>
      <c r="Z307" t="s">
        <v>1774</v>
      </c>
      <c r="AA307" t="s">
        <v>25</v>
      </c>
      <c r="AC307" t="s">
        <v>22</v>
      </c>
      <c r="AD307" t="s">
        <v>1774</v>
      </c>
      <c r="AE307">
        <v>1.6088306127637415E-4</v>
      </c>
      <c r="AG307" t="s">
        <v>99</v>
      </c>
      <c r="AH307" t="s">
        <v>1774</v>
      </c>
      <c r="AI307">
        <v>0</v>
      </c>
    </row>
    <row r="308" spans="5:35" x14ac:dyDescent="0.45">
      <c r="E308" t="s">
        <v>1559</v>
      </c>
      <c r="G308" t="s">
        <v>160</v>
      </c>
      <c r="I308" t="s">
        <v>249</v>
      </c>
      <c r="J308" t="s">
        <v>1775</v>
      </c>
      <c r="K308">
        <v>1.8501170654210001E-4</v>
      </c>
      <c r="L308" t="s">
        <v>251</v>
      </c>
      <c r="N308" t="s">
        <v>419</v>
      </c>
      <c r="O308" t="s">
        <v>1775</v>
      </c>
      <c r="P308">
        <v>6.3996278482488956E-5</v>
      </c>
      <c r="Q308" t="s">
        <v>251</v>
      </c>
      <c r="S308" t="s">
        <v>420</v>
      </c>
      <c r="T308" t="s">
        <v>1775</v>
      </c>
      <c r="U308">
        <v>4.5866832948135722E-5</v>
      </c>
      <c r="V308" t="s">
        <v>251</v>
      </c>
      <c r="X308">
        <v>1.1415525114155251E-4</v>
      </c>
      <c r="Y308">
        <v>1.4452759200788939E-4</v>
      </c>
      <c r="Z308" t="s">
        <v>1775</v>
      </c>
      <c r="AA308" t="s">
        <v>25</v>
      </c>
      <c r="AC308" t="s">
        <v>22</v>
      </c>
      <c r="AD308" t="s">
        <v>1775</v>
      </c>
      <c r="AE308">
        <v>1.6181827309615953E-4</v>
      </c>
      <c r="AG308" t="s">
        <v>99</v>
      </c>
      <c r="AH308" t="s">
        <v>1775</v>
      </c>
      <c r="AI308">
        <v>0</v>
      </c>
    </row>
    <row r="309" spans="5:35" x14ac:dyDescent="0.45">
      <c r="E309" t="s">
        <v>1560</v>
      </c>
      <c r="G309" t="s">
        <v>160</v>
      </c>
      <c r="I309" t="s">
        <v>249</v>
      </c>
      <c r="J309" t="s">
        <v>1776</v>
      </c>
      <c r="K309">
        <v>1.8655330337180001E-4</v>
      </c>
      <c r="L309" t="s">
        <v>251</v>
      </c>
      <c r="N309" t="s">
        <v>419</v>
      </c>
      <c r="O309" t="s">
        <v>1776</v>
      </c>
      <c r="P309">
        <v>5.5343998806899088E-5</v>
      </c>
      <c r="Q309" t="s">
        <v>251</v>
      </c>
      <c r="S309" t="s">
        <v>420</v>
      </c>
      <c r="T309" t="s">
        <v>1776</v>
      </c>
      <c r="U309">
        <v>4.2769740638333361E-5</v>
      </c>
      <c r="V309" t="s">
        <v>251</v>
      </c>
      <c r="X309">
        <v>1.1415525114155251E-4</v>
      </c>
      <c r="Y309">
        <v>1.408812536774151E-4</v>
      </c>
      <c r="Z309" t="s">
        <v>1776</v>
      </c>
      <c r="AA309" t="s">
        <v>25</v>
      </c>
      <c r="AC309" t="s">
        <v>22</v>
      </c>
      <c r="AD309" t="s">
        <v>1776</v>
      </c>
      <c r="AE309">
        <v>1.6727466817210467E-4</v>
      </c>
      <c r="AG309" t="s">
        <v>99</v>
      </c>
      <c r="AH309" t="s">
        <v>1776</v>
      </c>
      <c r="AI309">
        <v>0</v>
      </c>
    </row>
    <row r="310" spans="5:35" x14ac:dyDescent="0.45">
      <c r="E310" t="s">
        <v>1561</v>
      </c>
      <c r="G310" t="s">
        <v>160</v>
      </c>
      <c r="I310" t="s">
        <v>249</v>
      </c>
      <c r="J310" t="s">
        <v>1777</v>
      </c>
      <c r="K310">
        <v>2.05491894306E-4</v>
      </c>
      <c r="L310" t="s">
        <v>251</v>
      </c>
      <c r="N310" t="s">
        <v>419</v>
      </c>
      <c r="O310" t="s">
        <v>1777</v>
      </c>
      <c r="P310">
        <v>5.6083291183281925E-5</v>
      </c>
      <c r="Q310" t="s">
        <v>251</v>
      </c>
      <c r="S310" t="s">
        <v>420</v>
      </c>
      <c r="T310" t="s">
        <v>1777</v>
      </c>
      <c r="U310">
        <v>3.9052288297029673E-5</v>
      </c>
      <c r="V310" t="s">
        <v>251</v>
      </c>
      <c r="X310">
        <v>1.1415525114155251E-4</v>
      </c>
      <c r="Y310">
        <v>1.4054976837464471E-4</v>
      </c>
      <c r="Z310" t="s">
        <v>1777</v>
      </c>
      <c r="AA310" t="s">
        <v>25</v>
      </c>
      <c r="AC310" t="s">
        <v>22</v>
      </c>
      <c r="AD310" t="s">
        <v>1777</v>
      </c>
      <c r="AE310">
        <v>1.6059117988039017E-4</v>
      </c>
      <c r="AG310" t="s">
        <v>99</v>
      </c>
      <c r="AH310" t="s">
        <v>1777</v>
      </c>
      <c r="AI310">
        <v>0</v>
      </c>
    </row>
    <row r="311" spans="5:35" x14ac:dyDescent="0.45">
      <c r="E311" t="s">
        <v>1562</v>
      </c>
      <c r="G311" t="s">
        <v>160</v>
      </c>
      <c r="I311" t="s">
        <v>249</v>
      </c>
      <c r="J311" t="s">
        <v>1778</v>
      </c>
      <c r="K311">
        <v>2.401252757796E-4</v>
      </c>
      <c r="L311" t="s">
        <v>251</v>
      </c>
      <c r="N311" t="s">
        <v>419</v>
      </c>
      <c r="O311" t="s">
        <v>1778</v>
      </c>
      <c r="P311">
        <v>5.6977905008546565E-5</v>
      </c>
      <c r="Q311" t="s">
        <v>251</v>
      </c>
      <c r="S311" t="s">
        <v>420</v>
      </c>
      <c r="T311" t="s">
        <v>1778</v>
      </c>
      <c r="U311">
        <v>3.5666352999957438E-5</v>
      </c>
      <c r="V311" t="s">
        <v>251</v>
      </c>
      <c r="X311">
        <v>1.1415525114155251E-4</v>
      </c>
      <c r="Y311">
        <v>1.4253868019126702E-4</v>
      </c>
      <c r="Z311" t="s">
        <v>1778</v>
      </c>
      <c r="AA311" t="s">
        <v>25</v>
      </c>
      <c r="AC311" t="s">
        <v>22</v>
      </c>
      <c r="AD311" t="s">
        <v>1778</v>
      </c>
      <c r="AE311">
        <v>1.4542526081559067E-4</v>
      </c>
      <c r="AG311" t="s">
        <v>99</v>
      </c>
      <c r="AH311" t="s">
        <v>1778</v>
      </c>
      <c r="AI311">
        <v>0</v>
      </c>
    </row>
    <row r="312" spans="5:35" x14ac:dyDescent="0.45">
      <c r="E312" t="s">
        <v>1563</v>
      </c>
      <c r="G312" t="s">
        <v>160</v>
      </c>
      <c r="I312" t="s">
        <v>249</v>
      </c>
      <c r="J312" t="s">
        <v>1779</v>
      </c>
      <c r="K312">
        <v>2.259939989709E-4</v>
      </c>
      <c r="L312" t="s">
        <v>251</v>
      </c>
      <c r="N312" t="s">
        <v>419</v>
      </c>
      <c r="O312" t="s">
        <v>1779</v>
      </c>
      <c r="P312">
        <v>4.9440621358734384E-5</v>
      </c>
      <c r="Q312" t="s">
        <v>251</v>
      </c>
      <c r="S312" t="s">
        <v>420</v>
      </c>
      <c r="T312" t="s">
        <v>1779</v>
      </c>
      <c r="U312">
        <v>3.2280219722881853E-5</v>
      </c>
      <c r="V312" t="s">
        <v>251</v>
      </c>
      <c r="X312">
        <v>1.1415525114155251E-4</v>
      </c>
      <c r="Y312">
        <v>1.4883690094390442E-4</v>
      </c>
      <c r="Z312" t="s">
        <v>1779</v>
      </c>
      <c r="AA312" t="s">
        <v>25</v>
      </c>
      <c r="AC312" t="s">
        <v>22</v>
      </c>
      <c r="AD312" t="s">
        <v>1779</v>
      </c>
      <c r="AE312">
        <v>1.2507695778127997E-4</v>
      </c>
      <c r="AG312" t="s">
        <v>99</v>
      </c>
      <c r="AH312" t="s">
        <v>1779</v>
      </c>
      <c r="AI312">
        <v>0</v>
      </c>
    </row>
    <row r="313" spans="5:35" x14ac:dyDescent="0.45">
      <c r="E313" t="s">
        <v>1564</v>
      </c>
      <c r="G313" t="s">
        <v>160</v>
      </c>
      <c r="I313" t="s">
        <v>249</v>
      </c>
      <c r="J313" t="s">
        <v>1780</v>
      </c>
      <c r="K313">
        <v>1.942803137622E-4</v>
      </c>
      <c r="L313" t="s">
        <v>251</v>
      </c>
      <c r="N313" t="s">
        <v>419</v>
      </c>
      <c r="O313" t="s">
        <v>1780</v>
      </c>
      <c r="P313">
        <v>4.1493332056665629E-5</v>
      </c>
      <c r="Q313" t="s">
        <v>251</v>
      </c>
      <c r="S313" t="s">
        <v>420</v>
      </c>
      <c r="T313" t="s">
        <v>1780</v>
      </c>
      <c r="U313">
        <v>2.8275496497717711E-5</v>
      </c>
      <c r="V313" t="s">
        <v>251</v>
      </c>
      <c r="X313">
        <v>1.1415525114155251E-4</v>
      </c>
      <c r="Y313">
        <v>1.5049432745775637E-4</v>
      </c>
      <c r="Z313" t="s">
        <v>1780</v>
      </c>
      <c r="AA313" t="s">
        <v>25</v>
      </c>
      <c r="AC313" t="s">
        <v>22</v>
      </c>
      <c r="AD313" t="s">
        <v>1780</v>
      </c>
      <c r="AE313">
        <v>1.1473601689499091E-4</v>
      </c>
      <c r="AG313" t="s">
        <v>99</v>
      </c>
      <c r="AH313" t="s">
        <v>1780</v>
      </c>
      <c r="AI313">
        <v>0</v>
      </c>
    </row>
    <row r="314" spans="5:35" x14ac:dyDescent="0.45">
      <c r="E314" t="s">
        <v>1565</v>
      </c>
      <c r="G314" t="s">
        <v>160</v>
      </c>
      <c r="I314" t="s">
        <v>249</v>
      </c>
      <c r="J314" t="s">
        <v>1781</v>
      </c>
      <c r="K314">
        <v>1.803960837515E-4</v>
      </c>
      <c r="L314" t="s">
        <v>251</v>
      </c>
      <c r="N314" t="s">
        <v>419</v>
      </c>
      <c r="O314" t="s">
        <v>1781</v>
      </c>
      <c r="P314">
        <v>4.0968180326362469E-5</v>
      </c>
      <c r="Q314" t="s">
        <v>251</v>
      </c>
      <c r="S314" t="s">
        <v>420</v>
      </c>
      <c r="T314" t="s">
        <v>1781</v>
      </c>
      <c r="U314">
        <v>2.5715041550445644E-5</v>
      </c>
      <c r="V314" t="s">
        <v>251</v>
      </c>
      <c r="X314">
        <v>1.1415525114155251E-4</v>
      </c>
      <c r="Y314">
        <v>1.7237235744060203E-4</v>
      </c>
      <c r="Z314" t="s">
        <v>1781</v>
      </c>
      <c r="AA314" t="s">
        <v>25</v>
      </c>
      <c r="AC314" t="s">
        <v>22</v>
      </c>
      <c r="AD314" t="s">
        <v>1781</v>
      </c>
      <c r="AE314">
        <v>9.4661724967114099E-5</v>
      </c>
      <c r="AG314" t="s">
        <v>99</v>
      </c>
      <c r="AH314" t="s">
        <v>1781</v>
      </c>
      <c r="AI314">
        <v>0</v>
      </c>
    </row>
    <row r="315" spans="5:35" x14ac:dyDescent="0.45">
      <c r="E315" t="s">
        <v>1566</v>
      </c>
      <c r="G315" t="s">
        <v>160</v>
      </c>
      <c r="I315" t="s">
        <v>249</v>
      </c>
      <c r="J315" t="s">
        <v>1782</v>
      </c>
      <c r="K315">
        <v>1.6991347517330001E-4</v>
      </c>
      <c r="L315" t="s">
        <v>251</v>
      </c>
      <c r="N315" t="s">
        <v>419</v>
      </c>
      <c r="O315" t="s">
        <v>1782</v>
      </c>
      <c r="P315">
        <v>4.0832286289300885E-5</v>
      </c>
      <c r="Q315" t="s">
        <v>251</v>
      </c>
      <c r="S315" t="s">
        <v>420</v>
      </c>
      <c r="T315" t="s">
        <v>1782</v>
      </c>
      <c r="U315">
        <v>2.5770536896182398E-5</v>
      </c>
      <c r="V315" t="s">
        <v>251</v>
      </c>
      <c r="X315">
        <v>1.1415525114155251E-4</v>
      </c>
      <c r="Y315">
        <v>2.2209515285616027E-4</v>
      </c>
      <c r="Z315" t="s">
        <v>1782</v>
      </c>
      <c r="AA315" t="s">
        <v>25</v>
      </c>
      <c r="AC315" t="s">
        <v>22</v>
      </c>
      <c r="AD315" t="s">
        <v>1782</v>
      </c>
      <c r="AE315">
        <v>9.0134584947770968E-5</v>
      </c>
      <c r="AG315" t="s">
        <v>99</v>
      </c>
      <c r="AH315" t="s">
        <v>1782</v>
      </c>
      <c r="AI315">
        <v>0</v>
      </c>
    </row>
    <row r="316" spans="5:35" x14ac:dyDescent="0.45">
      <c r="E316" t="s">
        <v>1567</v>
      </c>
      <c r="G316" t="s">
        <v>160</v>
      </c>
      <c r="I316" t="s">
        <v>249</v>
      </c>
      <c r="J316" t="s">
        <v>1783</v>
      </c>
      <c r="K316">
        <v>1.2741976710800001E-4</v>
      </c>
      <c r="L316" t="s">
        <v>251</v>
      </c>
      <c r="N316" t="s">
        <v>419</v>
      </c>
      <c r="O316" t="s">
        <v>1783</v>
      </c>
      <c r="P316">
        <v>4.1158713526609733E-5</v>
      </c>
      <c r="Q316" t="s">
        <v>251</v>
      </c>
      <c r="S316" t="s">
        <v>420</v>
      </c>
      <c r="T316" t="s">
        <v>1783</v>
      </c>
      <c r="U316">
        <v>2.7897709040508521E-5</v>
      </c>
      <c r="V316" t="s">
        <v>251</v>
      </c>
      <c r="X316">
        <v>1.1415525114155251E-4</v>
      </c>
      <c r="Y316">
        <v>2.2209515285616027E-4</v>
      </c>
      <c r="Z316" t="s">
        <v>1783</v>
      </c>
      <c r="AA316" t="s">
        <v>25</v>
      </c>
      <c r="AC316" t="s">
        <v>22</v>
      </c>
      <c r="AD316" t="s">
        <v>1783</v>
      </c>
      <c r="AE316">
        <v>8.504155242600994E-5</v>
      </c>
      <c r="AG316" t="s">
        <v>99</v>
      </c>
      <c r="AH316" t="s">
        <v>1783</v>
      </c>
      <c r="AI316">
        <v>0</v>
      </c>
    </row>
    <row r="317" spans="5:35" x14ac:dyDescent="0.45">
      <c r="E317" t="s">
        <v>1568</v>
      </c>
      <c r="G317" t="s">
        <v>160</v>
      </c>
      <c r="I317" t="s">
        <v>249</v>
      </c>
      <c r="J317" t="s">
        <v>1784</v>
      </c>
      <c r="K317">
        <v>1.1671842250129418E-5</v>
      </c>
      <c r="L317" t="s">
        <v>251</v>
      </c>
      <c r="N317" t="s">
        <v>419</v>
      </c>
      <c r="O317" t="s">
        <v>1784</v>
      </c>
      <c r="P317">
        <v>4.624270553983008E-5</v>
      </c>
      <c r="Q317" t="s">
        <v>251</v>
      </c>
      <c r="S317" t="s">
        <v>420</v>
      </c>
      <c r="T317" t="s">
        <v>1784</v>
      </c>
      <c r="U317">
        <v>3.0169920480522908E-5</v>
      </c>
      <c r="V317" t="s">
        <v>251</v>
      </c>
      <c r="X317">
        <v>1.1415525114155251E-4</v>
      </c>
      <c r="Y317">
        <v>1.7237235744060203E-4</v>
      </c>
      <c r="Z317" t="s">
        <v>1784</v>
      </c>
      <c r="AA317" t="s">
        <v>25</v>
      </c>
      <c r="AC317" t="s">
        <v>22</v>
      </c>
      <c r="AD317" t="s">
        <v>1784</v>
      </c>
      <c r="AE317">
        <v>8.4374394949475172E-5</v>
      </c>
      <c r="AG317" t="s">
        <v>99</v>
      </c>
      <c r="AH317" t="s">
        <v>1784</v>
      </c>
      <c r="AI317">
        <v>0</v>
      </c>
    </row>
    <row r="318" spans="5:35" x14ac:dyDescent="0.45">
      <c r="E318" t="s">
        <v>1569</v>
      </c>
      <c r="G318" t="s">
        <v>160</v>
      </c>
      <c r="I318" t="s">
        <v>249</v>
      </c>
      <c r="J318" t="s">
        <v>1785</v>
      </c>
      <c r="K318">
        <v>0</v>
      </c>
      <c r="L318" t="s">
        <v>251</v>
      </c>
      <c r="N318" t="s">
        <v>419</v>
      </c>
      <c r="O318" t="s">
        <v>1785</v>
      </c>
      <c r="P318">
        <v>5.0079836510351445E-5</v>
      </c>
      <c r="Q318" t="s">
        <v>251</v>
      </c>
      <c r="S318" t="s">
        <v>420</v>
      </c>
      <c r="T318" t="s">
        <v>1785</v>
      </c>
      <c r="U318">
        <v>3.2142174205211208E-5</v>
      </c>
      <c r="V318" t="s">
        <v>251</v>
      </c>
      <c r="X318">
        <v>1.1415525114155251E-4</v>
      </c>
      <c r="Y318">
        <v>1.5579809230208258E-4</v>
      </c>
      <c r="Z318" t="s">
        <v>1785</v>
      </c>
      <c r="AA318" t="s">
        <v>25</v>
      </c>
      <c r="AC318" t="s">
        <v>22</v>
      </c>
      <c r="AD318" t="s">
        <v>1785</v>
      </c>
      <c r="AE318">
        <v>8.8234377492283508E-5</v>
      </c>
      <c r="AG318" t="s">
        <v>99</v>
      </c>
      <c r="AH318" t="s">
        <v>1785</v>
      </c>
      <c r="AI318">
        <v>0</v>
      </c>
    </row>
    <row r="319" spans="5:35" x14ac:dyDescent="0.45">
      <c r="E319" t="s">
        <v>1570</v>
      </c>
      <c r="G319" t="s">
        <v>160</v>
      </c>
      <c r="I319" t="s">
        <v>249</v>
      </c>
      <c r="J319" t="s">
        <v>1786</v>
      </c>
      <c r="K319">
        <v>0</v>
      </c>
      <c r="L319" t="s">
        <v>251</v>
      </c>
      <c r="N319" t="s">
        <v>419</v>
      </c>
      <c r="O319" t="s">
        <v>1786</v>
      </c>
      <c r="P319">
        <v>5.6709873398114582E-5</v>
      </c>
      <c r="Q319" t="s">
        <v>251</v>
      </c>
      <c r="S319" t="s">
        <v>420</v>
      </c>
      <c r="T319" t="s">
        <v>1786</v>
      </c>
      <c r="U319">
        <v>3.3832059929712814E-5</v>
      </c>
      <c r="V319" t="s">
        <v>251</v>
      </c>
      <c r="X319">
        <v>1.1415525114155251E-4</v>
      </c>
      <c r="Y319">
        <v>1.093901499142282E-4</v>
      </c>
      <c r="Z319" t="s">
        <v>1786</v>
      </c>
      <c r="AA319" t="s">
        <v>25</v>
      </c>
      <c r="AC319" t="s">
        <v>22</v>
      </c>
      <c r="AD319" t="s">
        <v>1786</v>
      </c>
      <c r="AE319">
        <v>9.3154663881727515E-5</v>
      </c>
      <c r="AG319" t="s">
        <v>99</v>
      </c>
      <c r="AH319" t="s">
        <v>1786</v>
      </c>
      <c r="AI319">
        <v>0</v>
      </c>
    </row>
    <row r="320" spans="5:35" x14ac:dyDescent="0.45">
      <c r="E320" t="s">
        <v>1571</v>
      </c>
      <c r="G320" t="s">
        <v>160</v>
      </c>
      <c r="I320" t="s">
        <v>249</v>
      </c>
      <c r="J320" t="s">
        <v>1787</v>
      </c>
      <c r="K320">
        <v>0</v>
      </c>
      <c r="L320" t="s">
        <v>251</v>
      </c>
      <c r="N320" t="s">
        <v>419</v>
      </c>
      <c r="O320" t="s">
        <v>1787</v>
      </c>
      <c r="P320">
        <v>6.1222370015482126E-5</v>
      </c>
      <c r="Q320" t="s">
        <v>251</v>
      </c>
      <c r="S320" t="s">
        <v>420</v>
      </c>
      <c r="T320" t="s">
        <v>1787</v>
      </c>
      <c r="U320">
        <v>3.3836931713922166E-5</v>
      </c>
      <c r="V320" t="s">
        <v>251</v>
      </c>
      <c r="X320">
        <v>1.1415525114155251E-4</v>
      </c>
      <c r="Y320">
        <v>7.9556472664893237E-5</v>
      </c>
      <c r="Z320" t="s">
        <v>1787</v>
      </c>
      <c r="AA320" t="s">
        <v>25</v>
      </c>
      <c r="AC320" t="s">
        <v>22</v>
      </c>
      <c r="AD320" t="s">
        <v>1787</v>
      </c>
      <c r="AE320">
        <v>9.959392488292477E-5</v>
      </c>
      <c r="AG320" t="s">
        <v>99</v>
      </c>
      <c r="AH320" t="s">
        <v>1787</v>
      </c>
      <c r="AI320">
        <v>0</v>
      </c>
    </row>
    <row r="321" spans="5:35" x14ac:dyDescent="0.45">
      <c r="E321" t="s">
        <v>1572</v>
      </c>
      <c r="G321" t="s">
        <v>160</v>
      </c>
      <c r="I321" t="s">
        <v>249</v>
      </c>
      <c r="J321" t="s">
        <v>1788</v>
      </c>
      <c r="K321">
        <v>0</v>
      </c>
      <c r="L321" t="s">
        <v>251</v>
      </c>
      <c r="N321" t="s">
        <v>419</v>
      </c>
      <c r="O321" t="s">
        <v>1788</v>
      </c>
      <c r="P321">
        <v>6.3369760098536883E-5</v>
      </c>
      <c r="Q321" t="s">
        <v>251</v>
      </c>
      <c r="S321" t="s">
        <v>420</v>
      </c>
      <c r="T321" t="s">
        <v>1788</v>
      </c>
      <c r="U321">
        <v>3.1449737037434248E-5</v>
      </c>
      <c r="V321" t="s">
        <v>251</v>
      </c>
      <c r="X321">
        <v>1.1415525114155251E-4</v>
      </c>
      <c r="Y321">
        <v>5.6352501470966035E-5</v>
      </c>
      <c r="Z321" t="s">
        <v>1788</v>
      </c>
      <c r="AA321" t="s">
        <v>25</v>
      </c>
      <c r="AC321" t="s">
        <v>22</v>
      </c>
      <c r="AD321" t="s">
        <v>1788</v>
      </c>
      <c r="AE321">
        <v>1.0586639651498834E-4</v>
      </c>
      <c r="AG321" t="s">
        <v>99</v>
      </c>
      <c r="AH321" t="s">
        <v>1788</v>
      </c>
      <c r="AI321">
        <v>0</v>
      </c>
    </row>
    <row r="322" spans="5:35" x14ac:dyDescent="0.45">
      <c r="E322" t="s">
        <v>1573</v>
      </c>
      <c r="G322" t="s">
        <v>160</v>
      </c>
      <c r="I322" t="s">
        <v>249</v>
      </c>
      <c r="J322" t="s">
        <v>1789</v>
      </c>
      <c r="K322">
        <v>0</v>
      </c>
      <c r="L322" t="s">
        <v>251</v>
      </c>
      <c r="N322" t="s">
        <v>419</v>
      </c>
      <c r="O322" t="s">
        <v>1789</v>
      </c>
      <c r="P322">
        <v>6.5670492440415471E-5</v>
      </c>
      <c r="Q322" t="s">
        <v>251</v>
      </c>
      <c r="S322" t="s">
        <v>420</v>
      </c>
      <c r="T322" t="s">
        <v>1789</v>
      </c>
      <c r="U322">
        <v>3.019915112195392E-5</v>
      </c>
      <c r="V322" t="s">
        <v>251</v>
      </c>
      <c r="X322">
        <v>1.1415525114155251E-4</v>
      </c>
      <c r="Y322">
        <v>2.9833677249334962E-5</v>
      </c>
      <c r="Z322" t="s">
        <v>1789</v>
      </c>
      <c r="AA322" t="s">
        <v>25</v>
      </c>
      <c r="AC322" t="s">
        <v>22</v>
      </c>
      <c r="AD322" t="s">
        <v>1789</v>
      </c>
      <c r="AE322">
        <v>1.1231161427936901E-4</v>
      </c>
      <c r="AG322" t="s">
        <v>99</v>
      </c>
      <c r="AH322" t="s">
        <v>1789</v>
      </c>
      <c r="AI322">
        <v>0</v>
      </c>
    </row>
    <row r="323" spans="5:35" x14ac:dyDescent="0.45">
      <c r="E323" t="s">
        <v>460</v>
      </c>
      <c r="G323" t="s">
        <v>160</v>
      </c>
      <c r="I323" t="s">
        <v>249</v>
      </c>
      <c r="J323" t="s">
        <v>1790</v>
      </c>
      <c r="K323">
        <v>0</v>
      </c>
      <c r="L323" t="s">
        <v>251</v>
      </c>
      <c r="N323" t="s">
        <v>419</v>
      </c>
      <c r="O323" t="s">
        <v>1790</v>
      </c>
      <c r="P323">
        <v>6.9824688166594064E-5</v>
      </c>
      <c r="Q323" t="s">
        <v>251</v>
      </c>
      <c r="S323" t="s">
        <v>420</v>
      </c>
      <c r="T323" t="s">
        <v>1790</v>
      </c>
      <c r="U323">
        <v>3.0524367559600846E-5</v>
      </c>
      <c r="V323" t="s">
        <v>251</v>
      </c>
      <c r="X323">
        <v>1.1415525114155251E-4</v>
      </c>
      <c r="Y323">
        <v>2.1546544680075254E-5</v>
      </c>
      <c r="Z323" t="s">
        <v>1790</v>
      </c>
      <c r="AA323" t="s">
        <v>25</v>
      </c>
      <c r="AC323" t="s">
        <v>22</v>
      </c>
      <c r="AD323" t="s">
        <v>1790</v>
      </c>
      <c r="AE323">
        <v>1.1674344608777859E-4</v>
      </c>
      <c r="AG323" t="s">
        <v>99</v>
      </c>
      <c r="AH323" t="s">
        <v>1790</v>
      </c>
      <c r="AI323">
        <v>0</v>
      </c>
    </row>
    <row r="324" spans="5:35" x14ac:dyDescent="0.45">
      <c r="E324" t="s">
        <v>461</v>
      </c>
      <c r="G324" t="s">
        <v>160</v>
      </c>
      <c r="I324" t="s">
        <v>249</v>
      </c>
      <c r="J324" t="s">
        <v>1791</v>
      </c>
      <c r="K324">
        <v>0</v>
      </c>
      <c r="L324" t="s">
        <v>251</v>
      </c>
      <c r="N324" t="s">
        <v>419</v>
      </c>
      <c r="O324" t="s">
        <v>1791</v>
      </c>
      <c r="P324">
        <v>7.8759177478248199E-5</v>
      </c>
      <c r="Q324" t="s">
        <v>251</v>
      </c>
      <c r="S324" t="s">
        <v>420</v>
      </c>
      <c r="T324" t="s">
        <v>1791</v>
      </c>
      <c r="U324">
        <v>3.3512293408700589E-5</v>
      </c>
      <c r="V324" t="s">
        <v>251</v>
      </c>
      <c r="X324">
        <v>1.1415525114155251E-4</v>
      </c>
      <c r="Y324">
        <v>1.4916838624667481E-5</v>
      </c>
      <c r="Z324" t="s">
        <v>1791</v>
      </c>
      <c r="AA324" t="s">
        <v>25</v>
      </c>
      <c r="AC324" t="s">
        <v>22</v>
      </c>
      <c r="AD324" t="s">
        <v>1791</v>
      </c>
      <c r="AE324">
        <v>1.1770844172348067E-4</v>
      </c>
      <c r="AG324" t="s">
        <v>99</v>
      </c>
      <c r="AH324" t="s">
        <v>1791</v>
      </c>
      <c r="AI324">
        <v>0</v>
      </c>
    </row>
    <row r="325" spans="5:35" x14ac:dyDescent="0.45">
      <c r="E325" t="s">
        <v>462</v>
      </c>
      <c r="G325" t="s">
        <v>160</v>
      </c>
      <c r="I325" t="s">
        <v>249</v>
      </c>
      <c r="J325" t="s">
        <v>1792</v>
      </c>
      <c r="K325">
        <v>0</v>
      </c>
      <c r="L325" t="s">
        <v>251</v>
      </c>
      <c r="N325" t="s">
        <v>419</v>
      </c>
      <c r="O325" t="s">
        <v>1792</v>
      </c>
      <c r="P325">
        <v>8.9507751729084439E-5</v>
      </c>
      <c r="Q325" t="s">
        <v>251</v>
      </c>
      <c r="S325" t="s">
        <v>420</v>
      </c>
      <c r="T325" t="s">
        <v>1792</v>
      </c>
      <c r="U325">
        <v>3.629087871166469E-5</v>
      </c>
      <c r="V325" t="s">
        <v>251</v>
      </c>
      <c r="X325">
        <v>1.1415525114155251E-4</v>
      </c>
      <c r="Y325">
        <v>1.6574265138519424E-5</v>
      </c>
      <c r="Z325" t="s">
        <v>1792</v>
      </c>
      <c r="AA325" t="s">
        <v>25</v>
      </c>
      <c r="AC325" t="s">
        <v>22</v>
      </c>
      <c r="AD325" t="s">
        <v>1792</v>
      </c>
      <c r="AE325">
        <v>1.1782162022396425E-4</v>
      </c>
      <c r="AG325" t="s">
        <v>99</v>
      </c>
      <c r="AH325" t="s">
        <v>1792</v>
      </c>
      <c r="AI325">
        <v>0</v>
      </c>
    </row>
    <row r="326" spans="5:35" x14ac:dyDescent="0.45">
      <c r="E326" t="s">
        <v>463</v>
      </c>
      <c r="G326" t="s">
        <v>160</v>
      </c>
      <c r="I326" t="s">
        <v>249</v>
      </c>
      <c r="J326" t="s">
        <v>1793</v>
      </c>
      <c r="K326">
        <v>0</v>
      </c>
      <c r="L326" t="s">
        <v>251</v>
      </c>
      <c r="N326" t="s">
        <v>419</v>
      </c>
      <c r="O326" t="s">
        <v>1793</v>
      </c>
      <c r="P326">
        <v>9.5953849417990041E-5</v>
      </c>
      <c r="Q326" t="s">
        <v>251</v>
      </c>
      <c r="S326" t="s">
        <v>420</v>
      </c>
      <c r="T326" t="s">
        <v>1793</v>
      </c>
      <c r="U326">
        <v>3.6064382333558536E-5</v>
      </c>
      <c r="V326" t="s">
        <v>251</v>
      </c>
      <c r="X326">
        <v>1.1415525114155251E-4</v>
      </c>
      <c r="Y326">
        <v>1.4585353321897093E-5</v>
      </c>
      <c r="Z326" t="s">
        <v>1793</v>
      </c>
      <c r="AA326" t="s">
        <v>25</v>
      </c>
      <c r="AC326" t="s">
        <v>22</v>
      </c>
      <c r="AD326" t="s">
        <v>1793</v>
      </c>
      <c r="AE326">
        <v>1.1842325330548222E-4</v>
      </c>
      <c r="AG326" t="s">
        <v>99</v>
      </c>
      <c r="AH326" t="s">
        <v>1793</v>
      </c>
      <c r="AI326">
        <v>0</v>
      </c>
    </row>
    <row r="327" spans="5:35" x14ac:dyDescent="0.45">
      <c r="E327" t="s">
        <v>464</v>
      </c>
      <c r="G327" t="s">
        <v>160</v>
      </c>
      <c r="I327" t="s">
        <v>249</v>
      </c>
      <c r="J327" t="s">
        <v>1794</v>
      </c>
      <c r="K327">
        <v>0</v>
      </c>
      <c r="L327" t="s">
        <v>251</v>
      </c>
      <c r="N327" t="s">
        <v>419</v>
      </c>
      <c r="O327" t="s">
        <v>1794</v>
      </c>
      <c r="P327">
        <v>1.012282310381E-4</v>
      </c>
      <c r="Q327" t="s">
        <v>251</v>
      </c>
      <c r="S327" t="s">
        <v>420</v>
      </c>
      <c r="T327" t="s">
        <v>1794</v>
      </c>
      <c r="U327">
        <v>3.5208097265013229E-5</v>
      </c>
      <c r="V327" t="s">
        <v>251</v>
      </c>
      <c r="X327">
        <v>1.1415525114155251E-4</v>
      </c>
      <c r="Y327">
        <v>2.1215059377304864E-5</v>
      </c>
      <c r="Z327" t="s">
        <v>1794</v>
      </c>
      <c r="AA327" t="s">
        <v>25</v>
      </c>
      <c r="AC327" t="s">
        <v>22</v>
      </c>
      <c r="AD327" t="s">
        <v>1794</v>
      </c>
      <c r="AE327">
        <v>1.1382463212793893E-4</v>
      </c>
      <c r="AG327" t="s">
        <v>99</v>
      </c>
      <c r="AH327" t="s">
        <v>1794</v>
      </c>
      <c r="AI327">
        <v>0</v>
      </c>
    </row>
    <row r="328" spans="5:35" x14ac:dyDescent="0.45">
      <c r="E328" t="s">
        <v>465</v>
      </c>
      <c r="G328" t="s">
        <v>160</v>
      </c>
      <c r="I328" t="s">
        <v>249</v>
      </c>
      <c r="J328" t="s">
        <v>1795</v>
      </c>
      <c r="K328">
        <v>0</v>
      </c>
      <c r="L328" t="s">
        <v>251</v>
      </c>
      <c r="N328" t="s">
        <v>419</v>
      </c>
      <c r="O328" t="s">
        <v>1795</v>
      </c>
      <c r="P328">
        <v>1.058109000834E-4</v>
      </c>
      <c r="Q328" t="s">
        <v>251</v>
      </c>
      <c r="S328" t="s">
        <v>420</v>
      </c>
      <c r="T328" t="s">
        <v>1795</v>
      </c>
      <c r="U328">
        <v>3.552211794186867E-5</v>
      </c>
      <c r="V328" t="s">
        <v>251</v>
      </c>
      <c r="X328">
        <v>1.1415525114155251E-4</v>
      </c>
      <c r="Y328">
        <v>5.7678442682047593E-5</v>
      </c>
      <c r="Z328" t="s">
        <v>1795</v>
      </c>
      <c r="AA328" t="s">
        <v>25</v>
      </c>
      <c r="AC328" t="s">
        <v>22</v>
      </c>
      <c r="AD328" t="s">
        <v>1795</v>
      </c>
      <c r="AE328">
        <v>1.1355657778468835E-4</v>
      </c>
      <c r="AG328" t="s">
        <v>99</v>
      </c>
      <c r="AH328" t="s">
        <v>1795</v>
      </c>
      <c r="AI328">
        <v>0</v>
      </c>
    </row>
    <row r="329" spans="5:35" x14ac:dyDescent="0.45">
      <c r="E329" t="s">
        <v>466</v>
      </c>
      <c r="G329" t="s">
        <v>160</v>
      </c>
      <c r="I329" t="s">
        <v>249</v>
      </c>
      <c r="J329" t="s">
        <v>1796</v>
      </c>
      <c r="K329">
        <v>0</v>
      </c>
      <c r="L329" t="s">
        <v>251</v>
      </c>
      <c r="N329" t="s">
        <v>419</v>
      </c>
      <c r="O329" t="s">
        <v>1796</v>
      </c>
      <c r="P329">
        <v>1.119159288113E-4</v>
      </c>
      <c r="Q329" t="s">
        <v>251</v>
      </c>
      <c r="S329" t="s">
        <v>420</v>
      </c>
      <c r="T329" t="s">
        <v>1796</v>
      </c>
      <c r="U329">
        <v>3.6369670185932781E-5</v>
      </c>
      <c r="V329" t="s">
        <v>251</v>
      </c>
      <c r="X329">
        <v>1.1415525114155251E-4</v>
      </c>
      <c r="Y329">
        <v>1.6905750441289813E-4</v>
      </c>
      <c r="Z329" t="s">
        <v>1796</v>
      </c>
      <c r="AA329" t="s">
        <v>25</v>
      </c>
      <c r="AC329" t="s">
        <v>22</v>
      </c>
      <c r="AD329" t="s">
        <v>1796</v>
      </c>
      <c r="AE329">
        <v>1.1462283839450733E-4</v>
      </c>
      <c r="AG329" t="s">
        <v>99</v>
      </c>
      <c r="AH329" t="s">
        <v>1796</v>
      </c>
      <c r="AI329">
        <v>0</v>
      </c>
    </row>
    <row r="330" spans="5:35" x14ac:dyDescent="0.45">
      <c r="E330" t="s">
        <v>467</v>
      </c>
      <c r="G330" t="s">
        <v>160</v>
      </c>
      <c r="I330" t="s">
        <v>249</v>
      </c>
      <c r="J330" t="s">
        <v>1797</v>
      </c>
      <c r="K330">
        <v>2.2128495260735311E-5</v>
      </c>
      <c r="L330" t="s">
        <v>251</v>
      </c>
      <c r="N330" t="s">
        <v>419</v>
      </c>
      <c r="O330" t="s">
        <v>1797</v>
      </c>
      <c r="P330">
        <v>1.175510829304E-4</v>
      </c>
      <c r="Q330" t="s">
        <v>251</v>
      </c>
      <c r="S330" t="s">
        <v>420</v>
      </c>
      <c r="T330" t="s">
        <v>1797</v>
      </c>
      <c r="U330">
        <v>3.974691864418217E-5</v>
      </c>
      <c r="V330" t="s">
        <v>251</v>
      </c>
      <c r="X330">
        <v>1.1415525114155251E-4</v>
      </c>
      <c r="Y330">
        <v>1.9060404909297337E-4</v>
      </c>
      <c r="Z330" t="s">
        <v>1797</v>
      </c>
      <c r="AA330" t="s">
        <v>25</v>
      </c>
      <c r="AC330" t="s">
        <v>22</v>
      </c>
      <c r="AD330" t="s">
        <v>1797</v>
      </c>
      <c r="AE330">
        <v>1.2937178403647255E-4</v>
      </c>
      <c r="AG330" t="s">
        <v>99</v>
      </c>
      <c r="AH330" t="s">
        <v>1797</v>
      </c>
      <c r="AI330">
        <v>0</v>
      </c>
    </row>
    <row r="331" spans="5:35" x14ac:dyDescent="0.45">
      <c r="E331" t="s">
        <v>468</v>
      </c>
      <c r="G331" t="s">
        <v>160</v>
      </c>
      <c r="I331" t="s">
        <v>249</v>
      </c>
      <c r="J331" t="s">
        <v>1798</v>
      </c>
      <c r="K331">
        <v>1.4833352241239999E-4</v>
      </c>
      <c r="L331" t="s">
        <v>251</v>
      </c>
      <c r="N331" t="s">
        <v>419</v>
      </c>
      <c r="O331" t="s">
        <v>1798</v>
      </c>
      <c r="P331">
        <v>1.0899782671400001E-4</v>
      </c>
      <c r="Q331" t="s">
        <v>251</v>
      </c>
      <c r="S331" t="s">
        <v>420</v>
      </c>
      <c r="T331" t="s">
        <v>1798</v>
      </c>
      <c r="U331">
        <v>3.7816542076908289E-5</v>
      </c>
      <c r="V331" t="s">
        <v>251</v>
      </c>
      <c r="X331">
        <v>1.1415525114155251E-4</v>
      </c>
      <c r="Y331">
        <v>1.4585353321897094E-4</v>
      </c>
      <c r="Z331" t="s">
        <v>1798</v>
      </c>
      <c r="AA331" t="s">
        <v>25</v>
      </c>
      <c r="AC331" t="s">
        <v>22</v>
      </c>
      <c r="AD331" t="s">
        <v>1798</v>
      </c>
      <c r="AE331">
        <v>1.363411969609877E-4</v>
      </c>
      <c r="AG331" t="s">
        <v>99</v>
      </c>
      <c r="AH331" t="s">
        <v>1798</v>
      </c>
      <c r="AI331">
        <v>0</v>
      </c>
    </row>
    <row r="332" spans="5:35" x14ac:dyDescent="0.45">
      <c r="E332" t="s">
        <v>469</v>
      </c>
      <c r="G332" t="s">
        <v>160</v>
      </c>
      <c r="I332" t="s">
        <v>249</v>
      </c>
      <c r="J332" t="s">
        <v>1799</v>
      </c>
      <c r="K332">
        <v>1.721498580156E-4</v>
      </c>
      <c r="L332" t="s">
        <v>251</v>
      </c>
      <c r="N332" t="s">
        <v>419</v>
      </c>
      <c r="O332" t="s">
        <v>1799</v>
      </c>
      <c r="P332">
        <v>8.3499177746622875E-5</v>
      </c>
      <c r="Q332" t="s">
        <v>251</v>
      </c>
      <c r="S332" t="s">
        <v>420</v>
      </c>
      <c r="T332" t="s">
        <v>1799</v>
      </c>
      <c r="U332">
        <v>3.4488030996594369E-5</v>
      </c>
      <c r="V332" t="s">
        <v>251</v>
      </c>
      <c r="X332">
        <v>1.1415525114155251E-4</v>
      </c>
      <c r="Y332">
        <v>1.4452759200788939E-4</v>
      </c>
      <c r="Z332" t="s">
        <v>1799</v>
      </c>
      <c r="AA332" t="s">
        <v>25</v>
      </c>
      <c r="AC332" t="s">
        <v>22</v>
      </c>
      <c r="AD332" t="s">
        <v>1799</v>
      </c>
      <c r="AE332">
        <v>1.3595996411725351E-4</v>
      </c>
      <c r="AG332" t="s">
        <v>99</v>
      </c>
      <c r="AH332" t="s">
        <v>1799</v>
      </c>
      <c r="AI332">
        <v>0</v>
      </c>
    </row>
    <row r="333" spans="5:35" x14ac:dyDescent="0.45">
      <c r="E333" t="s">
        <v>470</v>
      </c>
      <c r="G333" t="s">
        <v>160</v>
      </c>
      <c r="I333" t="s">
        <v>249</v>
      </c>
      <c r="J333" t="s">
        <v>1800</v>
      </c>
      <c r="K333">
        <v>1.8018960762299999E-4</v>
      </c>
      <c r="L333" t="s">
        <v>251</v>
      </c>
      <c r="N333" t="s">
        <v>419</v>
      </c>
      <c r="O333" t="s">
        <v>1800</v>
      </c>
      <c r="P333">
        <v>6.5859660833575179E-5</v>
      </c>
      <c r="Q333" t="s">
        <v>251</v>
      </c>
      <c r="S333" t="s">
        <v>420</v>
      </c>
      <c r="T333" t="s">
        <v>1800</v>
      </c>
      <c r="U333">
        <v>3.0947247453033061E-5</v>
      </c>
      <c r="V333" t="s">
        <v>251</v>
      </c>
      <c r="X333">
        <v>1.1415525114155251E-4</v>
      </c>
      <c r="Y333">
        <v>1.408812536774151E-4</v>
      </c>
      <c r="Z333" t="s">
        <v>1800</v>
      </c>
      <c r="AA333" t="s">
        <v>25</v>
      </c>
      <c r="AC333" t="s">
        <v>22</v>
      </c>
      <c r="AD333" t="s">
        <v>1800</v>
      </c>
      <c r="AE333">
        <v>1.39099178314877E-4</v>
      </c>
      <c r="AG333" t="s">
        <v>99</v>
      </c>
      <c r="AH333" t="s">
        <v>1800</v>
      </c>
      <c r="AI333">
        <v>0</v>
      </c>
    </row>
    <row r="334" spans="5:35" x14ac:dyDescent="0.45">
      <c r="E334" t="s">
        <v>471</v>
      </c>
      <c r="G334" t="s">
        <v>160</v>
      </c>
      <c r="I334" t="s">
        <v>249</v>
      </c>
      <c r="J334" t="s">
        <v>1801</v>
      </c>
      <c r="K334">
        <v>1.945245031319E-4</v>
      </c>
      <c r="L334" t="s">
        <v>251</v>
      </c>
      <c r="N334" t="s">
        <v>419</v>
      </c>
      <c r="O334" t="s">
        <v>1801</v>
      </c>
      <c r="P334">
        <v>6.4508465045348868E-5</v>
      </c>
      <c r="Q334" t="s">
        <v>251</v>
      </c>
      <c r="S334" t="s">
        <v>420</v>
      </c>
      <c r="T334" t="s">
        <v>1801</v>
      </c>
      <c r="U334">
        <v>2.7982291362011229E-5</v>
      </c>
      <c r="V334" t="s">
        <v>251</v>
      </c>
      <c r="X334">
        <v>1.1415525114155251E-4</v>
      </c>
      <c r="Y334">
        <v>1.4054976837464471E-4</v>
      </c>
      <c r="Z334" t="s">
        <v>1801</v>
      </c>
      <c r="AA334" t="s">
        <v>25</v>
      </c>
      <c r="AC334" t="s">
        <v>22</v>
      </c>
      <c r="AD334" t="s">
        <v>1801</v>
      </c>
      <c r="AE334">
        <v>1.3321985305291426E-4</v>
      </c>
      <c r="AG334" t="s">
        <v>99</v>
      </c>
      <c r="AH334" t="s">
        <v>1801</v>
      </c>
      <c r="AI334">
        <v>0</v>
      </c>
    </row>
    <row r="335" spans="5:35" x14ac:dyDescent="0.45">
      <c r="E335" t="s">
        <v>472</v>
      </c>
      <c r="G335" t="s">
        <v>160</v>
      </c>
      <c r="I335" t="s">
        <v>249</v>
      </c>
      <c r="J335" t="s">
        <v>1802</v>
      </c>
      <c r="K335">
        <v>2.288921682895E-4</v>
      </c>
      <c r="L335" t="s">
        <v>251</v>
      </c>
      <c r="N335" t="s">
        <v>419</v>
      </c>
      <c r="O335" t="s">
        <v>1802</v>
      </c>
      <c r="P335">
        <v>6.4083674076170942E-5</v>
      </c>
      <c r="Q335" t="s">
        <v>251</v>
      </c>
      <c r="S335" t="s">
        <v>420</v>
      </c>
      <c r="T335" t="s">
        <v>1802</v>
      </c>
      <c r="U335">
        <v>2.4655324299160541E-5</v>
      </c>
      <c r="V335" t="s">
        <v>251</v>
      </c>
      <c r="X335">
        <v>1.1415525114155251E-4</v>
      </c>
      <c r="Y335">
        <v>1.4253868019126702E-4</v>
      </c>
      <c r="Z335" t="s">
        <v>1802</v>
      </c>
      <c r="AA335" t="s">
        <v>25</v>
      </c>
      <c r="AC335" t="s">
        <v>22</v>
      </c>
      <c r="AD335" t="s">
        <v>1802</v>
      </c>
      <c r="AE335">
        <v>1.2516630922903015E-4</v>
      </c>
      <c r="AG335" t="s">
        <v>99</v>
      </c>
      <c r="AH335" t="s">
        <v>1802</v>
      </c>
      <c r="AI335">
        <v>0</v>
      </c>
    </row>
    <row r="336" spans="5:35" x14ac:dyDescent="0.45">
      <c r="E336" t="s">
        <v>473</v>
      </c>
      <c r="G336" t="s">
        <v>160</v>
      </c>
      <c r="I336" t="s">
        <v>249</v>
      </c>
      <c r="J336" t="s">
        <v>1803</v>
      </c>
      <c r="K336">
        <v>2.1725166294869999E-4</v>
      </c>
      <c r="L336" t="s">
        <v>251</v>
      </c>
      <c r="N336" t="s">
        <v>419</v>
      </c>
      <c r="O336" t="s">
        <v>1803</v>
      </c>
      <c r="P336">
        <v>6.4402085093208912E-5</v>
      </c>
      <c r="Q336" t="s">
        <v>251</v>
      </c>
      <c r="S336" t="s">
        <v>420</v>
      </c>
      <c r="T336" t="s">
        <v>1803</v>
      </c>
      <c r="U336">
        <v>2.2530889738931399E-5</v>
      </c>
      <c r="V336" t="s">
        <v>251</v>
      </c>
      <c r="X336">
        <v>1.1415525114155251E-4</v>
      </c>
      <c r="Y336">
        <v>1.4883690094390442E-4</v>
      </c>
      <c r="Z336" t="s">
        <v>1803</v>
      </c>
      <c r="AA336" t="s">
        <v>25</v>
      </c>
      <c r="AC336" t="s">
        <v>22</v>
      </c>
      <c r="AD336" t="s">
        <v>1803</v>
      </c>
      <c r="AE336">
        <v>1.1928698396706741E-4</v>
      </c>
      <c r="AG336" t="s">
        <v>99</v>
      </c>
      <c r="AH336" t="s">
        <v>1803</v>
      </c>
      <c r="AI336">
        <v>0</v>
      </c>
    </row>
    <row r="337" spans="5:35" x14ac:dyDescent="0.45">
      <c r="E337" t="s">
        <v>474</v>
      </c>
      <c r="G337" t="s">
        <v>160</v>
      </c>
      <c r="I337" t="s">
        <v>249</v>
      </c>
      <c r="J337" t="s">
        <v>1804</v>
      </c>
      <c r="K337">
        <v>1.8230834009080001E-4</v>
      </c>
      <c r="L337" t="s">
        <v>251</v>
      </c>
      <c r="N337" t="s">
        <v>419</v>
      </c>
      <c r="O337" t="s">
        <v>1804</v>
      </c>
      <c r="P337">
        <v>6.4283622545850477E-5</v>
      </c>
      <c r="Q337" t="s">
        <v>251</v>
      </c>
      <c r="S337" t="s">
        <v>420</v>
      </c>
      <c r="T337" t="s">
        <v>1804</v>
      </c>
      <c r="U337">
        <v>2.2956099689526929E-5</v>
      </c>
      <c r="V337" t="s">
        <v>251</v>
      </c>
      <c r="X337">
        <v>1.1415525114155251E-4</v>
      </c>
      <c r="Y337">
        <v>1.5049432745775637E-4</v>
      </c>
      <c r="Z337" t="s">
        <v>1804</v>
      </c>
      <c r="AA337" t="s">
        <v>25</v>
      </c>
      <c r="AC337" t="s">
        <v>22</v>
      </c>
      <c r="AD337" t="s">
        <v>1804</v>
      </c>
      <c r="AE337">
        <v>1.0939875708271267E-4</v>
      </c>
      <c r="AG337" t="s">
        <v>99</v>
      </c>
      <c r="AH337" t="s">
        <v>1804</v>
      </c>
      <c r="AI337">
        <v>0</v>
      </c>
    </row>
    <row r="338" spans="5:35" x14ac:dyDescent="0.45">
      <c r="E338" t="s">
        <v>475</v>
      </c>
      <c r="G338" t="s">
        <v>160</v>
      </c>
      <c r="I338" t="s">
        <v>249</v>
      </c>
      <c r="J338" t="s">
        <v>1805</v>
      </c>
      <c r="K338">
        <v>1.56515599016E-4</v>
      </c>
      <c r="L338" t="s">
        <v>251</v>
      </c>
      <c r="N338" t="s">
        <v>419</v>
      </c>
      <c r="O338" t="s">
        <v>1805</v>
      </c>
      <c r="P338">
        <v>5.729354575924595E-5</v>
      </c>
      <c r="Q338" t="s">
        <v>251</v>
      </c>
      <c r="S338" t="s">
        <v>420</v>
      </c>
      <c r="T338" t="s">
        <v>1805</v>
      </c>
      <c r="U338">
        <v>2.450716667957666E-5</v>
      </c>
      <c r="V338" t="s">
        <v>251</v>
      </c>
      <c r="X338">
        <v>1.1415525114155251E-4</v>
      </c>
      <c r="Y338">
        <v>1.7237235744060203E-4</v>
      </c>
      <c r="Z338" t="s">
        <v>1805</v>
      </c>
      <c r="AA338" t="s">
        <v>25</v>
      </c>
      <c r="AC338" t="s">
        <v>22</v>
      </c>
      <c r="AD338" t="s">
        <v>1805</v>
      </c>
      <c r="AE338">
        <v>9.2904479828026965E-5</v>
      </c>
      <c r="AG338" t="s">
        <v>99</v>
      </c>
      <c r="AH338" t="s">
        <v>1805</v>
      </c>
      <c r="AI338">
        <v>0</v>
      </c>
    </row>
    <row r="339" spans="5:35" x14ac:dyDescent="0.45">
      <c r="E339" t="s">
        <v>476</v>
      </c>
      <c r="G339" t="s">
        <v>160</v>
      </c>
      <c r="I339" t="s">
        <v>249</v>
      </c>
      <c r="J339" t="s">
        <v>1806</v>
      </c>
      <c r="K339">
        <v>1.3834876372160001E-4</v>
      </c>
      <c r="L339" t="s">
        <v>251</v>
      </c>
      <c r="N339" t="s">
        <v>419</v>
      </c>
      <c r="O339" t="s">
        <v>1806</v>
      </c>
      <c r="P339">
        <v>4.7036306326032758E-5</v>
      </c>
      <c r="Q339" t="s">
        <v>251</v>
      </c>
      <c r="S339" t="s">
        <v>420</v>
      </c>
      <c r="T339" t="s">
        <v>1806</v>
      </c>
      <c r="U339">
        <v>2.709485291997159E-5</v>
      </c>
      <c r="V339" t="s">
        <v>251</v>
      </c>
      <c r="X339">
        <v>1.1415525114155251E-4</v>
      </c>
      <c r="Y339">
        <v>2.2209515285616027E-4</v>
      </c>
      <c r="Z339" t="s">
        <v>1806</v>
      </c>
      <c r="AA339" t="s">
        <v>25</v>
      </c>
      <c r="AC339" t="s">
        <v>22</v>
      </c>
      <c r="AD339" t="s">
        <v>1806</v>
      </c>
      <c r="AE339">
        <v>8.8567956230550912E-5</v>
      </c>
      <c r="AG339" t="s">
        <v>99</v>
      </c>
      <c r="AH339" t="s">
        <v>1806</v>
      </c>
      <c r="AI339">
        <v>0</v>
      </c>
    </row>
    <row r="340" spans="5:35" x14ac:dyDescent="0.45">
      <c r="E340" t="s">
        <v>477</v>
      </c>
      <c r="G340" t="s">
        <v>160</v>
      </c>
      <c r="I340" t="s">
        <v>249</v>
      </c>
      <c r="J340" t="s">
        <v>1807</v>
      </c>
      <c r="K340">
        <v>1.0937853313559999E-4</v>
      </c>
      <c r="L340" t="s">
        <v>251</v>
      </c>
      <c r="N340" t="s">
        <v>419</v>
      </c>
      <c r="O340" t="s">
        <v>1807</v>
      </c>
      <c r="P340">
        <v>4.474834116411972E-5</v>
      </c>
      <c r="Q340" t="s">
        <v>251</v>
      </c>
      <c r="S340" t="s">
        <v>420</v>
      </c>
      <c r="T340" t="s">
        <v>1807</v>
      </c>
      <c r="U340">
        <v>2.9366094909028099E-5</v>
      </c>
      <c r="V340" t="s">
        <v>251</v>
      </c>
      <c r="X340">
        <v>1.1415525114155251E-4</v>
      </c>
      <c r="Y340">
        <v>2.2209515285616027E-4</v>
      </c>
      <c r="Z340" t="s">
        <v>1807</v>
      </c>
      <c r="AA340" t="s">
        <v>25</v>
      </c>
      <c r="AC340" t="s">
        <v>22</v>
      </c>
      <c r="AD340" t="s">
        <v>1807</v>
      </c>
      <c r="AE340">
        <v>8.3713194236123729E-5</v>
      </c>
      <c r="AG340" t="s">
        <v>99</v>
      </c>
      <c r="AH340" t="s">
        <v>1807</v>
      </c>
      <c r="AI340">
        <v>0</v>
      </c>
    </row>
    <row r="341" spans="5:35" x14ac:dyDescent="0.45">
      <c r="E341" t="s">
        <v>478</v>
      </c>
      <c r="G341" t="s">
        <v>160</v>
      </c>
      <c r="I341" t="s">
        <v>249</v>
      </c>
      <c r="J341" t="s">
        <v>1808</v>
      </c>
      <c r="K341">
        <v>1.089973456517839E-5</v>
      </c>
      <c r="L341" t="s">
        <v>251</v>
      </c>
      <c r="N341" t="s">
        <v>419</v>
      </c>
      <c r="O341" t="s">
        <v>1808</v>
      </c>
      <c r="P341">
        <v>5.487968838084133E-5</v>
      </c>
      <c r="Q341" t="s">
        <v>251</v>
      </c>
      <c r="S341" t="s">
        <v>420</v>
      </c>
      <c r="T341" t="s">
        <v>1808</v>
      </c>
      <c r="U341">
        <v>3.0896663660540759E-5</v>
      </c>
      <c r="V341" t="s">
        <v>251</v>
      </c>
      <c r="X341">
        <v>1.1415525114155251E-4</v>
      </c>
      <c r="Y341">
        <v>1.7237235744060203E-4</v>
      </c>
      <c r="Z341" t="s">
        <v>1808</v>
      </c>
      <c r="AA341" t="s">
        <v>25</v>
      </c>
      <c r="AC341" t="s">
        <v>22</v>
      </c>
      <c r="AD341" t="s">
        <v>1808</v>
      </c>
      <c r="AE341">
        <v>8.3457053419239841E-5</v>
      </c>
      <c r="AG341" t="s">
        <v>99</v>
      </c>
      <c r="AH341" t="s">
        <v>1808</v>
      </c>
      <c r="AI341">
        <v>0</v>
      </c>
    </row>
    <row r="342" spans="5:35" x14ac:dyDescent="0.45">
      <c r="E342" t="s">
        <v>479</v>
      </c>
      <c r="G342" t="s">
        <v>160</v>
      </c>
      <c r="I342" t="s">
        <v>249</v>
      </c>
      <c r="J342" t="s">
        <v>1809</v>
      </c>
      <c r="K342">
        <v>0</v>
      </c>
      <c r="L342" t="s">
        <v>251</v>
      </c>
      <c r="N342" t="s">
        <v>419</v>
      </c>
      <c r="O342" t="s">
        <v>1809</v>
      </c>
      <c r="P342">
        <v>6.7910140526524762E-5</v>
      </c>
      <c r="Q342" t="s">
        <v>251</v>
      </c>
      <c r="S342" t="s">
        <v>420</v>
      </c>
      <c r="T342" t="s">
        <v>1809</v>
      </c>
      <c r="U342">
        <v>2.4308808813678381E-5</v>
      </c>
      <c r="V342" t="s">
        <v>251</v>
      </c>
      <c r="X342">
        <v>1.1415525114155251E-4</v>
      </c>
      <c r="Y342">
        <v>1.5579809230208258E-4</v>
      </c>
      <c r="Z342" t="s">
        <v>1809</v>
      </c>
      <c r="AA342" t="s">
        <v>25</v>
      </c>
      <c r="AC342" t="s">
        <v>22</v>
      </c>
      <c r="AD342" t="s">
        <v>1809</v>
      </c>
      <c r="AE342">
        <v>8.7239598040664702E-5</v>
      </c>
      <c r="AG342" t="s">
        <v>99</v>
      </c>
      <c r="AH342" t="s">
        <v>1809</v>
      </c>
      <c r="AI342">
        <v>0</v>
      </c>
    </row>
    <row r="343" spans="5:35" x14ac:dyDescent="0.45">
      <c r="E343" t="s">
        <v>480</v>
      </c>
      <c r="G343" t="s">
        <v>160</v>
      </c>
      <c r="I343" t="s">
        <v>249</v>
      </c>
      <c r="J343" t="s">
        <v>1810</v>
      </c>
      <c r="K343">
        <v>0</v>
      </c>
      <c r="L343" t="s">
        <v>251</v>
      </c>
      <c r="N343" t="s">
        <v>419</v>
      </c>
      <c r="O343" t="s">
        <v>1810</v>
      </c>
      <c r="P343">
        <v>7.6974444505713066E-5</v>
      </c>
      <c r="Q343" t="s">
        <v>251</v>
      </c>
      <c r="S343" t="s">
        <v>420</v>
      </c>
      <c r="T343" t="s">
        <v>1810</v>
      </c>
      <c r="U343">
        <v>3.0288908462452511E-5</v>
      </c>
      <c r="V343" t="s">
        <v>251</v>
      </c>
      <c r="X343">
        <v>1.1415525114155251E-4</v>
      </c>
      <c r="Y343">
        <v>1.093901499142282E-4</v>
      </c>
      <c r="Z343" t="s">
        <v>1810</v>
      </c>
      <c r="AA343" t="s">
        <v>25</v>
      </c>
      <c r="AC343" t="s">
        <v>22</v>
      </c>
      <c r="AD343" t="s">
        <v>1810</v>
      </c>
      <c r="AE343">
        <v>9.2874696012110243E-5</v>
      </c>
      <c r="AG343" t="s">
        <v>99</v>
      </c>
      <c r="AH343" t="s">
        <v>1810</v>
      </c>
      <c r="AI343">
        <v>0</v>
      </c>
    </row>
    <row r="344" spans="5:35" x14ac:dyDescent="0.45">
      <c r="E344" t="s">
        <v>481</v>
      </c>
      <c r="G344" t="s">
        <v>160</v>
      </c>
      <c r="I344" t="s">
        <v>249</v>
      </c>
      <c r="J344" t="s">
        <v>1811</v>
      </c>
      <c r="K344">
        <v>0</v>
      </c>
      <c r="L344" t="s">
        <v>251</v>
      </c>
      <c r="N344" t="s">
        <v>419</v>
      </c>
      <c r="O344" t="s">
        <v>1811</v>
      </c>
      <c r="P344">
        <v>7.9130527836378416E-5</v>
      </c>
      <c r="Q344" t="s">
        <v>251</v>
      </c>
      <c r="S344" t="s">
        <v>420</v>
      </c>
      <c r="T344" t="s">
        <v>1811</v>
      </c>
      <c r="U344">
        <v>3.508333350895502E-5</v>
      </c>
      <c r="V344" t="s">
        <v>251</v>
      </c>
      <c r="X344">
        <v>1.1415525114155251E-4</v>
      </c>
      <c r="Y344">
        <v>7.9556472664893237E-5</v>
      </c>
      <c r="Z344" t="s">
        <v>1811</v>
      </c>
      <c r="AA344" t="s">
        <v>25</v>
      </c>
      <c r="AC344" t="s">
        <v>22</v>
      </c>
      <c r="AD344" t="s">
        <v>1811</v>
      </c>
      <c r="AE344">
        <v>9.7824766217470958E-5</v>
      </c>
      <c r="AG344" t="s">
        <v>99</v>
      </c>
      <c r="AH344" t="s">
        <v>1811</v>
      </c>
      <c r="AI344">
        <v>0</v>
      </c>
    </row>
    <row r="345" spans="5:35" x14ac:dyDescent="0.45">
      <c r="E345" t="s">
        <v>482</v>
      </c>
      <c r="G345" t="s">
        <v>160</v>
      </c>
      <c r="I345" t="s">
        <v>249</v>
      </c>
      <c r="J345" t="s">
        <v>1812</v>
      </c>
      <c r="K345">
        <v>0</v>
      </c>
      <c r="L345" t="s">
        <v>251</v>
      </c>
      <c r="N345" t="s">
        <v>419</v>
      </c>
      <c r="O345" t="s">
        <v>1812</v>
      </c>
      <c r="P345">
        <v>7.7598836463320793E-5</v>
      </c>
      <c r="Q345" t="s">
        <v>251</v>
      </c>
      <c r="S345" t="s">
        <v>420</v>
      </c>
      <c r="T345" t="s">
        <v>1812</v>
      </c>
      <c r="U345">
        <v>3.8458213724289856E-5</v>
      </c>
      <c r="V345" t="s">
        <v>251</v>
      </c>
      <c r="X345">
        <v>1.1415525114155251E-4</v>
      </c>
      <c r="Y345">
        <v>5.6352501470966035E-5</v>
      </c>
      <c r="Z345" t="s">
        <v>1812</v>
      </c>
      <c r="AA345" t="s">
        <v>25</v>
      </c>
      <c r="AC345" t="s">
        <v>22</v>
      </c>
      <c r="AD345" t="s">
        <v>1812</v>
      </c>
      <c r="AE345">
        <v>1.0448442745645201E-4</v>
      </c>
      <c r="AG345" t="s">
        <v>99</v>
      </c>
      <c r="AH345" t="s">
        <v>1812</v>
      </c>
      <c r="AI345">
        <v>0</v>
      </c>
    </row>
    <row r="346" spans="5:35" x14ac:dyDescent="0.45">
      <c r="E346" t="s">
        <v>483</v>
      </c>
      <c r="G346" t="s">
        <v>160</v>
      </c>
      <c r="I346" t="s">
        <v>249</v>
      </c>
      <c r="J346" t="s">
        <v>1813</v>
      </c>
      <c r="K346">
        <v>0</v>
      </c>
      <c r="L346" t="s">
        <v>251</v>
      </c>
      <c r="N346" t="s">
        <v>419</v>
      </c>
      <c r="O346" t="s">
        <v>1813</v>
      </c>
      <c r="P346">
        <v>7.5796613927947451E-5</v>
      </c>
      <c r="Q346" t="s">
        <v>251</v>
      </c>
      <c r="S346" t="s">
        <v>420</v>
      </c>
      <c r="T346" t="s">
        <v>1813</v>
      </c>
      <c r="U346">
        <v>4.0363345660717456E-5</v>
      </c>
      <c r="V346" t="s">
        <v>251</v>
      </c>
      <c r="X346">
        <v>1.1415525114155251E-4</v>
      </c>
      <c r="Y346">
        <v>2.9833677249334962E-5</v>
      </c>
      <c r="Z346" t="s">
        <v>1813</v>
      </c>
      <c r="AA346" t="s">
        <v>25</v>
      </c>
      <c r="AC346" t="s">
        <v>22</v>
      </c>
      <c r="AD346" t="s">
        <v>1813</v>
      </c>
      <c r="AE346">
        <v>1.0989316842693042E-4</v>
      </c>
      <c r="AG346" t="s">
        <v>99</v>
      </c>
      <c r="AH346" t="s">
        <v>1813</v>
      </c>
      <c r="AI346">
        <v>0</v>
      </c>
    </row>
    <row r="347" spans="5:35" x14ac:dyDescent="0.45">
      <c r="E347" t="s">
        <v>240</v>
      </c>
      <c r="G347" t="s">
        <v>152</v>
      </c>
      <c r="I347" t="s">
        <v>249</v>
      </c>
      <c r="J347" t="s">
        <v>1814</v>
      </c>
      <c r="K347">
        <v>0</v>
      </c>
      <c r="L347" t="s">
        <v>251</v>
      </c>
      <c r="N347" t="s">
        <v>419</v>
      </c>
      <c r="O347" t="s">
        <v>1814</v>
      </c>
      <c r="P347">
        <v>7.5156123683144479E-5</v>
      </c>
      <c r="Q347" t="s">
        <v>251</v>
      </c>
      <c r="S347" t="s">
        <v>420</v>
      </c>
      <c r="T347" t="s">
        <v>1814</v>
      </c>
      <c r="U347">
        <v>4.012023762715654E-5</v>
      </c>
      <c r="V347" t="s">
        <v>251</v>
      </c>
      <c r="X347">
        <v>1.1415525114155251E-4</v>
      </c>
      <c r="Y347">
        <v>2.1546544680075254E-5</v>
      </c>
      <c r="Z347" t="s">
        <v>1814</v>
      </c>
      <c r="AA347" t="s">
        <v>25</v>
      </c>
      <c r="AC347" t="s">
        <v>22</v>
      </c>
      <c r="AD347" t="s">
        <v>1814</v>
      </c>
      <c r="AE347">
        <v>1.1432500023534001E-4</v>
      </c>
      <c r="AG347" t="s">
        <v>99</v>
      </c>
      <c r="AH347" t="s">
        <v>1814</v>
      </c>
      <c r="AI347">
        <v>0</v>
      </c>
    </row>
    <row r="348" spans="5:35" x14ac:dyDescent="0.45">
      <c r="E348" t="s">
        <v>241</v>
      </c>
      <c r="G348" t="s">
        <v>152</v>
      </c>
      <c r="I348" t="s">
        <v>249</v>
      </c>
      <c r="J348" t="s">
        <v>1815</v>
      </c>
      <c r="K348">
        <v>0</v>
      </c>
      <c r="L348" t="s">
        <v>251</v>
      </c>
      <c r="N348" t="s">
        <v>419</v>
      </c>
      <c r="O348" t="s">
        <v>1815</v>
      </c>
      <c r="P348">
        <v>7.684306309930342E-5</v>
      </c>
      <c r="Q348" t="s">
        <v>251</v>
      </c>
      <c r="S348" t="s">
        <v>420</v>
      </c>
      <c r="T348" t="s">
        <v>1815</v>
      </c>
      <c r="U348">
        <v>3.9550848329685896E-5</v>
      </c>
      <c r="V348" t="s">
        <v>251</v>
      </c>
      <c r="X348">
        <v>1.1415525114155251E-4</v>
      </c>
      <c r="Y348">
        <v>1.4916838624667481E-5</v>
      </c>
      <c r="Z348" t="s">
        <v>1815</v>
      </c>
      <c r="AA348" t="s">
        <v>25</v>
      </c>
      <c r="AC348" t="s">
        <v>22</v>
      </c>
      <c r="AD348" t="s">
        <v>1815</v>
      </c>
      <c r="AE348">
        <v>1.162430779803775E-4</v>
      </c>
      <c r="AG348" t="s">
        <v>99</v>
      </c>
      <c r="AH348" t="s">
        <v>1815</v>
      </c>
      <c r="AI348">
        <v>0</v>
      </c>
    </row>
    <row r="349" spans="5:35" x14ac:dyDescent="0.45">
      <c r="E349" t="s">
        <v>242</v>
      </c>
      <c r="G349" t="s">
        <v>152</v>
      </c>
      <c r="I349" t="s">
        <v>249</v>
      </c>
      <c r="J349" t="s">
        <v>1816</v>
      </c>
      <c r="K349">
        <v>0</v>
      </c>
      <c r="L349" t="s">
        <v>251</v>
      </c>
      <c r="N349" t="s">
        <v>419</v>
      </c>
      <c r="O349" t="s">
        <v>1816</v>
      </c>
      <c r="P349">
        <v>8.0648303362577386E-5</v>
      </c>
      <c r="Q349" t="s">
        <v>251</v>
      </c>
      <c r="S349" t="s">
        <v>420</v>
      </c>
      <c r="T349" t="s">
        <v>1816</v>
      </c>
      <c r="U349">
        <v>3.9841125661798072E-5</v>
      </c>
      <c r="V349" t="s">
        <v>251</v>
      </c>
      <c r="X349">
        <v>1.1415525114155251E-4</v>
      </c>
      <c r="Y349">
        <v>1.6574265138519424E-5</v>
      </c>
      <c r="Z349" t="s">
        <v>1816</v>
      </c>
      <c r="AA349" t="s">
        <v>25</v>
      </c>
      <c r="AC349" t="s">
        <v>22</v>
      </c>
      <c r="AD349" t="s">
        <v>1816</v>
      </c>
      <c r="AE349">
        <v>1.1632647266494436E-4</v>
      </c>
      <c r="AG349" t="s">
        <v>99</v>
      </c>
      <c r="AH349" t="s">
        <v>1816</v>
      </c>
      <c r="AI349">
        <v>0</v>
      </c>
    </row>
    <row r="350" spans="5:35" x14ac:dyDescent="0.45">
      <c r="E350" t="s">
        <v>243</v>
      </c>
      <c r="G350" t="s">
        <v>152</v>
      </c>
      <c r="I350" t="s">
        <v>249</v>
      </c>
      <c r="J350" t="s">
        <v>1817</v>
      </c>
      <c r="K350">
        <v>0</v>
      </c>
      <c r="L350" t="s">
        <v>251</v>
      </c>
      <c r="N350" t="s">
        <v>419</v>
      </c>
      <c r="O350" t="s">
        <v>1817</v>
      </c>
      <c r="P350">
        <v>8.325921170945682E-5</v>
      </c>
      <c r="Q350" t="s">
        <v>251</v>
      </c>
      <c r="S350" t="s">
        <v>420</v>
      </c>
      <c r="T350" t="s">
        <v>1817</v>
      </c>
      <c r="U350">
        <v>3.6947233537739349E-5</v>
      </c>
      <c r="V350" t="s">
        <v>251</v>
      </c>
      <c r="X350">
        <v>1.1415525114155251E-4</v>
      </c>
      <c r="Y350">
        <v>1.4585353321897093E-5</v>
      </c>
      <c r="Z350" t="s">
        <v>1817</v>
      </c>
      <c r="AA350" t="s">
        <v>25</v>
      </c>
      <c r="AC350" t="s">
        <v>22</v>
      </c>
      <c r="AD350" t="s">
        <v>1817</v>
      </c>
      <c r="AE350">
        <v>1.1567718547795961E-4</v>
      </c>
      <c r="AG350" t="s">
        <v>99</v>
      </c>
      <c r="AH350" t="s">
        <v>1817</v>
      </c>
      <c r="AI350">
        <v>0</v>
      </c>
    </row>
    <row r="351" spans="5:35" x14ac:dyDescent="0.45">
      <c r="E351" t="s">
        <v>244</v>
      </c>
      <c r="G351" t="s">
        <v>152</v>
      </c>
      <c r="I351" t="s">
        <v>249</v>
      </c>
      <c r="J351" t="s">
        <v>1818</v>
      </c>
      <c r="K351">
        <v>0</v>
      </c>
      <c r="L351" t="s">
        <v>251</v>
      </c>
      <c r="N351" t="s">
        <v>419</v>
      </c>
      <c r="O351" t="s">
        <v>1818</v>
      </c>
      <c r="P351">
        <v>8.4617911026412342E-5</v>
      </c>
      <c r="Q351" t="s">
        <v>251</v>
      </c>
      <c r="S351" t="s">
        <v>420</v>
      </c>
      <c r="T351" t="s">
        <v>1818</v>
      </c>
      <c r="U351">
        <v>3.5932792953851257E-5</v>
      </c>
      <c r="V351" t="s">
        <v>251</v>
      </c>
      <c r="X351">
        <v>1.1415525114155251E-4</v>
      </c>
      <c r="Y351">
        <v>2.1215059377304864E-5</v>
      </c>
      <c r="Z351" t="s">
        <v>1818</v>
      </c>
      <c r="AA351" t="s">
        <v>25</v>
      </c>
      <c r="AC351" t="s">
        <v>22</v>
      </c>
      <c r="AD351" t="s">
        <v>1818</v>
      </c>
      <c r="AE351">
        <v>1.1357444807423838E-4</v>
      </c>
      <c r="AG351" t="s">
        <v>99</v>
      </c>
      <c r="AH351" t="s">
        <v>1818</v>
      </c>
      <c r="AI351">
        <v>0</v>
      </c>
    </row>
    <row r="352" spans="5:35" x14ac:dyDescent="0.45">
      <c r="E352" t="s">
        <v>245</v>
      </c>
      <c r="G352" t="s">
        <v>152</v>
      </c>
      <c r="I352" t="s">
        <v>249</v>
      </c>
      <c r="J352" t="s">
        <v>1819</v>
      </c>
      <c r="K352">
        <v>0</v>
      </c>
      <c r="L352" t="s">
        <v>251</v>
      </c>
      <c r="N352" t="s">
        <v>419</v>
      </c>
      <c r="O352" t="s">
        <v>1819</v>
      </c>
      <c r="P352">
        <v>8.8007889599148902E-5</v>
      </c>
      <c r="Q352" t="s">
        <v>251</v>
      </c>
      <c r="S352" t="s">
        <v>420</v>
      </c>
      <c r="T352" t="s">
        <v>1819</v>
      </c>
      <c r="U352">
        <v>3.5220919796138287E-5</v>
      </c>
      <c r="V352" t="s">
        <v>251</v>
      </c>
      <c r="X352">
        <v>1.1415525114155251E-4</v>
      </c>
      <c r="Y352">
        <v>5.7678442682047593E-5</v>
      </c>
      <c r="Z352" t="s">
        <v>1819</v>
      </c>
      <c r="AA352" t="s">
        <v>25</v>
      </c>
      <c r="AC352" t="s">
        <v>22</v>
      </c>
      <c r="AD352" t="s">
        <v>1819</v>
      </c>
      <c r="AE352">
        <v>1.1355657778468835E-4</v>
      </c>
      <c r="AG352" t="s">
        <v>99</v>
      </c>
      <c r="AH352" t="s">
        <v>1819</v>
      </c>
      <c r="AI352">
        <v>0</v>
      </c>
    </row>
    <row r="353" spans="5:35" x14ac:dyDescent="0.45">
      <c r="E353" t="s">
        <v>246</v>
      </c>
      <c r="G353" t="s">
        <v>152</v>
      </c>
      <c r="I353" t="s">
        <v>249</v>
      </c>
      <c r="J353" t="s">
        <v>1820</v>
      </c>
      <c r="K353">
        <v>0</v>
      </c>
      <c r="L353" t="s">
        <v>251</v>
      </c>
      <c r="N353" t="s">
        <v>419</v>
      </c>
      <c r="O353" t="s">
        <v>1820</v>
      </c>
      <c r="P353">
        <v>8.7646819129073145E-5</v>
      </c>
      <c r="Q353" t="s">
        <v>251</v>
      </c>
      <c r="S353" t="s">
        <v>420</v>
      </c>
      <c r="T353" t="s">
        <v>1820</v>
      </c>
      <c r="U353">
        <v>3.7515944344853227E-5</v>
      </c>
      <c r="V353" t="s">
        <v>251</v>
      </c>
      <c r="X353">
        <v>1.1415525114155251E-4</v>
      </c>
      <c r="Y353">
        <v>1.6905750441289813E-4</v>
      </c>
      <c r="Z353" t="s">
        <v>1820</v>
      </c>
      <c r="AA353" t="s">
        <v>25</v>
      </c>
      <c r="AC353" t="s">
        <v>22</v>
      </c>
      <c r="AD353" t="s">
        <v>1820</v>
      </c>
      <c r="AE353">
        <v>1.1462283839450733E-4</v>
      </c>
      <c r="AG353" t="s">
        <v>99</v>
      </c>
      <c r="AH353" t="s">
        <v>1820</v>
      </c>
      <c r="AI353">
        <v>0</v>
      </c>
    </row>
    <row r="354" spans="5:35" x14ac:dyDescent="0.45">
      <c r="E354" t="s">
        <v>247</v>
      </c>
      <c r="G354" t="s">
        <v>152</v>
      </c>
      <c r="I354" t="s">
        <v>249</v>
      </c>
      <c r="J354" t="s">
        <v>1821</v>
      </c>
      <c r="K354">
        <v>3.1280826915015614E-6</v>
      </c>
      <c r="L354" t="s">
        <v>251</v>
      </c>
      <c r="N354" t="s">
        <v>419</v>
      </c>
      <c r="O354" t="s">
        <v>1821</v>
      </c>
      <c r="P354">
        <v>9.8391962149965359E-5</v>
      </c>
      <c r="Q354" t="s">
        <v>251</v>
      </c>
      <c r="S354" t="s">
        <v>420</v>
      </c>
      <c r="T354" t="s">
        <v>1821</v>
      </c>
      <c r="U354">
        <v>4.0178113895865545E-5</v>
      </c>
      <c r="V354" t="s">
        <v>251</v>
      </c>
      <c r="X354">
        <v>1.1415525114155251E-4</v>
      </c>
      <c r="Y354">
        <v>1.9060404909297337E-4</v>
      </c>
      <c r="Z354" t="s">
        <v>1821</v>
      </c>
      <c r="AA354" t="s">
        <v>25</v>
      </c>
      <c r="AC354" t="s">
        <v>22</v>
      </c>
      <c r="AD354" t="s">
        <v>1821</v>
      </c>
      <c r="AE354">
        <v>1.262683104179492E-4</v>
      </c>
      <c r="AG354" t="s">
        <v>99</v>
      </c>
      <c r="AH354" t="s">
        <v>1821</v>
      </c>
      <c r="AI354">
        <v>0</v>
      </c>
    </row>
    <row r="355" spans="5:35" x14ac:dyDescent="0.45">
      <c r="I355" t="s">
        <v>249</v>
      </c>
      <c r="J355" t="s">
        <v>1822</v>
      </c>
      <c r="K355">
        <v>9.6521414956725603E-5</v>
      </c>
      <c r="L355" t="s">
        <v>251</v>
      </c>
      <c r="N355" t="s">
        <v>419</v>
      </c>
      <c r="O355" t="s">
        <v>1822</v>
      </c>
      <c r="P355">
        <v>9.3371322160291565E-5</v>
      </c>
      <c r="Q355" t="s">
        <v>251</v>
      </c>
      <c r="S355" t="s">
        <v>420</v>
      </c>
      <c r="T355" t="s">
        <v>1822</v>
      </c>
      <c r="U355">
        <v>4.5474072512067807E-5</v>
      </c>
      <c r="V355" t="s">
        <v>251</v>
      </c>
      <c r="X355">
        <v>1.1415525114155251E-4</v>
      </c>
      <c r="Y355">
        <v>1.4585353321897094E-4</v>
      </c>
      <c r="Z355" t="s">
        <v>1822</v>
      </c>
      <c r="AA355" t="s">
        <v>25</v>
      </c>
      <c r="AC355" t="s">
        <v>22</v>
      </c>
      <c r="AD355" t="s">
        <v>1822</v>
      </c>
      <c r="AE355">
        <v>1.3590039648542007E-4</v>
      </c>
      <c r="AG355" t="s">
        <v>99</v>
      </c>
      <c r="AH355" t="s">
        <v>1822</v>
      </c>
      <c r="AI355">
        <v>0</v>
      </c>
    </row>
    <row r="356" spans="5:35" x14ac:dyDescent="0.45">
      <c r="I356" t="s">
        <v>249</v>
      </c>
      <c r="J356" t="s">
        <v>1823</v>
      </c>
      <c r="K356">
        <v>1.200866391075E-4</v>
      </c>
      <c r="L356" t="s">
        <v>251</v>
      </c>
      <c r="N356" t="s">
        <v>419</v>
      </c>
      <c r="O356" t="s">
        <v>1823</v>
      </c>
      <c r="P356">
        <v>6.7192136488793334E-5</v>
      </c>
      <c r="Q356" t="s">
        <v>251</v>
      </c>
      <c r="S356" t="s">
        <v>420</v>
      </c>
      <c r="T356" t="s">
        <v>1823</v>
      </c>
      <c r="U356">
        <v>4.5274527750989971E-5</v>
      </c>
      <c r="V356" t="s">
        <v>251</v>
      </c>
      <c r="X356">
        <v>1.1415525114155251E-4</v>
      </c>
      <c r="Y356">
        <v>1.4452759200788939E-4</v>
      </c>
      <c r="Z356" t="s">
        <v>1823</v>
      </c>
      <c r="AA356" t="s">
        <v>25</v>
      </c>
      <c r="AC356" t="s">
        <v>22</v>
      </c>
      <c r="AD356" t="s">
        <v>1823</v>
      </c>
      <c r="AE356">
        <v>1.3551320687850253E-4</v>
      </c>
      <c r="AG356" t="s">
        <v>99</v>
      </c>
      <c r="AH356" t="s">
        <v>1823</v>
      </c>
      <c r="AI356">
        <v>0</v>
      </c>
    </row>
    <row r="357" spans="5:35" x14ac:dyDescent="0.45">
      <c r="I357" t="s">
        <v>249</v>
      </c>
      <c r="J357" t="s">
        <v>1824</v>
      </c>
      <c r="K357">
        <v>1.215946177923E-4</v>
      </c>
      <c r="L357" t="s">
        <v>251</v>
      </c>
      <c r="N357" t="s">
        <v>419</v>
      </c>
      <c r="O357" t="s">
        <v>1824</v>
      </c>
      <c r="P357">
        <v>5.3142757938155333E-5</v>
      </c>
      <c r="Q357" t="s">
        <v>251</v>
      </c>
      <c r="S357" t="s">
        <v>420</v>
      </c>
      <c r="T357" t="s">
        <v>1824</v>
      </c>
      <c r="U357">
        <v>4.2473977126377056E-5</v>
      </c>
      <c r="V357" t="s">
        <v>251</v>
      </c>
      <c r="X357">
        <v>1.1415525114155251E-4</v>
      </c>
      <c r="Y357">
        <v>1.408812536774151E-4</v>
      </c>
      <c r="Z357" t="s">
        <v>1824</v>
      </c>
      <c r="AA357" t="s">
        <v>25</v>
      </c>
      <c r="AC357" t="s">
        <v>22</v>
      </c>
      <c r="AD357" t="s">
        <v>1824</v>
      </c>
      <c r="AE357">
        <v>1.3724066820167298E-4</v>
      </c>
      <c r="AG357" t="s">
        <v>99</v>
      </c>
      <c r="AH357" t="s">
        <v>1824</v>
      </c>
      <c r="AI357">
        <v>0</v>
      </c>
    </row>
    <row r="358" spans="5:35" x14ac:dyDescent="0.45">
      <c r="I358" t="s">
        <v>249</v>
      </c>
      <c r="J358" t="s">
        <v>1825</v>
      </c>
      <c r="K358">
        <v>1.4506129643300001E-4</v>
      </c>
      <c r="L358" t="s">
        <v>251</v>
      </c>
      <c r="N358" t="s">
        <v>419</v>
      </c>
      <c r="O358" t="s">
        <v>1825</v>
      </c>
      <c r="P358">
        <v>5.4846635470677832E-5</v>
      </c>
      <c r="Q358" t="s">
        <v>251</v>
      </c>
      <c r="S358" t="s">
        <v>420</v>
      </c>
      <c r="T358" t="s">
        <v>1825</v>
      </c>
      <c r="U358">
        <v>3.9695401289578978E-5</v>
      </c>
      <c r="V358" t="s">
        <v>251</v>
      </c>
      <c r="X358">
        <v>1.1415525114155251E-4</v>
      </c>
      <c r="Y358">
        <v>1.4054976837464471E-4</v>
      </c>
      <c r="Z358" t="s">
        <v>1825</v>
      </c>
      <c r="AA358" t="s">
        <v>25</v>
      </c>
      <c r="AC358" t="s">
        <v>22</v>
      </c>
      <c r="AD358" t="s">
        <v>1825</v>
      </c>
      <c r="AE358">
        <v>1.3166513786206087E-4</v>
      </c>
      <c r="AG358" t="s">
        <v>99</v>
      </c>
      <c r="AH358" t="s">
        <v>1825</v>
      </c>
      <c r="AI358">
        <v>0</v>
      </c>
    </row>
    <row r="359" spans="5:35" x14ac:dyDescent="0.45">
      <c r="I359" t="s">
        <v>249</v>
      </c>
      <c r="J359" t="s">
        <v>1826</v>
      </c>
      <c r="K359">
        <v>1.7584687061660001E-4</v>
      </c>
      <c r="L359" t="s">
        <v>251</v>
      </c>
      <c r="N359" t="s">
        <v>419</v>
      </c>
      <c r="O359" t="s">
        <v>1826</v>
      </c>
      <c r="P359">
        <v>6.2052190266442082E-5</v>
      </c>
      <c r="Q359" t="s">
        <v>251</v>
      </c>
      <c r="S359" t="s">
        <v>420</v>
      </c>
      <c r="T359" t="s">
        <v>1826</v>
      </c>
      <c r="U359">
        <v>3.6497069908631238E-5</v>
      </c>
      <c r="V359" t="s">
        <v>251</v>
      </c>
      <c r="X359">
        <v>1.1415525114155251E-4</v>
      </c>
      <c r="Y359">
        <v>1.4253868019126702E-4</v>
      </c>
      <c r="Z359" t="s">
        <v>1826</v>
      </c>
      <c r="AA359" t="s">
        <v>25</v>
      </c>
      <c r="AC359" t="s">
        <v>22</v>
      </c>
      <c r="AD359" t="s">
        <v>1826</v>
      </c>
      <c r="AE359">
        <v>1.2407026480329444E-4</v>
      </c>
      <c r="AG359" t="s">
        <v>99</v>
      </c>
      <c r="AH359" t="s">
        <v>1826</v>
      </c>
      <c r="AI359">
        <v>0</v>
      </c>
    </row>
    <row r="360" spans="5:35" x14ac:dyDescent="0.45">
      <c r="I360" t="s">
        <v>249</v>
      </c>
      <c r="J360" t="s">
        <v>1827</v>
      </c>
      <c r="K360">
        <v>1.600303698608E-4</v>
      </c>
      <c r="L360" t="s">
        <v>251</v>
      </c>
      <c r="N360" t="s">
        <v>419</v>
      </c>
      <c r="O360" t="s">
        <v>1827</v>
      </c>
      <c r="P360">
        <v>6.6447610352433087E-5</v>
      </c>
      <c r="Q360" t="s">
        <v>251</v>
      </c>
      <c r="S360" t="s">
        <v>420</v>
      </c>
      <c r="T360" t="s">
        <v>1827</v>
      </c>
      <c r="U360">
        <v>3.3095029314113929E-5</v>
      </c>
      <c r="V360" t="s">
        <v>251</v>
      </c>
      <c r="X360">
        <v>1.1415525114155251E-4</v>
      </c>
      <c r="Y360">
        <v>1.4883690094390442E-4</v>
      </c>
      <c r="Z360" t="s">
        <v>1827</v>
      </c>
      <c r="AA360" t="s">
        <v>25</v>
      </c>
      <c r="AC360" t="s">
        <v>22</v>
      </c>
      <c r="AD360" t="s">
        <v>1827</v>
      </c>
      <c r="AE360">
        <v>1.1928698396706741E-4</v>
      </c>
      <c r="AG360" t="s">
        <v>99</v>
      </c>
      <c r="AH360" t="s">
        <v>1827</v>
      </c>
      <c r="AI360">
        <v>0</v>
      </c>
    </row>
    <row r="361" spans="5:35" x14ac:dyDescent="0.45">
      <c r="I361" t="s">
        <v>249</v>
      </c>
      <c r="J361" t="s">
        <v>1828</v>
      </c>
      <c r="K361">
        <v>1.3129466978160001E-4</v>
      </c>
      <c r="L361" t="s">
        <v>251</v>
      </c>
      <c r="N361" t="s">
        <v>419</v>
      </c>
      <c r="O361" t="s">
        <v>1828</v>
      </c>
      <c r="P361">
        <v>6.1005166012835846E-5</v>
      </c>
      <c r="Q361" t="s">
        <v>251</v>
      </c>
      <c r="S361" t="s">
        <v>420</v>
      </c>
      <c r="T361" t="s">
        <v>1828</v>
      </c>
      <c r="U361">
        <v>3.2368904827164324E-5</v>
      </c>
      <c r="V361" t="s">
        <v>251</v>
      </c>
      <c r="X361">
        <v>1.1415525114155251E-4</v>
      </c>
      <c r="Y361">
        <v>1.5049432745775637E-4</v>
      </c>
      <c r="Z361" t="s">
        <v>1828</v>
      </c>
      <c r="AA361" t="s">
        <v>25</v>
      </c>
      <c r="AC361" t="s">
        <v>22</v>
      </c>
      <c r="AD361" t="s">
        <v>1828</v>
      </c>
      <c r="AE361">
        <v>1.0903539452852854E-4</v>
      </c>
      <c r="AG361" t="s">
        <v>99</v>
      </c>
      <c r="AH361" t="s">
        <v>1828</v>
      </c>
      <c r="AI361">
        <v>0</v>
      </c>
    </row>
    <row r="362" spans="5:35" x14ac:dyDescent="0.45">
      <c r="I362" t="s">
        <v>249</v>
      </c>
      <c r="J362" t="s">
        <v>1829</v>
      </c>
      <c r="K362">
        <v>9.8885711569219806E-5</v>
      </c>
      <c r="L362" t="s">
        <v>251</v>
      </c>
      <c r="N362" t="s">
        <v>419</v>
      </c>
      <c r="O362" t="s">
        <v>1829</v>
      </c>
      <c r="P362">
        <v>5.2670176516820511E-5</v>
      </c>
      <c r="Q362" t="s">
        <v>251</v>
      </c>
      <c r="S362" t="s">
        <v>420</v>
      </c>
      <c r="T362" t="s">
        <v>1829</v>
      </c>
      <c r="U362">
        <v>3.2301204273776193E-5</v>
      </c>
      <c r="V362" t="s">
        <v>251</v>
      </c>
      <c r="X362">
        <v>1.1415525114155251E-4</v>
      </c>
      <c r="Y362">
        <v>1.7237235744060203E-4</v>
      </c>
      <c r="Z362" t="s">
        <v>1829</v>
      </c>
      <c r="AA362" t="s">
        <v>25</v>
      </c>
      <c r="AC362" t="s">
        <v>22</v>
      </c>
      <c r="AD362" t="s">
        <v>1829</v>
      </c>
      <c r="AE362">
        <v>9.2678122827059798E-5</v>
      </c>
      <c r="AG362" t="s">
        <v>99</v>
      </c>
      <c r="AH362" t="s">
        <v>1829</v>
      </c>
      <c r="AI362">
        <v>0</v>
      </c>
    </row>
    <row r="363" spans="5:35" x14ac:dyDescent="0.45">
      <c r="I363" t="s">
        <v>249</v>
      </c>
      <c r="J363" t="s">
        <v>1830</v>
      </c>
      <c r="K363">
        <v>8.5470223411660191E-5</v>
      </c>
      <c r="L363" t="s">
        <v>251</v>
      </c>
      <c r="N363" t="s">
        <v>419</v>
      </c>
      <c r="O363" t="s">
        <v>1830</v>
      </c>
      <c r="P363">
        <v>5.0809428080665562E-5</v>
      </c>
      <c r="Q363" t="s">
        <v>251</v>
      </c>
      <c r="S363" t="s">
        <v>420</v>
      </c>
      <c r="T363" t="s">
        <v>1830</v>
      </c>
      <c r="U363">
        <v>3.4188991532998189E-5</v>
      </c>
      <c r="V363" t="s">
        <v>251</v>
      </c>
      <c r="X363">
        <v>1.1415525114155251E-4</v>
      </c>
      <c r="Y363">
        <v>2.2209515285616027E-4</v>
      </c>
      <c r="Z363" t="s">
        <v>1830</v>
      </c>
      <c r="AA363" t="s">
        <v>25</v>
      </c>
      <c r="AC363" t="s">
        <v>22</v>
      </c>
      <c r="AD363" t="s">
        <v>1830</v>
      </c>
      <c r="AE363">
        <v>8.962230331400319E-5</v>
      </c>
      <c r="AG363" t="s">
        <v>99</v>
      </c>
      <c r="AH363" t="s">
        <v>1830</v>
      </c>
      <c r="AI363">
        <v>0</v>
      </c>
    </row>
    <row r="364" spans="5:35" x14ac:dyDescent="0.45">
      <c r="I364" t="s">
        <v>249</v>
      </c>
      <c r="J364" t="s">
        <v>1831</v>
      </c>
      <c r="K364">
        <v>5.9288242306511673E-5</v>
      </c>
      <c r="L364" t="s">
        <v>251</v>
      </c>
      <c r="N364" t="s">
        <v>419</v>
      </c>
      <c r="O364" t="s">
        <v>1831</v>
      </c>
      <c r="P364">
        <v>4.7149268751577598E-5</v>
      </c>
      <c r="Q364" t="s">
        <v>251</v>
      </c>
      <c r="S364" t="s">
        <v>420</v>
      </c>
      <c r="T364" t="s">
        <v>1831</v>
      </c>
      <c r="U364">
        <v>3.9244739537926739E-5</v>
      </c>
      <c r="V364" t="s">
        <v>251</v>
      </c>
      <c r="X364">
        <v>1.1415525114155251E-4</v>
      </c>
      <c r="Y364">
        <v>2.2209515285616027E-4</v>
      </c>
      <c r="Z364" t="s">
        <v>1831</v>
      </c>
      <c r="AA364" t="s">
        <v>25</v>
      </c>
      <c r="AC364" t="s">
        <v>22</v>
      </c>
      <c r="AD364" t="s">
        <v>1831</v>
      </c>
      <c r="AE364">
        <v>8.5952937193061919E-5</v>
      </c>
      <c r="AG364" t="s">
        <v>99</v>
      </c>
      <c r="AH364" t="s">
        <v>1831</v>
      </c>
      <c r="AI364">
        <v>0</v>
      </c>
    </row>
    <row r="365" spans="5:35" x14ac:dyDescent="0.45">
      <c r="I365" t="s">
        <v>249</v>
      </c>
      <c r="J365" t="s">
        <v>1832</v>
      </c>
      <c r="K365">
        <v>8.7252892712160441E-7</v>
      </c>
      <c r="L365" t="s">
        <v>251</v>
      </c>
      <c r="N365" t="s">
        <v>419</v>
      </c>
      <c r="O365" t="s">
        <v>1832</v>
      </c>
      <c r="P365">
        <v>4.9630209133769043E-5</v>
      </c>
      <c r="Q365" t="s">
        <v>251</v>
      </c>
      <c r="S365" t="s">
        <v>420</v>
      </c>
      <c r="T365" t="s">
        <v>1832</v>
      </c>
      <c r="U365">
        <v>4.3323687128441858E-5</v>
      </c>
      <c r="V365" t="s">
        <v>251</v>
      </c>
      <c r="X365">
        <v>1.1415525114155251E-4</v>
      </c>
      <c r="Y365">
        <v>1.7237235744060203E-4</v>
      </c>
      <c r="Z365" t="s">
        <v>1832</v>
      </c>
      <c r="AA365" t="s">
        <v>25</v>
      </c>
      <c r="AC365" t="s">
        <v>22</v>
      </c>
      <c r="AD365" t="s">
        <v>1832</v>
      </c>
      <c r="AE365">
        <v>8.7168116882464539E-5</v>
      </c>
      <c r="AG365" t="s">
        <v>99</v>
      </c>
      <c r="AH365" t="s">
        <v>1832</v>
      </c>
      <c r="AI365">
        <v>0</v>
      </c>
    </row>
    <row r="366" spans="5:35" x14ac:dyDescent="0.45">
      <c r="I366" t="s">
        <v>249</v>
      </c>
      <c r="J366" t="s">
        <v>1833</v>
      </c>
      <c r="K366">
        <v>0</v>
      </c>
      <c r="L366" t="s">
        <v>251</v>
      </c>
      <c r="N366" t="s">
        <v>419</v>
      </c>
      <c r="O366" t="s">
        <v>1833</v>
      </c>
      <c r="P366">
        <v>5.344527959016403E-5</v>
      </c>
      <c r="Q366" t="s">
        <v>251</v>
      </c>
      <c r="S366" t="s">
        <v>420</v>
      </c>
      <c r="T366" t="s">
        <v>1833</v>
      </c>
      <c r="U366">
        <v>4.3928613147971689E-5</v>
      </c>
      <c r="V366" t="s">
        <v>251</v>
      </c>
      <c r="X366">
        <v>1.1415525114155251E-4</v>
      </c>
      <c r="Y366">
        <v>1.5579809230208258E-4</v>
      </c>
      <c r="Z366" t="s">
        <v>1833</v>
      </c>
      <c r="AA366" t="s">
        <v>25</v>
      </c>
      <c r="AC366" t="s">
        <v>22</v>
      </c>
      <c r="AD366" t="s">
        <v>1833</v>
      </c>
      <c r="AE366">
        <v>9.2684079590243164E-5</v>
      </c>
      <c r="AG366" t="s">
        <v>99</v>
      </c>
      <c r="AH366" t="s">
        <v>1833</v>
      </c>
      <c r="AI366">
        <v>0</v>
      </c>
    </row>
    <row r="367" spans="5:35" x14ac:dyDescent="0.45">
      <c r="I367" t="s">
        <v>249</v>
      </c>
      <c r="J367" t="s">
        <v>1834</v>
      </c>
      <c r="K367">
        <v>0</v>
      </c>
      <c r="L367" t="s">
        <v>251</v>
      </c>
      <c r="N367" t="s">
        <v>419</v>
      </c>
      <c r="O367" t="s">
        <v>1834</v>
      </c>
      <c r="P367">
        <v>5.9912976810058958E-5</v>
      </c>
      <c r="Q367" t="s">
        <v>251</v>
      </c>
      <c r="S367" t="s">
        <v>420</v>
      </c>
      <c r="T367" t="s">
        <v>1834</v>
      </c>
      <c r="U367">
        <v>4.7495048557829407E-5</v>
      </c>
      <c r="V367" t="s">
        <v>251</v>
      </c>
      <c r="X367">
        <v>1.1415525114155251E-4</v>
      </c>
      <c r="Y367">
        <v>1.093901499142282E-4</v>
      </c>
      <c r="Z367" t="s">
        <v>1834</v>
      </c>
      <c r="AA367" t="s">
        <v>25</v>
      </c>
      <c r="AC367" t="s">
        <v>22</v>
      </c>
      <c r="AD367" t="s">
        <v>1834</v>
      </c>
      <c r="AE367">
        <v>1.1050671503481506E-4</v>
      </c>
      <c r="AG367" t="s">
        <v>99</v>
      </c>
      <c r="AH367" t="s">
        <v>1834</v>
      </c>
      <c r="AI367">
        <v>0</v>
      </c>
    </row>
    <row r="368" spans="5:35" x14ac:dyDescent="0.45">
      <c r="I368" t="s">
        <v>249</v>
      </c>
      <c r="J368" t="s">
        <v>1835</v>
      </c>
      <c r="K368">
        <v>0</v>
      </c>
      <c r="L368" t="s">
        <v>251</v>
      </c>
      <c r="N368" t="s">
        <v>419</v>
      </c>
      <c r="O368" t="s">
        <v>1835</v>
      </c>
      <c r="P368">
        <v>7.1849252103724272E-5</v>
      </c>
      <c r="Q368" t="s">
        <v>251</v>
      </c>
      <c r="S368" t="s">
        <v>420</v>
      </c>
      <c r="T368" t="s">
        <v>1835</v>
      </c>
      <c r="U368">
        <v>4.7337591723513671E-5</v>
      </c>
      <c r="V368" t="s">
        <v>251</v>
      </c>
      <c r="X368">
        <v>1.1415525114155251E-4</v>
      </c>
      <c r="Y368">
        <v>7.9556472664893237E-5</v>
      </c>
      <c r="Z368" t="s">
        <v>1835</v>
      </c>
      <c r="AA368" t="s">
        <v>25</v>
      </c>
      <c r="AC368" t="s">
        <v>22</v>
      </c>
      <c r="AD368" t="s">
        <v>1835</v>
      </c>
      <c r="AE368">
        <v>1.2907990264048863E-4</v>
      </c>
      <c r="AG368" t="s">
        <v>99</v>
      </c>
      <c r="AH368" t="s">
        <v>1835</v>
      </c>
      <c r="AI368">
        <v>0</v>
      </c>
    </row>
    <row r="369" spans="9:35" x14ac:dyDescent="0.45">
      <c r="I369" t="s">
        <v>249</v>
      </c>
      <c r="J369" t="s">
        <v>1836</v>
      </c>
      <c r="K369">
        <v>0</v>
      </c>
      <c r="L369" t="s">
        <v>251</v>
      </c>
      <c r="N369" t="s">
        <v>419</v>
      </c>
      <c r="O369" t="s">
        <v>1836</v>
      </c>
      <c r="P369">
        <v>7.8873554683572933E-5</v>
      </c>
      <c r="Q369" t="s">
        <v>251</v>
      </c>
      <c r="S369" t="s">
        <v>420</v>
      </c>
      <c r="T369" t="s">
        <v>1836</v>
      </c>
      <c r="U369">
        <v>4.5307898973889929E-5</v>
      </c>
      <c r="V369" t="s">
        <v>251</v>
      </c>
      <c r="X369">
        <v>1.1415525114155251E-4</v>
      </c>
      <c r="Y369">
        <v>5.6352501470966035E-5</v>
      </c>
      <c r="Z369" t="s">
        <v>1836</v>
      </c>
      <c r="AA369" t="s">
        <v>25</v>
      </c>
      <c r="AC369" t="s">
        <v>22</v>
      </c>
      <c r="AD369" t="s">
        <v>1836</v>
      </c>
      <c r="AE369">
        <v>1.3696665709523904E-4</v>
      </c>
      <c r="AG369" t="s">
        <v>99</v>
      </c>
      <c r="AH369" t="s">
        <v>1836</v>
      </c>
      <c r="AI369">
        <v>0</v>
      </c>
    </row>
    <row r="370" spans="9:35" x14ac:dyDescent="0.45">
      <c r="I370" t="s">
        <v>249</v>
      </c>
      <c r="J370" t="s">
        <v>1837</v>
      </c>
      <c r="K370">
        <v>0</v>
      </c>
      <c r="L370" t="s">
        <v>251</v>
      </c>
      <c r="N370" t="s">
        <v>419</v>
      </c>
      <c r="O370" t="s">
        <v>1837</v>
      </c>
      <c r="P370">
        <v>7.6095043654331854E-5</v>
      </c>
      <c r="Q370" t="s">
        <v>251</v>
      </c>
      <c r="S370" t="s">
        <v>420</v>
      </c>
      <c r="T370" t="s">
        <v>1837</v>
      </c>
      <c r="U370">
        <v>4.167455349220697E-5</v>
      </c>
      <c r="V370" t="s">
        <v>251</v>
      </c>
      <c r="X370">
        <v>1.1415525114155251E-4</v>
      </c>
      <c r="Y370">
        <v>2.9833677249334962E-5</v>
      </c>
      <c r="Z370" t="s">
        <v>1837</v>
      </c>
      <c r="AA370" t="s">
        <v>25</v>
      </c>
      <c r="AC370" t="s">
        <v>22</v>
      </c>
      <c r="AD370" t="s">
        <v>1837</v>
      </c>
      <c r="AE370">
        <v>1.4721824653377792E-4</v>
      </c>
      <c r="AG370" t="s">
        <v>99</v>
      </c>
      <c r="AH370" t="s">
        <v>1837</v>
      </c>
      <c r="AI370">
        <v>0</v>
      </c>
    </row>
    <row r="371" spans="9:35" x14ac:dyDescent="0.45">
      <c r="I371" t="s">
        <v>249</v>
      </c>
      <c r="J371" t="s">
        <v>1838</v>
      </c>
      <c r="K371">
        <v>0</v>
      </c>
      <c r="L371" t="s">
        <v>251</v>
      </c>
      <c r="N371" t="s">
        <v>419</v>
      </c>
      <c r="O371" t="s">
        <v>1838</v>
      </c>
      <c r="P371">
        <v>7.2973699732356863E-5</v>
      </c>
      <c r="Q371" t="s">
        <v>251</v>
      </c>
      <c r="S371" t="s">
        <v>420</v>
      </c>
      <c r="T371" t="s">
        <v>1838</v>
      </c>
      <c r="U371">
        <v>3.8970374488624574E-5</v>
      </c>
      <c r="V371" t="s">
        <v>251</v>
      </c>
      <c r="X371">
        <v>1.1415525114155251E-4</v>
      </c>
      <c r="Y371">
        <v>2.1546544680075254E-5</v>
      </c>
      <c r="Z371" t="s">
        <v>1838</v>
      </c>
      <c r="AA371" t="s">
        <v>25</v>
      </c>
      <c r="AC371" t="s">
        <v>22</v>
      </c>
      <c r="AD371" t="s">
        <v>1838</v>
      </c>
      <c r="AE371">
        <v>1.4677148929502693E-4</v>
      </c>
      <c r="AG371" t="s">
        <v>99</v>
      </c>
      <c r="AH371" t="s">
        <v>1838</v>
      </c>
      <c r="AI371">
        <v>0</v>
      </c>
    </row>
    <row r="372" spans="9:35" x14ac:dyDescent="0.45">
      <c r="I372" t="s">
        <v>249</v>
      </c>
      <c r="J372" t="s">
        <v>1839</v>
      </c>
      <c r="K372">
        <v>0</v>
      </c>
      <c r="L372" t="s">
        <v>251</v>
      </c>
      <c r="N372" t="s">
        <v>419</v>
      </c>
      <c r="O372" t="s">
        <v>1839</v>
      </c>
      <c r="P372">
        <v>6.883737176469217E-5</v>
      </c>
      <c r="Q372" t="s">
        <v>251</v>
      </c>
      <c r="S372" t="s">
        <v>420</v>
      </c>
      <c r="T372" t="s">
        <v>1839</v>
      </c>
      <c r="U372">
        <v>3.6793584770758812E-5</v>
      </c>
      <c r="V372" t="s">
        <v>251</v>
      </c>
      <c r="X372">
        <v>1.1415525114155251E-4</v>
      </c>
      <c r="Y372">
        <v>1.4916838624667481E-5</v>
      </c>
      <c r="Z372" t="s">
        <v>1839</v>
      </c>
      <c r="AA372" t="s">
        <v>25</v>
      </c>
      <c r="AC372" t="s">
        <v>22</v>
      </c>
      <c r="AD372" t="s">
        <v>1839</v>
      </c>
      <c r="AE372">
        <v>1.3903961068304353E-4</v>
      </c>
      <c r="AG372" t="s">
        <v>99</v>
      </c>
      <c r="AH372" t="s">
        <v>1839</v>
      </c>
      <c r="AI372">
        <v>0</v>
      </c>
    </row>
    <row r="373" spans="9:35" x14ac:dyDescent="0.45">
      <c r="I373" t="s">
        <v>249</v>
      </c>
      <c r="J373" t="s">
        <v>1840</v>
      </c>
      <c r="K373">
        <v>0</v>
      </c>
      <c r="L373" t="s">
        <v>251</v>
      </c>
      <c r="N373" t="s">
        <v>419</v>
      </c>
      <c r="O373" t="s">
        <v>1840</v>
      </c>
      <c r="P373">
        <v>6.7775409987295396E-5</v>
      </c>
      <c r="Q373" t="s">
        <v>251</v>
      </c>
      <c r="S373" t="s">
        <v>420</v>
      </c>
      <c r="T373" t="s">
        <v>1840</v>
      </c>
      <c r="U373">
        <v>3.6668995115145148E-5</v>
      </c>
      <c r="V373" t="s">
        <v>251</v>
      </c>
      <c r="X373">
        <v>1.1415525114155251E-4</v>
      </c>
      <c r="Y373">
        <v>1.6574265138519424E-5</v>
      </c>
      <c r="Z373" t="s">
        <v>1840</v>
      </c>
      <c r="AA373" t="s">
        <v>25</v>
      </c>
      <c r="AC373" t="s">
        <v>22</v>
      </c>
      <c r="AD373" t="s">
        <v>1840</v>
      </c>
      <c r="AE373">
        <v>1.4000460631874561E-4</v>
      </c>
      <c r="AG373" t="s">
        <v>99</v>
      </c>
      <c r="AH373" t="s">
        <v>1840</v>
      </c>
      <c r="AI373">
        <v>0</v>
      </c>
    </row>
    <row r="374" spans="9:35" x14ac:dyDescent="0.45">
      <c r="I374" t="s">
        <v>249</v>
      </c>
      <c r="J374" t="s">
        <v>1841</v>
      </c>
      <c r="K374">
        <v>0</v>
      </c>
      <c r="L374" t="s">
        <v>251</v>
      </c>
      <c r="N374" t="s">
        <v>419</v>
      </c>
      <c r="O374" t="s">
        <v>1841</v>
      </c>
      <c r="P374">
        <v>6.3925502095942184E-5</v>
      </c>
      <c r="Q374" t="s">
        <v>251</v>
      </c>
      <c r="S374" t="s">
        <v>420</v>
      </c>
      <c r="T374" t="s">
        <v>1841</v>
      </c>
      <c r="U374">
        <v>3.6937923755471966E-5</v>
      </c>
      <c r="V374" t="s">
        <v>251</v>
      </c>
      <c r="X374">
        <v>1.1415525114155251E-4</v>
      </c>
      <c r="Y374">
        <v>1.4585353321897093E-5</v>
      </c>
      <c r="Z374" t="s">
        <v>1841</v>
      </c>
      <c r="AA374" t="s">
        <v>25</v>
      </c>
      <c r="AC374" t="s">
        <v>22</v>
      </c>
      <c r="AD374" t="s">
        <v>1841</v>
      </c>
      <c r="AE374">
        <v>1.3911109184124368E-4</v>
      </c>
      <c r="AG374" t="s">
        <v>99</v>
      </c>
      <c r="AH374" t="s">
        <v>1841</v>
      </c>
      <c r="AI374">
        <v>0</v>
      </c>
    </row>
    <row r="375" spans="9:35" x14ac:dyDescent="0.45">
      <c r="I375" t="s">
        <v>249</v>
      </c>
      <c r="J375" t="s">
        <v>1842</v>
      </c>
      <c r="K375">
        <v>0</v>
      </c>
      <c r="L375" t="s">
        <v>251</v>
      </c>
      <c r="N375" t="s">
        <v>419</v>
      </c>
      <c r="O375" t="s">
        <v>1842</v>
      </c>
      <c r="P375">
        <v>6.7481980844843022E-5</v>
      </c>
      <c r="Q375" t="s">
        <v>251</v>
      </c>
      <c r="S375" t="s">
        <v>420</v>
      </c>
      <c r="T375" t="s">
        <v>1842</v>
      </c>
      <c r="U375">
        <v>3.6439771753160701E-5</v>
      </c>
      <c r="V375" t="s">
        <v>251</v>
      </c>
      <c r="X375">
        <v>1.1415525114155251E-4</v>
      </c>
      <c r="Y375">
        <v>2.1215059377304864E-5</v>
      </c>
      <c r="Z375" t="s">
        <v>1842</v>
      </c>
      <c r="AA375" t="s">
        <v>25</v>
      </c>
      <c r="AC375" t="s">
        <v>22</v>
      </c>
      <c r="AD375" t="s">
        <v>1842</v>
      </c>
      <c r="AE375">
        <v>1.3550725011531921E-4</v>
      </c>
      <c r="AG375" t="s">
        <v>99</v>
      </c>
      <c r="AH375" t="s">
        <v>1842</v>
      </c>
      <c r="AI375">
        <v>0</v>
      </c>
    </row>
    <row r="376" spans="9:35" x14ac:dyDescent="0.45">
      <c r="I376" t="s">
        <v>249</v>
      </c>
      <c r="J376" t="s">
        <v>1843</v>
      </c>
      <c r="K376">
        <v>0</v>
      </c>
      <c r="L376" t="s">
        <v>251</v>
      </c>
      <c r="N376" t="s">
        <v>419</v>
      </c>
      <c r="O376" t="s">
        <v>1843</v>
      </c>
      <c r="P376">
        <v>6.8214760042182492E-5</v>
      </c>
      <c r="Q376" t="s">
        <v>251</v>
      </c>
      <c r="S376" t="s">
        <v>420</v>
      </c>
      <c r="T376" t="s">
        <v>1843</v>
      </c>
      <c r="U376">
        <v>3.8139184452725441E-5</v>
      </c>
      <c r="V376" t="s">
        <v>251</v>
      </c>
      <c r="X376">
        <v>1.1415525114155251E-4</v>
      </c>
      <c r="Y376">
        <v>5.7678442682047593E-5</v>
      </c>
      <c r="Z376" t="s">
        <v>1843</v>
      </c>
      <c r="AA376" t="s">
        <v>25</v>
      </c>
      <c r="AC376" t="s">
        <v>22</v>
      </c>
      <c r="AD376" t="s">
        <v>1843</v>
      </c>
      <c r="AE376">
        <v>1.3436950834730006E-4</v>
      </c>
      <c r="AG376" t="s">
        <v>99</v>
      </c>
      <c r="AH376" t="s">
        <v>1843</v>
      </c>
      <c r="AI376">
        <v>0</v>
      </c>
    </row>
    <row r="377" spans="9:35" x14ac:dyDescent="0.45">
      <c r="I377" t="s">
        <v>249</v>
      </c>
      <c r="J377" t="s">
        <v>1844</v>
      </c>
      <c r="K377">
        <v>0</v>
      </c>
      <c r="L377" t="s">
        <v>251</v>
      </c>
      <c r="N377" t="s">
        <v>419</v>
      </c>
      <c r="O377" t="s">
        <v>1844</v>
      </c>
      <c r="P377">
        <v>6.1413311171511535E-5</v>
      </c>
      <c r="Q377" t="s">
        <v>251</v>
      </c>
      <c r="S377" t="s">
        <v>420</v>
      </c>
      <c r="T377" t="s">
        <v>1844</v>
      </c>
      <c r="U377">
        <v>4.419053891106071E-5</v>
      </c>
      <c r="V377" t="s">
        <v>251</v>
      </c>
      <c r="X377">
        <v>1.1415525114155251E-4</v>
      </c>
      <c r="Y377">
        <v>1.6905750441289813E-4</v>
      </c>
      <c r="Z377" t="s">
        <v>1844</v>
      </c>
      <c r="AA377" t="s">
        <v>25</v>
      </c>
      <c r="AC377" t="s">
        <v>22</v>
      </c>
      <c r="AD377" t="s">
        <v>1844</v>
      </c>
      <c r="AE377">
        <v>1.3591231001178677E-4</v>
      </c>
      <c r="AG377" t="s">
        <v>99</v>
      </c>
      <c r="AH377" t="s">
        <v>1844</v>
      </c>
      <c r="AI377">
        <v>0</v>
      </c>
    </row>
    <row r="378" spans="9:35" x14ac:dyDescent="0.45">
      <c r="I378" t="s">
        <v>249</v>
      </c>
      <c r="J378" t="s">
        <v>1845</v>
      </c>
      <c r="K378">
        <v>2.2376940184213463E-6</v>
      </c>
      <c r="L378" t="s">
        <v>251</v>
      </c>
      <c r="N378" t="s">
        <v>419</v>
      </c>
      <c r="O378" t="s">
        <v>1845</v>
      </c>
      <c r="P378">
        <v>5.7096233341967625E-5</v>
      </c>
      <c r="Q378" t="s">
        <v>251</v>
      </c>
      <c r="S378" t="s">
        <v>420</v>
      </c>
      <c r="T378" t="s">
        <v>1845</v>
      </c>
      <c r="U378">
        <v>5.9886036052209953E-5</v>
      </c>
      <c r="V378" t="s">
        <v>251</v>
      </c>
      <c r="X378">
        <v>1.1415525114155251E-4</v>
      </c>
      <c r="Y378">
        <v>1.9060404909297337E-4</v>
      </c>
      <c r="Z378" t="s">
        <v>1845</v>
      </c>
      <c r="AA378" t="s">
        <v>25</v>
      </c>
      <c r="AC378" t="s">
        <v>22</v>
      </c>
      <c r="AD378" t="s">
        <v>1845</v>
      </c>
      <c r="AE378">
        <v>1.4711102479647768E-4</v>
      </c>
      <c r="AG378" t="s">
        <v>99</v>
      </c>
      <c r="AH378" t="s">
        <v>1845</v>
      </c>
      <c r="AI378">
        <v>0</v>
      </c>
    </row>
    <row r="379" spans="9:35" x14ac:dyDescent="0.45">
      <c r="I379" t="s">
        <v>249</v>
      </c>
      <c r="J379" t="s">
        <v>1846</v>
      </c>
      <c r="K379">
        <v>5.2957596607750109E-5</v>
      </c>
      <c r="L379" t="s">
        <v>251</v>
      </c>
      <c r="N379" t="s">
        <v>419</v>
      </c>
      <c r="O379" t="s">
        <v>1846</v>
      </c>
      <c r="P379">
        <v>5.9866010489506527E-5</v>
      </c>
      <c r="Q379" t="s">
        <v>251</v>
      </c>
      <c r="S379" t="s">
        <v>420</v>
      </c>
      <c r="T379" t="s">
        <v>1846</v>
      </c>
      <c r="U379">
        <v>6.7831780756368935E-5</v>
      </c>
      <c r="V379" t="s">
        <v>251</v>
      </c>
      <c r="X379">
        <v>1.1415525114155251E-4</v>
      </c>
      <c r="Y379">
        <v>1.4585353321897094E-4</v>
      </c>
      <c r="Z379" t="s">
        <v>1846</v>
      </c>
      <c r="AA379" t="s">
        <v>25</v>
      </c>
      <c r="AC379" t="s">
        <v>22</v>
      </c>
      <c r="AD379" t="s">
        <v>1846</v>
      </c>
      <c r="AE379">
        <v>1.4953542741209962E-4</v>
      </c>
      <c r="AG379" t="s">
        <v>99</v>
      </c>
      <c r="AH379" t="s">
        <v>1846</v>
      </c>
      <c r="AI379">
        <v>0</v>
      </c>
    </row>
    <row r="380" spans="9:35" x14ac:dyDescent="0.45">
      <c r="I380" t="s">
        <v>249</v>
      </c>
      <c r="J380" t="s">
        <v>1847</v>
      </c>
      <c r="K380">
        <v>6.7294795175802384E-5</v>
      </c>
      <c r="L380" t="s">
        <v>251</v>
      </c>
      <c r="N380" t="s">
        <v>419</v>
      </c>
      <c r="O380" t="s">
        <v>1847</v>
      </c>
      <c r="P380">
        <v>5.0760434280603593E-5</v>
      </c>
      <c r="Q380" t="s">
        <v>251</v>
      </c>
      <c r="S380" t="s">
        <v>420</v>
      </c>
      <c r="T380" t="s">
        <v>1847</v>
      </c>
      <c r="U380">
        <v>6.9204176668041304E-5</v>
      </c>
      <c r="V380" t="s">
        <v>251</v>
      </c>
      <c r="X380">
        <v>1.1415525114155251E-4</v>
      </c>
      <c r="Y380">
        <v>1.4452759200788939E-4</v>
      </c>
      <c r="Z380" t="s">
        <v>1847</v>
      </c>
      <c r="AA380" t="s">
        <v>25</v>
      </c>
      <c r="AC380" t="s">
        <v>22</v>
      </c>
      <c r="AD380" t="s">
        <v>1847</v>
      </c>
      <c r="AE380">
        <v>1.5155477013125394E-4</v>
      </c>
      <c r="AG380" t="s">
        <v>99</v>
      </c>
      <c r="AH380" t="s">
        <v>1847</v>
      </c>
      <c r="AI380">
        <v>0</v>
      </c>
    </row>
    <row r="381" spans="9:35" x14ac:dyDescent="0.45">
      <c r="I381" t="s">
        <v>249</v>
      </c>
      <c r="J381" t="s">
        <v>1848</v>
      </c>
      <c r="K381">
        <v>7.9426807070358754E-5</v>
      </c>
      <c r="L381" t="s">
        <v>251</v>
      </c>
      <c r="N381" t="s">
        <v>419</v>
      </c>
      <c r="O381" t="s">
        <v>1848</v>
      </c>
      <c r="P381">
        <v>4.3643839762781532E-5</v>
      </c>
      <c r="Q381" t="s">
        <v>251</v>
      </c>
      <c r="S381" t="s">
        <v>420</v>
      </c>
      <c r="T381" t="s">
        <v>1848</v>
      </c>
      <c r="U381">
        <v>6.8843825535950029E-5</v>
      </c>
      <c r="V381" t="s">
        <v>251</v>
      </c>
      <c r="X381">
        <v>1.1415525114155251E-4</v>
      </c>
      <c r="Y381">
        <v>1.408812536774151E-4</v>
      </c>
      <c r="Z381" t="s">
        <v>1848</v>
      </c>
      <c r="AA381" t="s">
        <v>25</v>
      </c>
      <c r="AC381" t="s">
        <v>22</v>
      </c>
      <c r="AD381" t="s">
        <v>1848</v>
      </c>
      <c r="AE381">
        <v>1.5910198908455363E-4</v>
      </c>
      <c r="AG381" t="s">
        <v>99</v>
      </c>
      <c r="AH381" t="s">
        <v>1848</v>
      </c>
      <c r="AI381">
        <v>0</v>
      </c>
    </row>
    <row r="382" spans="9:35" x14ac:dyDescent="0.45">
      <c r="I382" t="s">
        <v>249</v>
      </c>
      <c r="J382" t="s">
        <v>1849</v>
      </c>
      <c r="K382">
        <v>9.5399329445278755E-5</v>
      </c>
      <c r="L382" t="s">
        <v>251</v>
      </c>
      <c r="N382" t="s">
        <v>419</v>
      </c>
      <c r="O382" t="s">
        <v>1849</v>
      </c>
      <c r="P382">
        <v>3.6979236713451777E-5</v>
      </c>
      <c r="Q382" t="s">
        <v>251</v>
      </c>
      <c r="S382" t="s">
        <v>420</v>
      </c>
      <c r="T382" t="s">
        <v>1849</v>
      </c>
      <c r="U382">
        <v>6.8043990300268532E-5</v>
      </c>
      <c r="V382" t="s">
        <v>251</v>
      </c>
      <c r="X382">
        <v>1.1415525114155251E-4</v>
      </c>
      <c r="Y382">
        <v>1.4054976837464471E-4</v>
      </c>
      <c r="Z382" t="s">
        <v>1849</v>
      </c>
      <c r="AA382" t="s">
        <v>25</v>
      </c>
      <c r="AC382" t="s">
        <v>22</v>
      </c>
      <c r="AD382" t="s">
        <v>1849</v>
      </c>
      <c r="AE382">
        <v>1.5422935680057642E-4</v>
      </c>
      <c r="AG382" t="s">
        <v>99</v>
      </c>
      <c r="AH382" t="s">
        <v>1849</v>
      </c>
      <c r="AI382">
        <v>0</v>
      </c>
    </row>
    <row r="383" spans="9:35" x14ac:dyDescent="0.45">
      <c r="I383" t="s">
        <v>249</v>
      </c>
      <c r="J383" t="s">
        <v>1850</v>
      </c>
      <c r="K383">
        <v>1.1216830636730001E-4</v>
      </c>
      <c r="L383" t="s">
        <v>251</v>
      </c>
      <c r="N383" t="s">
        <v>419</v>
      </c>
      <c r="O383" t="s">
        <v>1850</v>
      </c>
      <c r="P383">
        <v>3.1842974756684173E-5</v>
      </c>
      <c r="Q383" t="s">
        <v>251</v>
      </c>
      <c r="S383" t="s">
        <v>420</v>
      </c>
      <c r="T383" t="s">
        <v>1850</v>
      </c>
      <c r="U383">
        <v>6.338165040866804E-5</v>
      </c>
      <c r="V383" t="s">
        <v>251</v>
      </c>
      <c r="X383">
        <v>1.1415525114155251E-4</v>
      </c>
      <c r="Y383">
        <v>1.4253868019126702E-4</v>
      </c>
      <c r="Z383" t="s">
        <v>1850</v>
      </c>
      <c r="AA383" t="s">
        <v>25</v>
      </c>
      <c r="AC383" t="s">
        <v>22</v>
      </c>
      <c r="AD383" t="s">
        <v>1850</v>
      </c>
      <c r="AE383">
        <v>1.3928383797356071E-4</v>
      </c>
      <c r="AG383" t="s">
        <v>99</v>
      </c>
      <c r="AH383" t="s">
        <v>1850</v>
      </c>
      <c r="AI383">
        <v>0</v>
      </c>
    </row>
    <row r="384" spans="9:35" x14ac:dyDescent="0.45">
      <c r="I384" t="s">
        <v>249</v>
      </c>
      <c r="J384" t="s">
        <v>1851</v>
      </c>
      <c r="K384">
        <v>1.0351355807949999E-4</v>
      </c>
      <c r="L384" t="s">
        <v>251</v>
      </c>
      <c r="N384" t="s">
        <v>419</v>
      </c>
      <c r="O384" t="s">
        <v>1851</v>
      </c>
      <c r="P384">
        <v>2.6184559545582505E-5</v>
      </c>
      <c r="Q384" t="s">
        <v>251</v>
      </c>
      <c r="S384" t="s">
        <v>420</v>
      </c>
      <c r="T384" t="s">
        <v>1851</v>
      </c>
      <c r="U384">
        <v>5.770684587107647E-5</v>
      </c>
      <c r="V384" t="s">
        <v>251</v>
      </c>
      <c r="X384">
        <v>1.1415525114155251E-4</v>
      </c>
      <c r="Y384">
        <v>1.4883690094390442E-4</v>
      </c>
      <c r="Z384" t="s">
        <v>1851</v>
      </c>
      <c r="AA384" t="s">
        <v>25</v>
      </c>
      <c r="AC384" t="s">
        <v>22</v>
      </c>
      <c r="AD384" t="s">
        <v>1851</v>
      </c>
      <c r="AE384">
        <v>1.2283125806115844E-4</v>
      </c>
      <c r="AG384" t="s">
        <v>99</v>
      </c>
      <c r="AH384" t="s">
        <v>1851</v>
      </c>
      <c r="AI384">
        <v>0</v>
      </c>
    </row>
    <row r="385" spans="9:35" x14ac:dyDescent="0.45">
      <c r="I385" t="s">
        <v>249</v>
      </c>
      <c r="J385" t="s">
        <v>1852</v>
      </c>
      <c r="K385">
        <v>8.6392292498530871E-5</v>
      </c>
      <c r="L385" t="s">
        <v>251</v>
      </c>
      <c r="N385" t="s">
        <v>419</v>
      </c>
      <c r="O385" t="s">
        <v>1852</v>
      </c>
      <c r="P385">
        <v>2.3880309378920752E-5</v>
      </c>
      <c r="Q385" t="s">
        <v>251</v>
      </c>
      <c r="S385" t="s">
        <v>420</v>
      </c>
      <c r="T385" t="s">
        <v>1852</v>
      </c>
      <c r="U385">
        <v>5.0288246465792637E-5</v>
      </c>
      <c r="V385" t="s">
        <v>251</v>
      </c>
      <c r="X385">
        <v>1.1415525114155251E-4</v>
      </c>
      <c r="Y385">
        <v>1.5049432745775637E-4</v>
      </c>
      <c r="Z385" t="s">
        <v>1852</v>
      </c>
      <c r="AA385" t="s">
        <v>25</v>
      </c>
      <c r="AC385" t="s">
        <v>22</v>
      </c>
      <c r="AD385" t="s">
        <v>1852</v>
      </c>
      <c r="AE385">
        <v>1.1295494470317039E-4</v>
      </c>
      <c r="AG385" t="s">
        <v>99</v>
      </c>
      <c r="AH385" t="s">
        <v>1852</v>
      </c>
      <c r="AI385">
        <v>0</v>
      </c>
    </row>
    <row r="386" spans="9:35" x14ac:dyDescent="0.45">
      <c r="I386" t="s">
        <v>249</v>
      </c>
      <c r="J386" t="s">
        <v>1853</v>
      </c>
      <c r="K386">
        <v>7.5979244501276009E-5</v>
      </c>
      <c r="L386" t="s">
        <v>251</v>
      </c>
      <c r="N386" t="s">
        <v>419</v>
      </c>
      <c r="O386" t="s">
        <v>1853</v>
      </c>
      <c r="P386">
        <v>2.3752855161685543E-5</v>
      </c>
      <c r="Q386" t="s">
        <v>251</v>
      </c>
      <c r="S386" t="s">
        <v>420</v>
      </c>
      <c r="T386" t="s">
        <v>1853</v>
      </c>
      <c r="U386">
        <v>4.7420062005439659E-5</v>
      </c>
      <c r="V386" t="s">
        <v>251</v>
      </c>
      <c r="X386">
        <v>1.1415525114155251E-4</v>
      </c>
      <c r="Y386">
        <v>1.7237235744060203E-4</v>
      </c>
      <c r="Z386" t="s">
        <v>1853</v>
      </c>
      <c r="AA386" t="s">
        <v>25</v>
      </c>
      <c r="AC386" t="s">
        <v>22</v>
      </c>
      <c r="AD386" t="s">
        <v>1853</v>
      </c>
      <c r="AE386">
        <v>9.1278283478973438E-5</v>
      </c>
      <c r="AG386" t="s">
        <v>99</v>
      </c>
      <c r="AH386" t="s">
        <v>1853</v>
      </c>
      <c r="AI386">
        <v>0</v>
      </c>
    </row>
    <row r="387" spans="9:35" x14ac:dyDescent="0.45">
      <c r="I387" t="s">
        <v>249</v>
      </c>
      <c r="J387" t="s">
        <v>1854</v>
      </c>
      <c r="K387">
        <v>5.1895532962596335E-5</v>
      </c>
      <c r="L387" t="s">
        <v>251</v>
      </c>
      <c r="N387" t="s">
        <v>419</v>
      </c>
      <c r="O387" t="s">
        <v>1854</v>
      </c>
      <c r="P387">
        <v>2.6232335266658249E-5</v>
      </c>
      <c r="Q387" t="s">
        <v>251</v>
      </c>
      <c r="S387" t="s">
        <v>420</v>
      </c>
      <c r="T387" t="s">
        <v>1854</v>
      </c>
      <c r="U387">
        <v>4.9107457438109353E-5</v>
      </c>
      <c r="V387" t="s">
        <v>251</v>
      </c>
      <c r="X387">
        <v>1.1415525114155251E-4</v>
      </c>
      <c r="Y387">
        <v>2.2209515285616027E-4</v>
      </c>
      <c r="Z387" t="s">
        <v>1854</v>
      </c>
      <c r="AA387" t="s">
        <v>25</v>
      </c>
      <c r="AC387" t="s">
        <v>22</v>
      </c>
      <c r="AD387" t="s">
        <v>1854</v>
      </c>
      <c r="AE387">
        <v>8.8162896334083372E-5</v>
      </c>
      <c r="AG387" t="s">
        <v>99</v>
      </c>
      <c r="AH387" t="s">
        <v>1854</v>
      </c>
      <c r="AI387">
        <v>0</v>
      </c>
    </row>
    <row r="388" spans="9:35" x14ac:dyDescent="0.45">
      <c r="I388" t="s">
        <v>249</v>
      </c>
      <c r="J388" t="s">
        <v>1855</v>
      </c>
      <c r="K388">
        <v>2.5421013305160534E-5</v>
      </c>
      <c r="L388" t="s">
        <v>251</v>
      </c>
      <c r="N388" t="s">
        <v>419</v>
      </c>
      <c r="O388" t="s">
        <v>1855</v>
      </c>
      <c r="P388">
        <v>3.2338884070188822E-5</v>
      </c>
      <c r="Q388" t="s">
        <v>251</v>
      </c>
      <c r="S388" t="s">
        <v>420</v>
      </c>
      <c r="T388" t="s">
        <v>1855</v>
      </c>
      <c r="U388">
        <v>5.6139944159992667E-5</v>
      </c>
      <c r="V388" t="s">
        <v>251</v>
      </c>
      <c r="X388">
        <v>1.1415525114155251E-4</v>
      </c>
      <c r="Y388">
        <v>2.2209515285616027E-4</v>
      </c>
      <c r="Z388" t="s">
        <v>1855</v>
      </c>
      <c r="AA388" t="s">
        <v>25</v>
      </c>
      <c r="AC388" t="s">
        <v>22</v>
      </c>
      <c r="AD388" t="s">
        <v>1855</v>
      </c>
      <c r="AE388">
        <v>8.4159951474874697E-5</v>
      </c>
      <c r="AG388" t="s">
        <v>99</v>
      </c>
      <c r="AH388" t="s">
        <v>1855</v>
      </c>
      <c r="AI388">
        <v>0</v>
      </c>
    </row>
    <row r="389" spans="9:35" x14ac:dyDescent="0.45">
      <c r="I389" t="s">
        <v>249</v>
      </c>
      <c r="J389" t="s">
        <v>1856</v>
      </c>
      <c r="K389">
        <v>8.2856735838806223E-8</v>
      </c>
      <c r="L389" t="s">
        <v>251</v>
      </c>
      <c r="N389" t="s">
        <v>419</v>
      </c>
      <c r="O389" t="s">
        <v>1856</v>
      </c>
      <c r="P389">
        <v>3.9504391147228681E-5</v>
      </c>
      <c r="Q389" t="s">
        <v>251</v>
      </c>
      <c r="S389" t="s">
        <v>420</v>
      </c>
      <c r="T389" t="s">
        <v>1856</v>
      </c>
      <c r="U389">
        <v>6.5145323550747149E-5</v>
      </c>
      <c r="V389" t="s">
        <v>251</v>
      </c>
      <c r="X389">
        <v>1.1415525114155251E-4</v>
      </c>
      <c r="Y389">
        <v>1.7237235744060203E-4</v>
      </c>
      <c r="Z389" t="s">
        <v>1856</v>
      </c>
      <c r="AA389" t="s">
        <v>25</v>
      </c>
      <c r="AC389" t="s">
        <v>22</v>
      </c>
      <c r="AD389" t="s">
        <v>1856</v>
      </c>
      <c r="AE389">
        <v>8.5369174401093992E-5</v>
      </c>
      <c r="AG389" t="s">
        <v>99</v>
      </c>
      <c r="AH389" t="s">
        <v>1856</v>
      </c>
      <c r="AI389">
        <v>0</v>
      </c>
    </row>
    <row r="390" spans="9:35" x14ac:dyDescent="0.45">
      <c r="I390" t="s">
        <v>249</v>
      </c>
      <c r="J390" t="s">
        <v>1857</v>
      </c>
      <c r="K390">
        <v>0</v>
      </c>
      <c r="L390" t="s">
        <v>251</v>
      </c>
      <c r="N390" t="s">
        <v>419</v>
      </c>
      <c r="O390" t="s">
        <v>1857</v>
      </c>
      <c r="P390">
        <v>4.5432406240170072E-5</v>
      </c>
      <c r="Q390" t="s">
        <v>251</v>
      </c>
      <c r="S390" t="s">
        <v>420</v>
      </c>
      <c r="T390" t="s">
        <v>1857</v>
      </c>
      <c r="U390">
        <v>7.1621115679729004E-5</v>
      </c>
      <c r="V390" t="s">
        <v>251</v>
      </c>
      <c r="X390">
        <v>1.1415525114155251E-4</v>
      </c>
      <c r="Y390">
        <v>1.5579809230208258E-4</v>
      </c>
      <c r="Z390" t="s">
        <v>1857</v>
      </c>
      <c r="AA390" t="s">
        <v>25</v>
      </c>
      <c r="AC390" t="s">
        <v>22</v>
      </c>
      <c r="AD390" t="s">
        <v>1857</v>
      </c>
      <c r="AE390">
        <v>8.9378076023486006E-5</v>
      </c>
      <c r="AG390" t="s">
        <v>99</v>
      </c>
      <c r="AH390" t="s">
        <v>1857</v>
      </c>
      <c r="AI390">
        <v>0</v>
      </c>
    </row>
    <row r="391" spans="9:35" x14ac:dyDescent="0.45">
      <c r="I391" t="s">
        <v>249</v>
      </c>
      <c r="J391" t="s">
        <v>1858</v>
      </c>
      <c r="K391">
        <v>0</v>
      </c>
      <c r="L391" t="s">
        <v>251</v>
      </c>
      <c r="N391" t="s">
        <v>419</v>
      </c>
      <c r="O391" t="s">
        <v>1858</v>
      </c>
      <c r="P391">
        <v>4.7555580915096098E-5</v>
      </c>
      <c r="Q391" t="s">
        <v>251</v>
      </c>
      <c r="S391" t="s">
        <v>420</v>
      </c>
      <c r="T391" t="s">
        <v>1858</v>
      </c>
      <c r="U391">
        <v>7.1979919212038148E-5</v>
      </c>
      <c r="V391" t="s">
        <v>251</v>
      </c>
      <c r="X391">
        <v>1.1415525114155251E-4</v>
      </c>
      <c r="Y391">
        <v>1.093901499142282E-4</v>
      </c>
      <c r="Z391" t="s">
        <v>1858</v>
      </c>
      <c r="AA391" t="s">
        <v>25</v>
      </c>
      <c r="AC391" t="s">
        <v>22</v>
      </c>
      <c r="AD391" t="s">
        <v>1858</v>
      </c>
      <c r="AE391">
        <v>1.0783808512867598E-4</v>
      </c>
      <c r="AG391" t="s">
        <v>99</v>
      </c>
      <c r="AH391" t="s">
        <v>1858</v>
      </c>
      <c r="AI391">
        <v>0</v>
      </c>
    </row>
    <row r="392" spans="9:35" x14ac:dyDescent="0.45">
      <c r="I392" t="s">
        <v>249</v>
      </c>
      <c r="J392" t="s">
        <v>1859</v>
      </c>
      <c r="K392">
        <v>0</v>
      </c>
      <c r="L392" t="s">
        <v>251</v>
      </c>
      <c r="N392" t="s">
        <v>419</v>
      </c>
      <c r="O392" t="s">
        <v>1859</v>
      </c>
      <c r="P392">
        <v>4.9437690242407299E-5</v>
      </c>
      <c r="Q392" t="s">
        <v>251</v>
      </c>
      <c r="S392" t="s">
        <v>420</v>
      </c>
      <c r="T392" t="s">
        <v>1859</v>
      </c>
      <c r="U392">
        <v>7.1644095904857603E-5</v>
      </c>
      <c r="V392" t="s">
        <v>251</v>
      </c>
      <c r="X392">
        <v>1.1415525114155251E-4</v>
      </c>
      <c r="Y392">
        <v>7.9556472664893237E-5</v>
      </c>
      <c r="Z392" t="s">
        <v>1859</v>
      </c>
      <c r="AA392" t="s">
        <v>25</v>
      </c>
      <c r="AC392" t="s">
        <v>22</v>
      </c>
      <c r="AD392" t="s">
        <v>1859</v>
      </c>
      <c r="AE392">
        <v>1.2625044012839917E-4</v>
      </c>
      <c r="AG392" t="s">
        <v>99</v>
      </c>
      <c r="AH392" t="s">
        <v>1859</v>
      </c>
      <c r="AI392">
        <v>0</v>
      </c>
    </row>
    <row r="393" spans="9:35" x14ac:dyDescent="0.45">
      <c r="I393" t="s">
        <v>249</v>
      </c>
      <c r="J393" t="s">
        <v>1860</v>
      </c>
      <c r="K393">
        <v>0</v>
      </c>
      <c r="L393" t="s">
        <v>251</v>
      </c>
      <c r="N393" t="s">
        <v>419</v>
      </c>
      <c r="O393" t="s">
        <v>1860</v>
      </c>
      <c r="P393">
        <v>4.8899936422588323E-5</v>
      </c>
      <c r="Q393" t="s">
        <v>251</v>
      </c>
      <c r="S393" t="s">
        <v>420</v>
      </c>
      <c r="T393" t="s">
        <v>1860</v>
      </c>
      <c r="U393">
        <v>7.694564301510884E-5</v>
      </c>
      <c r="V393" t="s">
        <v>251</v>
      </c>
      <c r="X393">
        <v>1.1415525114155251E-4</v>
      </c>
      <c r="Y393">
        <v>5.6352501470966035E-5</v>
      </c>
      <c r="Z393" t="s">
        <v>1860</v>
      </c>
      <c r="AA393" t="s">
        <v>25</v>
      </c>
      <c r="AC393" t="s">
        <v>22</v>
      </c>
      <c r="AD393" t="s">
        <v>1860</v>
      </c>
      <c r="AE393">
        <v>1.3696665709523904E-4</v>
      </c>
      <c r="AG393" t="s">
        <v>99</v>
      </c>
      <c r="AH393" t="s">
        <v>1860</v>
      </c>
      <c r="AI393">
        <v>0</v>
      </c>
    </row>
    <row r="394" spans="9:35" x14ac:dyDescent="0.45">
      <c r="I394" t="s">
        <v>249</v>
      </c>
      <c r="J394" t="s">
        <v>1861</v>
      </c>
      <c r="K394">
        <v>0</v>
      </c>
      <c r="L394" t="s">
        <v>251</v>
      </c>
      <c r="N394" t="s">
        <v>419</v>
      </c>
      <c r="O394" t="s">
        <v>1861</v>
      </c>
      <c r="P394">
        <v>4.812529291456436E-5</v>
      </c>
      <c r="Q394" t="s">
        <v>251</v>
      </c>
      <c r="S394" t="s">
        <v>420</v>
      </c>
      <c r="T394" t="s">
        <v>1861</v>
      </c>
      <c r="U394">
        <v>7.9181033753468051E-5</v>
      </c>
      <c r="V394" t="s">
        <v>251</v>
      </c>
      <c r="X394">
        <v>1.1415525114155251E-4</v>
      </c>
      <c r="Y394">
        <v>2.9833677249334962E-5</v>
      </c>
      <c r="Z394" t="s">
        <v>1861</v>
      </c>
      <c r="AA394" t="s">
        <v>25</v>
      </c>
      <c r="AC394" t="s">
        <v>22</v>
      </c>
      <c r="AD394" t="s">
        <v>1861</v>
      </c>
      <c r="AE394">
        <v>1.4573501250112467E-4</v>
      </c>
      <c r="AG394" t="s">
        <v>99</v>
      </c>
      <c r="AH394" t="s">
        <v>1861</v>
      </c>
      <c r="AI394">
        <v>0</v>
      </c>
    </row>
    <row r="395" spans="9:35" x14ac:dyDescent="0.45">
      <c r="I395" t="s">
        <v>249</v>
      </c>
      <c r="J395" t="s">
        <v>323</v>
      </c>
      <c r="K395">
        <v>0</v>
      </c>
      <c r="L395" t="s">
        <v>251</v>
      </c>
      <c r="N395" t="s">
        <v>419</v>
      </c>
      <c r="O395" t="s">
        <v>323</v>
      </c>
      <c r="P395">
        <v>2.4141775459495713E-2</v>
      </c>
      <c r="Q395" t="s">
        <v>251</v>
      </c>
      <c r="S395" t="s">
        <v>420</v>
      </c>
      <c r="T395" t="s">
        <v>323</v>
      </c>
      <c r="U395">
        <v>2.2693313561102026E-2</v>
      </c>
      <c r="V395" t="s">
        <v>251</v>
      </c>
      <c r="X395">
        <v>2.1232876712328767E-2</v>
      </c>
      <c r="Y395">
        <v>4.5420116185598634E-3</v>
      </c>
      <c r="Z395" t="s">
        <v>323</v>
      </c>
      <c r="AA395" t="s">
        <v>25</v>
      </c>
      <c r="AC395" t="s">
        <v>22</v>
      </c>
      <c r="AD395" t="s">
        <v>323</v>
      </c>
      <c r="AE395">
        <v>2.3979920575086799E-2</v>
      </c>
      <c r="AG395" t="s">
        <v>99</v>
      </c>
      <c r="AH395" t="s">
        <v>323</v>
      </c>
      <c r="AI395">
        <v>0.1032275574828907</v>
      </c>
    </row>
    <row r="396" spans="9:35" x14ac:dyDescent="0.45">
      <c r="I396" t="s">
        <v>249</v>
      </c>
      <c r="J396" t="s">
        <v>324</v>
      </c>
      <c r="K396">
        <v>0</v>
      </c>
      <c r="L396" t="s">
        <v>251</v>
      </c>
      <c r="N396" t="s">
        <v>419</v>
      </c>
      <c r="O396" t="s">
        <v>324</v>
      </c>
      <c r="P396">
        <v>3.8362604124315223E-3</v>
      </c>
      <c r="Q396" t="s">
        <v>251</v>
      </c>
      <c r="S396" t="s">
        <v>420</v>
      </c>
      <c r="T396" t="s">
        <v>324</v>
      </c>
      <c r="U396">
        <v>3.686837046252508E-3</v>
      </c>
      <c r="V396" t="s">
        <v>251</v>
      </c>
      <c r="X396">
        <v>3.5388127853881279E-3</v>
      </c>
      <c r="Y396">
        <v>5.240782636799844E-3</v>
      </c>
      <c r="Z396" t="s">
        <v>324</v>
      </c>
      <c r="AA396" t="s">
        <v>25</v>
      </c>
      <c r="AC396" t="s">
        <v>22</v>
      </c>
      <c r="AD396" t="s">
        <v>324</v>
      </c>
      <c r="AE396">
        <v>3.986693721138578E-3</v>
      </c>
      <c r="AG396" t="s">
        <v>99</v>
      </c>
      <c r="AH396" t="s">
        <v>324</v>
      </c>
      <c r="AI396">
        <v>5.6498111575230325E-2</v>
      </c>
    </row>
    <row r="397" spans="9:35" x14ac:dyDescent="0.45">
      <c r="I397" t="s">
        <v>249</v>
      </c>
      <c r="J397" t="s">
        <v>325</v>
      </c>
      <c r="K397">
        <v>7.8052309015312832E-4</v>
      </c>
      <c r="L397" t="s">
        <v>251</v>
      </c>
      <c r="N397" t="s">
        <v>419</v>
      </c>
      <c r="O397" t="s">
        <v>325</v>
      </c>
      <c r="P397">
        <v>3.7884128657880421E-3</v>
      </c>
      <c r="Q397" t="s">
        <v>251</v>
      </c>
      <c r="S397" t="s">
        <v>420</v>
      </c>
      <c r="T397" t="s">
        <v>325</v>
      </c>
      <c r="U397">
        <v>3.5999580091018047E-3</v>
      </c>
      <c r="V397" t="s">
        <v>251</v>
      </c>
      <c r="X397">
        <v>3.5388127853881279E-3</v>
      </c>
      <c r="Y397">
        <v>5.9087255218821738E-3</v>
      </c>
      <c r="Z397" t="s">
        <v>325</v>
      </c>
      <c r="AA397" t="s">
        <v>25</v>
      </c>
      <c r="AC397" t="s">
        <v>22</v>
      </c>
      <c r="AD397" t="s">
        <v>325</v>
      </c>
      <c r="AE397">
        <v>4.2316119961850413E-3</v>
      </c>
      <c r="AG397" t="s">
        <v>99</v>
      </c>
      <c r="AH397" t="s">
        <v>325</v>
      </c>
      <c r="AI397">
        <v>9.3579735387869789E-2</v>
      </c>
    </row>
    <row r="398" spans="9:35" x14ac:dyDescent="0.45">
      <c r="I398" t="s">
        <v>249</v>
      </c>
      <c r="J398" t="s">
        <v>326</v>
      </c>
      <c r="K398">
        <v>3.598844042367861E-2</v>
      </c>
      <c r="L398" t="s">
        <v>251</v>
      </c>
      <c r="N398" t="s">
        <v>419</v>
      </c>
      <c r="O398" t="s">
        <v>326</v>
      </c>
      <c r="P398">
        <v>1.7718370554977197E-2</v>
      </c>
      <c r="Q398" t="s">
        <v>251</v>
      </c>
      <c r="S398" t="s">
        <v>420</v>
      </c>
      <c r="T398" t="s">
        <v>326</v>
      </c>
      <c r="U398">
        <v>2.1919812724936486E-2</v>
      </c>
      <c r="V398" t="s">
        <v>251</v>
      </c>
      <c r="X398">
        <v>2.1232876712328767E-2</v>
      </c>
      <c r="Y398">
        <v>2.6758819580836844E-2</v>
      </c>
      <c r="Z398" t="s">
        <v>326</v>
      </c>
      <c r="AA398" t="s">
        <v>25</v>
      </c>
      <c r="AC398" t="s">
        <v>22</v>
      </c>
      <c r="AD398" t="s">
        <v>326</v>
      </c>
      <c r="AE398">
        <v>2.52893600851027E-2</v>
      </c>
      <c r="AG398" t="s">
        <v>99</v>
      </c>
      <c r="AH398" t="s">
        <v>326</v>
      </c>
      <c r="AI398">
        <v>0.13028808653136692</v>
      </c>
    </row>
    <row r="399" spans="9:35" x14ac:dyDescent="0.45">
      <c r="I399" t="s">
        <v>249</v>
      </c>
      <c r="J399" t="s">
        <v>327</v>
      </c>
      <c r="K399">
        <v>1.6768638501399199E-2</v>
      </c>
      <c r="L399" t="s">
        <v>251</v>
      </c>
      <c r="N399" t="s">
        <v>419</v>
      </c>
      <c r="O399" t="s">
        <v>327</v>
      </c>
      <c r="P399">
        <v>8.0509621699873263E-3</v>
      </c>
      <c r="Q399" t="s">
        <v>251</v>
      </c>
      <c r="S399" t="s">
        <v>420</v>
      </c>
      <c r="T399" t="s">
        <v>327</v>
      </c>
      <c r="U399">
        <v>1.0995196107660529E-2</v>
      </c>
      <c r="V399" t="s">
        <v>251</v>
      </c>
      <c r="X399">
        <v>1.0616438356164383E-2</v>
      </c>
      <c r="Y399">
        <v>1.6893816970390073E-2</v>
      </c>
      <c r="Z399" t="s">
        <v>327</v>
      </c>
      <c r="AA399" t="s">
        <v>25</v>
      </c>
      <c r="AC399" t="s">
        <v>22</v>
      </c>
      <c r="AD399" t="s">
        <v>327</v>
      </c>
      <c r="AE399">
        <v>8.9752722242677878E-3</v>
      </c>
      <c r="AG399" t="s">
        <v>99</v>
      </c>
      <c r="AH399" t="s">
        <v>327</v>
      </c>
      <c r="AI399">
        <v>0.11180787818753379</v>
      </c>
    </row>
    <row r="400" spans="9:35" x14ac:dyDescent="0.45">
      <c r="I400" t="s">
        <v>249</v>
      </c>
      <c r="J400" t="s">
        <v>328</v>
      </c>
      <c r="K400">
        <v>3.9152964462415398E-3</v>
      </c>
      <c r="L400" t="s">
        <v>251</v>
      </c>
      <c r="N400" t="s">
        <v>419</v>
      </c>
      <c r="O400" t="s">
        <v>328</v>
      </c>
      <c r="P400">
        <v>2.6456635384339232E-3</v>
      </c>
      <c r="Q400" t="s">
        <v>251</v>
      </c>
      <c r="S400" t="s">
        <v>420</v>
      </c>
      <c r="T400" t="s">
        <v>328</v>
      </c>
      <c r="U400">
        <v>3.6218907938387621E-3</v>
      </c>
      <c r="V400" t="s">
        <v>251</v>
      </c>
      <c r="X400">
        <v>3.5388127853881279E-3</v>
      </c>
      <c r="Y400">
        <v>6.8849497385409693E-3</v>
      </c>
      <c r="Z400" t="s">
        <v>328</v>
      </c>
      <c r="AA400" t="s">
        <v>25</v>
      </c>
      <c r="AC400" t="s">
        <v>22</v>
      </c>
      <c r="AD400" t="s">
        <v>328</v>
      </c>
      <c r="AE400">
        <v>2.5747442735004709E-3</v>
      </c>
      <c r="AG400" t="s">
        <v>99</v>
      </c>
      <c r="AH400" t="s">
        <v>328</v>
      </c>
      <c r="AI400">
        <v>2.9026495980946754E-2</v>
      </c>
    </row>
    <row r="401" spans="9:35" x14ac:dyDescent="0.45">
      <c r="I401" t="s">
        <v>249</v>
      </c>
      <c r="J401" t="s">
        <v>329</v>
      </c>
      <c r="K401">
        <v>9.7688216512112434E-4</v>
      </c>
      <c r="L401" t="s">
        <v>251</v>
      </c>
      <c r="N401" t="s">
        <v>419</v>
      </c>
      <c r="O401" t="s">
        <v>329</v>
      </c>
      <c r="P401">
        <v>2.930497437883046E-3</v>
      </c>
      <c r="Q401" t="s">
        <v>251</v>
      </c>
      <c r="S401" t="s">
        <v>420</v>
      </c>
      <c r="T401" t="s">
        <v>329</v>
      </c>
      <c r="U401">
        <v>3.5799806164893669E-3</v>
      </c>
      <c r="V401" t="s">
        <v>251</v>
      </c>
      <c r="X401">
        <v>3.5388127853881279E-3</v>
      </c>
      <c r="Y401">
        <v>5.3435430806586613E-3</v>
      </c>
      <c r="Z401" t="s">
        <v>329</v>
      </c>
      <c r="AA401" t="s">
        <v>25</v>
      </c>
      <c r="AC401" t="s">
        <v>22</v>
      </c>
      <c r="AD401" t="s">
        <v>329</v>
      </c>
      <c r="AE401">
        <v>2.6002451766883763E-3</v>
      </c>
      <c r="AG401" t="s">
        <v>99</v>
      </c>
      <c r="AH401" t="s">
        <v>329</v>
      </c>
      <c r="AI401">
        <v>3.6642143420682283E-2</v>
      </c>
    </row>
    <row r="402" spans="9:35" x14ac:dyDescent="0.45">
      <c r="I402" t="s">
        <v>249</v>
      </c>
      <c r="J402" t="s">
        <v>330</v>
      </c>
      <c r="K402">
        <v>0</v>
      </c>
      <c r="L402" t="s">
        <v>251</v>
      </c>
      <c r="N402" t="s">
        <v>419</v>
      </c>
      <c r="O402" t="s">
        <v>330</v>
      </c>
      <c r="P402">
        <v>1.9050993178450711E-2</v>
      </c>
      <c r="Q402" t="s">
        <v>251</v>
      </c>
      <c r="S402" t="s">
        <v>420</v>
      </c>
      <c r="T402" t="s">
        <v>330</v>
      </c>
      <c r="U402">
        <v>1.8281068833678568E-2</v>
      </c>
      <c r="V402" t="s">
        <v>251</v>
      </c>
      <c r="X402">
        <v>1.7694063926940638E-2</v>
      </c>
      <c r="Y402">
        <v>1.3358857701646654E-2</v>
      </c>
      <c r="Z402" t="s">
        <v>330</v>
      </c>
      <c r="AA402" t="s">
        <v>25</v>
      </c>
      <c r="AC402" t="s">
        <v>22</v>
      </c>
      <c r="AD402" t="s">
        <v>330</v>
      </c>
      <c r="AE402">
        <v>1.7683837421870352E-2</v>
      </c>
      <c r="AG402" t="s">
        <v>99</v>
      </c>
      <c r="AH402" t="s">
        <v>330</v>
      </c>
      <c r="AI402">
        <v>0.20480196779357418</v>
      </c>
    </row>
    <row r="403" spans="9:35" x14ac:dyDescent="0.45">
      <c r="I403" t="s">
        <v>249</v>
      </c>
      <c r="J403" t="s">
        <v>331</v>
      </c>
      <c r="K403">
        <v>0</v>
      </c>
      <c r="L403" t="s">
        <v>251</v>
      </c>
      <c r="N403" t="s">
        <v>419</v>
      </c>
      <c r="O403" t="s">
        <v>331</v>
      </c>
      <c r="P403">
        <v>2.1974063560462369E-2</v>
      </c>
      <c r="Q403" t="s">
        <v>251</v>
      </c>
      <c r="S403" t="s">
        <v>420</v>
      </c>
      <c r="T403" t="s">
        <v>331</v>
      </c>
      <c r="U403">
        <v>2.7283751510667056E-2</v>
      </c>
      <c r="V403" t="s">
        <v>251</v>
      </c>
      <c r="X403">
        <v>2.1232876712328767E-2</v>
      </c>
      <c r="Y403">
        <v>4.5420116185598634E-3</v>
      </c>
      <c r="Z403" t="s">
        <v>331</v>
      </c>
      <c r="AA403" t="s">
        <v>25</v>
      </c>
      <c r="AC403" t="s">
        <v>22</v>
      </c>
      <c r="AD403" t="s">
        <v>331</v>
      </c>
      <c r="AE403">
        <v>2.3404298694738292E-2</v>
      </c>
      <c r="AG403" t="s">
        <v>99</v>
      </c>
      <c r="AH403" t="s">
        <v>331</v>
      </c>
      <c r="AI403">
        <v>8.6770478469463619E-2</v>
      </c>
    </row>
    <row r="404" spans="9:35" x14ac:dyDescent="0.45">
      <c r="I404" t="s">
        <v>249</v>
      </c>
      <c r="J404" t="s">
        <v>332</v>
      </c>
      <c r="K404">
        <v>0</v>
      </c>
      <c r="L404" t="s">
        <v>251</v>
      </c>
      <c r="N404" t="s">
        <v>419</v>
      </c>
      <c r="O404" t="s">
        <v>332</v>
      </c>
      <c r="P404">
        <v>3.450239365884766E-3</v>
      </c>
      <c r="Q404" t="s">
        <v>251</v>
      </c>
      <c r="S404" t="s">
        <v>420</v>
      </c>
      <c r="T404" t="s">
        <v>332</v>
      </c>
      <c r="U404">
        <v>4.4860067785218154E-3</v>
      </c>
      <c r="V404" t="s">
        <v>251</v>
      </c>
      <c r="X404">
        <v>3.5388127853881279E-3</v>
      </c>
      <c r="Y404">
        <v>5.240782636799844E-3</v>
      </c>
      <c r="Z404" t="s">
        <v>332</v>
      </c>
      <c r="AA404" t="s">
        <v>25</v>
      </c>
      <c r="AC404" t="s">
        <v>22</v>
      </c>
      <c r="AD404" t="s">
        <v>332</v>
      </c>
      <c r="AE404">
        <v>3.9208830708802678E-3</v>
      </c>
      <c r="AG404" t="s">
        <v>99</v>
      </c>
      <c r="AH404" t="s">
        <v>332</v>
      </c>
      <c r="AI404">
        <v>6.1004223848656558E-2</v>
      </c>
    </row>
    <row r="405" spans="9:35" x14ac:dyDescent="0.45">
      <c r="I405" t="s">
        <v>249</v>
      </c>
      <c r="J405" t="s">
        <v>333</v>
      </c>
      <c r="K405">
        <v>2.5517161056882406E-3</v>
      </c>
      <c r="L405" t="s">
        <v>251</v>
      </c>
      <c r="N405" t="s">
        <v>419</v>
      </c>
      <c r="O405" t="s">
        <v>333</v>
      </c>
      <c r="P405">
        <v>3.3543672645367697E-3</v>
      </c>
      <c r="Q405" t="s">
        <v>251</v>
      </c>
      <c r="S405" t="s">
        <v>420</v>
      </c>
      <c r="T405" t="s">
        <v>333</v>
      </c>
      <c r="U405">
        <v>4.4835930943530672E-3</v>
      </c>
      <c r="V405" t="s">
        <v>251</v>
      </c>
      <c r="X405">
        <v>3.5388127853881279E-3</v>
      </c>
      <c r="Y405">
        <v>5.9087255218821738E-3</v>
      </c>
      <c r="Z405" t="s">
        <v>333</v>
      </c>
      <c r="AA405" t="s">
        <v>25</v>
      </c>
      <c r="AC405" t="s">
        <v>22</v>
      </c>
      <c r="AD405" t="s">
        <v>333</v>
      </c>
      <c r="AE405">
        <v>4.0787194249493931E-3</v>
      </c>
      <c r="AG405" t="s">
        <v>99</v>
      </c>
      <c r="AH405" t="s">
        <v>333</v>
      </c>
      <c r="AI405">
        <v>8.3453178737734612E-2</v>
      </c>
    </row>
    <row r="406" spans="9:35" x14ac:dyDescent="0.45">
      <c r="I406" t="s">
        <v>249</v>
      </c>
      <c r="J406" t="s">
        <v>334</v>
      </c>
      <c r="K406">
        <v>4.4592288830543898E-2</v>
      </c>
      <c r="L406" t="s">
        <v>251</v>
      </c>
      <c r="N406" t="s">
        <v>419</v>
      </c>
      <c r="O406" t="s">
        <v>334</v>
      </c>
      <c r="P406">
        <v>1.6331437927914888E-2</v>
      </c>
      <c r="Q406" t="s">
        <v>251</v>
      </c>
      <c r="S406" t="s">
        <v>420</v>
      </c>
      <c r="T406" t="s">
        <v>334</v>
      </c>
      <c r="U406">
        <v>2.7716967703179399E-2</v>
      </c>
      <c r="V406" t="s">
        <v>251</v>
      </c>
      <c r="X406">
        <v>2.1232876712328767E-2</v>
      </c>
      <c r="Y406">
        <v>2.6758819580836844E-2</v>
      </c>
      <c r="Z406" t="s">
        <v>334</v>
      </c>
      <c r="AA406" t="s">
        <v>25</v>
      </c>
      <c r="AC406" t="s">
        <v>22</v>
      </c>
      <c r="AD406" t="s">
        <v>334</v>
      </c>
      <c r="AE406">
        <v>2.4660008200840411E-2</v>
      </c>
      <c r="AG406" t="s">
        <v>99</v>
      </c>
      <c r="AH406" t="s">
        <v>334</v>
      </c>
      <c r="AI406">
        <v>0.16204740512519122</v>
      </c>
    </row>
    <row r="407" spans="9:35" x14ac:dyDescent="0.45">
      <c r="I407" t="s">
        <v>249</v>
      </c>
      <c r="J407" t="s">
        <v>335</v>
      </c>
      <c r="K407">
        <v>2.09831215758269E-2</v>
      </c>
      <c r="L407" t="s">
        <v>251</v>
      </c>
      <c r="N407" t="s">
        <v>419</v>
      </c>
      <c r="O407" t="s">
        <v>335</v>
      </c>
      <c r="P407">
        <v>8.535814500486065E-3</v>
      </c>
      <c r="Q407" t="s">
        <v>251</v>
      </c>
      <c r="S407" t="s">
        <v>420</v>
      </c>
      <c r="T407" t="s">
        <v>335</v>
      </c>
      <c r="U407">
        <v>1.4122223160482752E-2</v>
      </c>
      <c r="V407" t="s">
        <v>251</v>
      </c>
      <c r="X407">
        <v>1.0616438356164383E-2</v>
      </c>
      <c r="Y407">
        <v>1.6893816970390073E-2</v>
      </c>
      <c r="Z407" t="s">
        <v>335</v>
      </c>
      <c r="AA407" t="s">
        <v>25</v>
      </c>
      <c r="AC407" t="s">
        <v>22</v>
      </c>
      <c r="AD407" t="s">
        <v>335</v>
      </c>
      <c r="AE407">
        <v>8.7792639398936757E-3</v>
      </c>
      <c r="AG407" t="s">
        <v>99</v>
      </c>
      <c r="AH407" t="s">
        <v>335</v>
      </c>
      <c r="AI407">
        <v>0.11093550843474387</v>
      </c>
    </row>
    <row r="408" spans="9:35" x14ac:dyDescent="0.45">
      <c r="I408" t="s">
        <v>249</v>
      </c>
      <c r="J408" t="s">
        <v>336</v>
      </c>
      <c r="K408">
        <v>5.2084514300123003E-3</v>
      </c>
      <c r="L408" t="s">
        <v>251</v>
      </c>
      <c r="N408" t="s">
        <v>419</v>
      </c>
      <c r="O408" t="s">
        <v>336</v>
      </c>
      <c r="P408">
        <v>2.7610342416565597E-3</v>
      </c>
      <c r="Q408" t="s">
        <v>251</v>
      </c>
      <c r="S408" t="s">
        <v>420</v>
      </c>
      <c r="T408" t="s">
        <v>336</v>
      </c>
      <c r="U408">
        <v>4.6884794009072516E-3</v>
      </c>
      <c r="V408" t="s">
        <v>251</v>
      </c>
      <c r="X408">
        <v>3.5388127853881279E-3</v>
      </c>
      <c r="Y408">
        <v>6.8849497385409693E-3</v>
      </c>
      <c r="Z408" t="s">
        <v>336</v>
      </c>
      <c r="AA408" t="s">
        <v>25</v>
      </c>
      <c r="AC408" t="s">
        <v>22</v>
      </c>
      <c r="AD408" t="s">
        <v>336</v>
      </c>
      <c r="AE408">
        <v>2.5171539564351779E-3</v>
      </c>
      <c r="AG408" t="s">
        <v>99</v>
      </c>
      <c r="AH408" t="s">
        <v>336</v>
      </c>
      <c r="AI408">
        <v>4.4173913511419194E-2</v>
      </c>
    </row>
    <row r="409" spans="9:35" x14ac:dyDescent="0.45">
      <c r="I409" t="s">
        <v>249</v>
      </c>
      <c r="J409" t="s">
        <v>337</v>
      </c>
      <c r="K409">
        <v>2.2047296132105187E-3</v>
      </c>
      <c r="L409" t="s">
        <v>251</v>
      </c>
      <c r="N409" t="s">
        <v>419</v>
      </c>
      <c r="O409" t="s">
        <v>337</v>
      </c>
      <c r="P409">
        <v>2.9540571089904824E-3</v>
      </c>
      <c r="Q409" t="s">
        <v>251</v>
      </c>
      <c r="S409" t="s">
        <v>420</v>
      </c>
      <c r="T409" t="s">
        <v>337</v>
      </c>
      <c r="U409">
        <v>4.6654493652520607E-3</v>
      </c>
      <c r="V409" t="s">
        <v>251</v>
      </c>
      <c r="X409">
        <v>3.5388127853881279E-3</v>
      </c>
      <c r="Y409">
        <v>5.3435430806586613E-3</v>
      </c>
      <c r="Z409" t="s">
        <v>337</v>
      </c>
      <c r="AA409" t="s">
        <v>25</v>
      </c>
      <c r="AC409" t="s">
        <v>22</v>
      </c>
      <c r="AD409" t="s">
        <v>337</v>
      </c>
      <c r="AE409">
        <v>2.5420591833047487E-3</v>
      </c>
      <c r="AG409" t="s">
        <v>99</v>
      </c>
      <c r="AH409" t="s">
        <v>337</v>
      </c>
      <c r="AI409">
        <v>4.5756950232309856E-2</v>
      </c>
    </row>
    <row r="410" spans="9:35" x14ac:dyDescent="0.45">
      <c r="I410" t="s">
        <v>249</v>
      </c>
      <c r="J410" t="s">
        <v>338</v>
      </c>
      <c r="K410">
        <v>0</v>
      </c>
      <c r="L410" t="s">
        <v>251</v>
      </c>
      <c r="N410" t="s">
        <v>419</v>
      </c>
      <c r="O410" t="s">
        <v>338</v>
      </c>
      <c r="P410">
        <v>1.8126116386870957E-2</v>
      </c>
      <c r="Q410" t="s">
        <v>251</v>
      </c>
      <c r="S410" t="s">
        <v>420</v>
      </c>
      <c r="T410" t="s">
        <v>338</v>
      </c>
      <c r="U410">
        <v>2.3326524318008243E-2</v>
      </c>
      <c r="V410" t="s">
        <v>251</v>
      </c>
      <c r="X410">
        <v>1.7694063926940638E-2</v>
      </c>
      <c r="Y410">
        <v>1.3358857701646654E-2</v>
      </c>
      <c r="Z410" t="s">
        <v>338</v>
      </c>
      <c r="AA410" t="s">
        <v>25</v>
      </c>
      <c r="AC410" t="s">
        <v>22</v>
      </c>
      <c r="AD410" t="s">
        <v>338</v>
      </c>
      <c r="AE410">
        <v>1.7040886577869188E-2</v>
      </c>
      <c r="AG410" t="s">
        <v>99</v>
      </c>
      <c r="AH410" t="s">
        <v>338</v>
      </c>
      <c r="AI410">
        <v>0.20820639587821077</v>
      </c>
    </row>
    <row r="411" spans="9:35" x14ac:dyDescent="0.45">
      <c r="I411" t="s">
        <v>249</v>
      </c>
      <c r="J411" t="s">
        <v>339</v>
      </c>
      <c r="K411">
        <v>0</v>
      </c>
      <c r="L411" t="s">
        <v>251</v>
      </c>
      <c r="N411" t="s">
        <v>419</v>
      </c>
      <c r="O411" t="s">
        <v>339</v>
      </c>
      <c r="P411">
        <v>2.329022222508044E-2</v>
      </c>
      <c r="Q411" t="s">
        <v>251</v>
      </c>
      <c r="S411" t="s">
        <v>420</v>
      </c>
      <c r="T411" t="s">
        <v>339</v>
      </c>
      <c r="U411">
        <v>2.4686265198238914E-2</v>
      </c>
      <c r="V411" t="s">
        <v>251</v>
      </c>
      <c r="X411">
        <v>2.0547945205479451E-2</v>
      </c>
      <c r="Y411">
        <v>4.3954951147353507E-3</v>
      </c>
      <c r="Z411" t="s">
        <v>339</v>
      </c>
      <c r="AA411" t="s">
        <v>25</v>
      </c>
      <c r="AC411" t="s">
        <v>22</v>
      </c>
      <c r="AD411" t="s">
        <v>339</v>
      </c>
      <c r="AE411">
        <v>2.20635094262423E-2</v>
      </c>
      <c r="AG411" t="s">
        <v>99</v>
      </c>
      <c r="AH411" t="s">
        <v>339</v>
      </c>
      <c r="AI411">
        <v>6.2509567223236084E-2</v>
      </c>
    </row>
    <row r="412" spans="9:35" x14ac:dyDescent="0.45">
      <c r="I412" t="s">
        <v>249</v>
      </c>
      <c r="J412" t="s">
        <v>340</v>
      </c>
      <c r="K412">
        <v>8.4965085546145338E-4</v>
      </c>
      <c r="L412" t="s">
        <v>251</v>
      </c>
      <c r="N412" t="s">
        <v>419</v>
      </c>
      <c r="O412" t="s">
        <v>340</v>
      </c>
      <c r="P412">
        <v>3.7341867783883508E-3</v>
      </c>
      <c r="Q412" t="s">
        <v>251</v>
      </c>
      <c r="S412" t="s">
        <v>420</v>
      </c>
      <c r="T412" t="s">
        <v>340</v>
      </c>
      <c r="U412">
        <v>4.0109180918799668E-3</v>
      </c>
      <c r="V412" t="s">
        <v>251</v>
      </c>
      <c r="X412">
        <v>3.4246575342465752E-3</v>
      </c>
      <c r="Y412">
        <v>5.0717251323869452E-3</v>
      </c>
      <c r="Z412" t="s">
        <v>340</v>
      </c>
      <c r="AA412" t="s">
        <v>25</v>
      </c>
      <c r="AC412" t="s">
        <v>22</v>
      </c>
      <c r="AD412" t="s">
        <v>340</v>
      </c>
      <c r="AE412">
        <v>3.688723304137644E-3</v>
      </c>
      <c r="AG412" t="s">
        <v>99</v>
      </c>
      <c r="AH412" t="s">
        <v>340</v>
      </c>
      <c r="AI412">
        <v>4.6965543844643687E-2</v>
      </c>
    </row>
    <row r="413" spans="9:35" x14ac:dyDescent="0.45">
      <c r="I413" t="s">
        <v>249</v>
      </c>
      <c r="J413" t="s">
        <v>341</v>
      </c>
      <c r="K413">
        <v>5.1823086694548996E-3</v>
      </c>
      <c r="L413" t="s">
        <v>251</v>
      </c>
      <c r="N413" t="s">
        <v>419</v>
      </c>
      <c r="O413" t="s">
        <v>341</v>
      </c>
      <c r="P413">
        <v>3.4574431563598775E-3</v>
      </c>
      <c r="Q413" t="s">
        <v>251</v>
      </c>
      <c r="S413" t="s">
        <v>420</v>
      </c>
      <c r="T413" t="s">
        <v>341</v>
      </c>
      <c r="U413">
        <v>3.9937662730240471E-3</v>
      </c>
      <c r="V413" t="s">
        <v>251</v>
      </c>
      <c r="X413">
        <v>3.4246575342465752E-3</v>
      </c>
      <c r="Y413">
        <v>5.7181214727892006E-3</v>
      </c>
      <c r="Z413" t="s">
        <v>341</v>
      </c>
      <c r="AA413" t="s">
        <v>25</v>
      </c>
      <c r="AC413" t="s">
        <v>22</v>
      </c>
      <c r="AD413" t="s">
        <v>341</v>
      </c>
      <c r="AE413">
        <v>3.7333990280127411E-3</v>
      </c>
      <c r="AG413" t="s">
        <v>99</v>
      </c>
      <c r="AH413" t="s">
        <v>341</v>
      </c>
      <c r="AI413">
        <v>4.706974602440317E-2</v>
      </c>
    </row>
    <row r="414" spans="9:35" x14ac:dyDescent="0.45">
      <c r="I414" t="s">
        <v>249</v>
      </c>
      <c r="J414" t="s">
        <v>342</v>
      </c>
      <c r="K414">
        <v>5.1828580337839499E-2</v>
      </c>
      <c r="L414" t="s">
        <v>251</v>
      </c>
      <c r="N414" t="s">
        <v>419</v>
      </c>
      <c r="O414" t="s">
        <v>342</v>
      </c>
      <c r="P414">
        <v>1.8684578790780063E-2</v>
      </c>
      <c r="Q414" t="s">
        <v>251</v>
      </c>
      <c r="S414" t="s">
        <v>420</v>
      </c>
      <c r="T414" t="s">
        <v>342</v>
      </c>
      <c r="U414">
        <v>2.314559558806557E-2</v>
      </c>
      <c r="V414" t="s">
        <v>251</v>
      </c>
      <c r="X414">
        <v>2.0547945205479451E-2</v>
      </c>
      <c r="Y414">
        <v>2.5895631852422749E-2</v>
      </c>
      <c r="Z414" t="s">
        <v>342</v>
      </c>
      <c r="AA414" t="s">
        <v>25</v>
      </c>
      <c r="AC414" t="s">
        <v>22</v>
      </c>
      <c r="AD414" t="s">
        <v>342</v>
      </c>
      <c r="AE414">
        <v>2.1863320485939582E-2</v>
      </c>
      <c r="AG414" t="s">
        <v>99</v>
      </c>
      <c r="AH414" t="s">
        <v>342</v>
      </c>
      <c r="AI414">
        <v>7.1588740096237391E-2</v>
      </c>
    </row>
    <row r="415" spans="9:35" x14ac:dyDescent="0.45">
      <c r="I415" t="s">
        <v>249</v>
      </c>
      <c r="J415" t="s">
        <v>343</v>
      </c>
      <c r="K415">
        <v>2.4336565811274802E-2</v>
      </c>
      <c r="L415" t="s">
        <v>251</v>
      </c>
      <c r="N415" t="s">
        <v>419</v>
      </c>
      <c r="O415" t="s">
        <v>343</v>
      </c>
      <c r="P415">
        <v>9.6451885135019188E-3</v>
      </c>
      <c r="Q415" t="s">
        <v>251</v>
      </c>
      <c r="S415" t="s">
        <v>420</v>
      </c>
      <c r="T415" t="s">
        <v>343</v>
      </c>
      <c r="U415">
        <v>1.183577085086864E-2</v>
      </c>
      <c r="V415" t="s">
        <v>251</v>
      </c>
      <c r="X415">
        <v>1.0273972602739725E-2</v>
      </c>
      <c r="Y415">
        <v>1.6348855132635558E-2</v>
      </c>
      <c r="Z415" t="s">
        <v>343</v>
      </c>
      <c r="AA415" t="s">
        <v>25</v>
      </c>
      <c r="AC415" t="s">
        <v>22</v>
      </c>
      <c r="AD415" t="s">
        <v>343</v>
      </c>
      <c r="AE415">
        <v>8.2152273122843272E-3</v>
      </c>
      <c r="AG415" t="s">
        <v>99</v>
      </c>
      <c r="AH415" t="s">
        <v>343</v>
      </c>
      <c r="AI415">
        <v>9.5268950975132771E-2</v>
      </c>
    </row>
    <row r="416" spans="9:35" x14ac:dyDescent="0.45">
      <c r="I416" t="s">
        <v>249</v>
      </c>
      <c r="J416" t="s">
        <v>344</v>
      </c>
      <c r="K416">
        <v>6.0926075915095999E-3</v>
      </c>
      <c r="L416" t="s">
        <v>251</v>
      </c>
      <c r="N416" t="s">
        <v>419</v>
      </c>
      <c r="O416" t="s">
        <v>344</v>
      </c>
      <c r="P416">
        <v>3.1249845854401711E-3</v>
      </c>
      <c r="Q416" t="s">
        <v>251</v>
      </c>
      <c r="S416" t="s">
        <v>420</v>
      </c>
      <c r="T416" t="s">
        <v>344</v>
      </c>
      <c r="U416">
        <v>4.0227461349593117E-3</v>
      </c>
      <c r="V416" t="s">
        <v>251</v>
      </c>
      <c r="X416">
        <v>3.4246575342465752E-3</v>
      </c>
      <c r="Y416">
        <v>6.662854585684809E-3</v>
      </c>
      <c r="Z416" t="s">
        <v>344</v>
      </c>
      <c r="AA416" t="s">
        <v>25</v>
      </c>
      <c r="AC416" t="s">
        <v>22</v>
      </c>
      <c r="AD416" t="s">
        <v>344</v>
      </c>
      <c r="AE416">
        <v>2.3685973609708193E-3</v>
      </c>
      <c r="AG416" t="s">
        <v>99</v>
      </c>
      <c r="AH416" t="s">
        <v>344</v>
      </c>
      <c r="AI416">
        <v>1.1095236819205656E-2</v>
      </c>
    </row>
    <row r="417" spans="9:35" x14ac:dyDescent="0.45">
      <c r="I417" t="s">
        <v>249</v>
      </c>
      <c r="J417" t="s">
        <v>345</v>
      </c>
      <c r="K417">
        <v>2.5215444166334132E-3</v>
      </c>
      <c r="L417" t="s">
        <v>251</v>
      </c>
      <c r="N417" t="s">
        <v>419</v>
      </c>
      <c r="O417" t="s">
        <v>345</v>
      </c>
      <c r="P417">
        <v>3.0927396577172706E-3</v>
      </c>
      <c r="Q417" t="s">
        <v>251</v>
      </c>
      <c r="S417" t="s">
        <v>420</v>
      </c>
      <c r="T417" t="s">
        <v>345</v>
      </c>
      <c r="U417">
        <v>4.0028744817976938E-3</v>
      </c>
      <c r="V417" t="s">
        <v>251</v>
      </c>
      <c r="X417">
        <v>3.4246575342465752E-3</v>
      </c>
      <c r="Y417">
        <v>5.1711707232180593E-3</v>
      </c>
      <c r="Z417" t="s">
        <v>345</v>
      </c>
      <c r="AA417" t="s">
        <v>25</v>
      </c>
      <c r="AC417" t="s">
        <v>22</v>
      </c>
      <c r="AD417" t="s">
        <v>345</v>
      </c>
      <c r="AE417">
        <v>2.3947832919248091E-3</v>
      </c>
      <c r="AG417" t="s">
        <v>99</v>
      </c>
      <c r="AH417" t="s">
        <v>345</v>
      </c>
      <c r="AI417">
        <v>1.3401285884287351E-2</v>
      </c>
    </row>
    <row r="418" spans="9:35" x14ac:dyDescent="0.45">
      <c r="I418" t="s">
        <v>249</v>
      </c>
      <c r="J418" t="s">
        <v>346</v>
      </c>
      <c r="K418">
        <v>0</v>
      </c>
      <c r="L418" t="s">
        <v>251</v>
      </c>
      <c r="N418" t="s">
        <v>419</v>
      </c>
      <c r="O418" t="s">
        <v>346</v>
      </c>
      <c r="P418">
        <v>1.8290350526645408E-2</v>
      </c>
      <c r="Q418" t="s">
        <v>251</v>
      </c>
      <c r="S418" t="s">
        <v>420</v>
      </c>
      <c r="T418" t="s">
        <v>346</v>
      </c>
      <c r="U418">
        <v>1.9714015292777096E-2</v>
      </c>
      <c r="V418" t="s">
        <v>251</v>
      </c>
      <c r="X418">
        <v>1.7123287671232876E-2</v>
      </c>
      <c r="Y418">
        <v>1.2927926808045149E-2</v>
      </c>
      <c r="Z418" t="s">
        <v>346</v>
      </c>
      <c r="AA418" t="s">
        <v>25</v>
      </c>
      <c r="AC418" t="s">
        <v>22</v>
      </c>
      <c r="AD418" t="s">
        <v>346</v>
      </c>
      <c r="AE418">
        <v>1.5524302192741167E-2</v>
      </c>
      <c r="AG418" t="s">
        <v>99</v>
      </c>
      <c r="AH418" t="s">
        <v>346</v>
      </c>
      <c r="AI418">
        <v>0.18602879837510433</v>
      </c>
    </row>
    <row r="419" spans="9:35" x14ac:dyDescent="0.45">
      <c r="I419" t="s">
        <v>249</v>
      </c>
      <c r="J419" t="s">
        <v>395</v>
      </c>
      <c r="K419">
        <v>0</v>
      </c>
      <c r="L419" t="s">
        <v>251</v>
      </c>
      <c r="N419" t="s">
        <v>419</v>
      </c>
      <c r="O419" t="s">
        <v>395</v>
      </c>
      <c r="P419">
        <v>3.1604979644208234E-2</v>
      </c>
      <c r="Q419" t="s">
        <v>251</v>
      </c>
      <c r="S419" t="s">
        <v>420</v>
      </c>
      <c r="T419" t="s">
        <v>395</v>
      </c>
      <c r="U419">
        <v>2.6334333439879402E-2</v>
      </c>
      <c r="V419" t="s">
        <v>251</v>
      </c>
      <c r="X419">
        <v>2.1232876712328767E-2</v>
      </c>
      <c r="Y419">
        <v>4.5420116185598634E-3</v>
      </c>
      <c r="Z419" t="s">
        <v>395</v>
      </c>
      <c r="AA419" t="s">
        <v>25</v>
      </c>
      <c r="AC419" t="s">
        <v>22</v>
      </c>
      <c r="AD419" t="s">
        <v>395</v>
      </c>
      <c r="AE419">
        <v>2.3158382109251394E-2</v>
      </c>
      <c r="AG419" t="s">
        <v>99</v>
      </c>
      <c r="AH419" t="s">
        <v>395</v>
      </c>
      <c r="AI419">
        <v>4.9670348256209529E-2</v>
      </c>
    </row>
    <row r="420" spans="9:35" x14ac:dyDescent="0.45">
      <c r="I420" t="s">
        <v>249</v>
      </c>
      <c r="J420" t="s">
        <v>396</v>
      </c>
      <c r="K420">
        <v>2.7469659482650798E-3</v>
      </c>
      <c r="L420" t="s">
        <v>251</v>
      </c>
      <c r="N420" t="s">
        <v>419</v>
      </c>
      <c r="O420" t="s">
        <v>396</v>
      </c>
      <c r="P420">
        <v>4.8897833570646634E-3</v>
      </c>
      <c r="Q420" t="s">
        <v>251</v>
      </c>
      <c r="S420" t="s">
        <v>420</v>
      </c>
      <c r="T420" t="s">
        <v>396</v>
      </c>
      <c r="U420">
        <v>4.2693770340923535E-3</v>
      </c>
      <c r="V420" t="s">
        <v>251</v>
      </c>
      <c r="X420">
        <v>3.5388127853881279E-3</v>
      </c>
      <c r="Y420">
        <v>5.240782636799844E-3</v>
      </c>
      <c r="Z420" t="s">
        <v>396</v>
      </c>
      <c r="AA420" t="s">
        <v>25</v>
      </c>
      <c r="AC420" t="s">
        <v>22</v>
      </c>
      <c r="AD420" t="s">
        <v>396</v>
      </c>
      <c r="AE420">
        <v>3.8998094398271796E-3</v>
      </c>
      <c r="AG420" t="s">
        <v>99</v>
      </c>
      <c r="AH420" t="s">
        <v>396</v>
      </c>
      <c r="AI420">
        <v>4.3802258938045124E-2</v>
      </c>
    </row>
    <row r="421" spans="9:35" x14ac:dyDescent="0.45">
      <c r="I421" t="s">
        <v>249</v>
      </c>
      <c r="J421" t="s">
        <v>397</v>
      </c>
      <c r="K421">
        <v>6.9655571424994001E-3</v>
      </c>
      <c r="L421" t="s">
        <v>251</v>
      </c>
      <c r="N421" t="s">
        <v>419</v>
      </c>
      <c r="O421" t="s">
        <v>397</v>
      </c>
      <c r="P421">
        <v>4.3399142751513794E-3</v>
      </c>
      <c r="Q421" t="s">
        <v>251</v>
      </c>
      <c r="S421" t="s">
        <v>420</v>
      </c>
      <c r="T421" t="s">
        <v>397</v>
      </c>
      <c r="U421">
        <v>4.3285178914231033E-3</v>
      </c>
      <c r="V421" t="s">
        <v>251</v>
      </c>
      <c r="X421">
        <v>3.5388127853881279E-3</v>
      </c>
      <c r="Y421">
        <v>5.9087255218821738E-3</v>
      </c>
      <c r="Z421" t="s">
        <v>397</v>
      </c>
      <c r="AA421" t="s">
        <v>25</v>
      </c>
      <c r="AC421" t="s">
        <v>22</v>
      </c>
      <c r="AD421" t="s">
        <v>397</v>
      </c>
      <c r="AE421">
        <v>3.9164347658718996E-3</v>
      </c>
      <c r="AG421" t="s">
        <v>99</v>
      </c>
      <c r="AH421" t="s">
        <v>397</v>
      </c>
      <c r="AI421">
        <v>3.8104371110900148E-2</v>
      </c>
    </row>
    <row r="422" spans="9:35" x14ac:dyDescent="0.45">
      <c r="I422" t="s">
        <v>249</v>
      </c>
      <c r="J422" t="s">
        <v>398</v>
      </c>
      <c r="K422">
        <v>5.9164672408411202E-2</v>
      </c>
      <c r="L422" t="s">
        <v>251</v>
      </c>
      <c r="N422" t="s">
        <v>419</v>
      </c>
      <c r="O422" t="s">
        <v>398</v>
      </c>
      <c r="P422">
        <v>2.1258464383924217E-2</v>
      </c>
      <c r="Q422" t="s">
        <v>251</v>
      </c>
      <c r="S422" t="s">
        <v>420</v>
      </c>
      <c r="T422" t="s">
        <v>398</v>
      </c>
      <c r="U422">
        <v>2.6684394480533041E-2</v>
      </c>
      <c r="V422" t="s">
        <v>251</v>
      </c>
      <c r="X422">
        <v>2.1232876712328767E-2</v>
      </c>
      <c r="Y422">
        <v>2.6758819580836844E-2</v>
      </c>
      <c r="Z422" t="s">
        <v>398</v>
      </c>
      <c r="AA422" t="s">
        <v>25</v>
      </c>
      <c r="AC422" t="s">
        <v>22</v>
      </c>
      <c r="AD422" t="s">
        <v>398</v>
      </c>
      <c r="AE422">
        <v>2.2062206634725651E-2</v>
      </c>
      <c r="AG422" t="s">
        <v>99</v>
      </c>
      <c r="AH422" t="s">
        <v>398</v>
      </c>
      <c r="AI422">
        <v>8.9535273386137204E-2</v>
      </c>
    </row>
    <row r="423" spans="9:35" x14ac:dyDescent="0.45">
      <c r="I423" t="s">
        <v>249</v>
      </c>
      <c r="J423" t="s">
        <v>399</v>
      </c>
      <c r="K423">
        <v>2.7107973361631101E-2</v>
      </c>
      <c r="L423" t="s">
        <v>251</v>
      </c>
      <c r="N423" t="s">
        <v>419</v>
      </c>
      <c r="O423" t="s">
        <v>399</v>
      </c>
      <c r="P423">
        <v>9.9256230520117783E-3</v>
      </c>
      <c r="Q423" t="s">
        <v>251</v>
      </c>
      <c r="S423" t="s">
        <v>420</v>
      </c>
      <c r="T423" t="s">
        <v>399</v>
      </c>
      <c r="U423">
        <v>1.3824183433971035E-2</v>
      </c>
      <c r="V423" t="s">
        <v>251</v>
      </c>
      <c r="X423">
        <v>1.0616438356164383E-2</v>
      </c>
      <c r="Y423">
        <v>1.6893816970390073E-2</v>
      </c>
      <c r="Z423" t="s">
        <v>399</v>
      </c>
      <c r="AA423" t="s">
        <v>25</v>
      </c>
      <c r="AC423" t="s">
        <v>22</v>
      </c>
      <c r="AD423" t="s">
        <v>399</v>
      </c>
      <c r="AE423">
        <v>7.8424718123703205E-3</v>
      </c>
      <c r="AG423" t="s">
        <v>99</v>
      </c>
      <c r="AH423" t="s">
        <v>399</v>
      </c>
      <c r="AI423">
        <v>0.14130909263031666</v>
      </c>
    </row>
    <row r="424" spans="9:35" x14ac:dyDescent="0.45">
      <c r="I424" t="s">
        <v>249</v>
      </c>
      <c r="J424" t="s">
        <v>400</v>
      </c>
      <c r="K424">
        <v>6.7472037228036002E-3</v>
      </c>
      <c r="L424" t="s">
        <v>251</v>
      </c>
      <c r="N424" t="s">
        <v>419</v>
      </c>
      <c r="O424" t="s">
        <v>400</v>
      </c>
      <c r="P424">
        <v>3.3854228657409341E-3</v>
      </c>
      <c r="Q424" t="s">
        <v>251</v>
      </c>
      <c r="S424" t="s">
        <v>420</v>
      </c>
      <c r="T424" t="s">
        <v>400</v>
      </c>
      <c r="U424">
        <v>4.5468101976986492E-3</v>
      </c>
      <c r="V424" t="s">
        <v>251</v>
      </c>
      <c r="X424">
        <v>3.5388127853881279E-3</v>
      </c>
      <c r="Y424">
        <v>6.8849497385409693E-3</v>
      </c>
      <c r="Z424" t="s">
        <v>400</v>
      </c>
      <c r="AA424" t="s">
        <v>25</v>
      </c>
      <c r="AC424" t="s">
        <v>22</v>
      </c>
      <c r="AD424" t="s">
        <v>400</v>
      </c>
      <c r="AE424">
        <v>2.4504336491081081E-3</v>
      </c>
      <c r="AG424" t="s">
        <v>99</v>
      </c>
      <c r="AH424" t="s">
        <v>400</v>
      </c>
      <c r="AI424">
        <v>1.275045288866572E-2</v>
      </c>
    </row>
    <row r="425" spans="9:35" x14ac:dyDescent="0.45">
      <c r="I425" t="s">
        <v>249</v>
      </c>
      <c r="J425" t="s">
        <v>401</v>
      </c>
      <c r="K425">
        <v>3.33787801656058E-3</v>
      </c>
      <c r="L425" t="s">
        <v>251</v>
      </c>
      <c r="N425" t="s">
        <v>419</v>
      </c>
      <c r="O425" t="s">
        <v>401</v>
      </c>
      <c r="P425">
        <v>3.3555196844821181E-3</v>
      </c>
      <c r="Q425" t="s">
        <v>251</v>
      </c>
      <c r="S425" t="s">
        <v>420</v>
      </c>
      <c r="T425" t="s">
        <v>401</v>
      </c>
      <c r="U425">
        <v>4.4926407508333321E-3</v>
      </c>
      <c r="V425" t="s">
        <v>251</v>
      </c>
      <c r="X425">
        <v>3.5388127853881279E-3</v>
      </c>
      <c r="Y425">
        <v>5.3435430806586613E-3</v>
      </c>
      <c r="Z425" t="s">
        <v>401</v>
      </c>
      <c r="AA425" t="s">
        <v>25</v>
      </c>
      <c r="AC425" t="s">
        <v>22</v>
      </c>
      <c r="AD425" t="s">
        <v>401</v>
      </c>
      <c r="AE425">
        <v>2.4725451540446898E-3</v>
      </c>
      <c r="AG425" t="s">
        <v>99</v>
      </c>
      <c r="AH425" t="s">
        <v>401</v>
      </c>
      <c r="AI425">
        <v>1.2781222176377227E-2</v>
      </c>
    </row>
    <row r="426" spans="9:35" x14ac:dyDescent="0.45">
      <c r="I426" t="s">
        <v>249</v>
      </c>
      <c r="J426" t="s">
        <v>402</v>
      </c>
      <c r="K426">
        <v>0</v>
      </c>
      <c r="L426" t="s">
        <v>251</v>
      </c>
      <c r="N426" t="s">
        <v>419</v>
      </c>
      <c r="O426" t="s">
        <v>402</v>
      </c>
      <c r="P426">
        <v>2.2334848560211083E-2</v>
      </c>
      <c r="Q426" t="s">
        <v>251</v>
      </c>
      <c r="S426" t="s">
        <v>420</v>
      </c>
      <c r="T426" t="s">
        <v>402</v>
      </c>
      <c r="U426">
        <v>2.2138222080821418E-2</v>
      </c>
      <c r="V426" t="s">
        <v>251</v>
      </c>
      <c r="X426">
        <v>1.7694063926940638E-2</v>
      </c>
      <c r="Y426">
        <v>1.3358857701646654E-2</v>
      </c>
      <c r="Z426" t="s">
        <v>402</v>
      </c>
      <c r="AA426" t="s">
        <v>25</v>
      </c>
      <c r="AC426" t="s">
        <v>22</v>
      </c>
      <c r="AD426" t="s">
        <v>402</v>
      </c>
      <c r="AE426">
        <v>1.7089798589052418E-2</v>
      </c>
      <c r="AG426" t="s">
        <v>99</v>
      </c>
      <c r="AH426" t="s">
        <v>402</v>
      </c>
      <c r="AI426">
        <v>0.1337282277278935</v>
      </c>
    </row>
    <row r="427" spans="9:35" x14ac:dyDescent="0.45">
      <c r="I427" t="s">
        <v>249</v>
      </c>
      <c r="J427" t="s">
        <v>403</v>
      </c>
      <c r="K427">
        <v>3.8090221314169098E-6</v>
      </c>
      <c r="L427" t="s">
        <v>251</v>
      </c>
      <c r="N427" t="s">
        <v>419</v>
      </c>
      <c r="O427" t="s">
        <v>403</v>
      </c>
      <c r="P427">
        <v>3.009277985070876E-2</v>
      </c>
      <c r="Q427" t="s">
        <v>251</v>
      </c>
      <c r="S427" t="s">
        <v>420</v>
      </c>
      <c r="T427" t="s">
        <v>403</v>
      </c>
      <c r="U427">
        <v>1.8828910873338951E-2</v>
      </c>
      <c r="V427" t="s">
        <v>251</v>
      </c>
      <c r="X427">
        <v>2.0547945205479451E-2</v>
      </c>
      <c r="Y427">
        <v>4.3954951147353507E-3</v>
      </c>
      <c r="Z427" t="s">
        <v>403</v>
      </c>
      <c r="AA427" t="s">
        <v>25</v>
      </c>
      <c r="AC427" t="s">
        <v>22</v>
      </c>
      <c r="AD427" t="s">
        <v>403</v>
      </c>
      <c r="AE427">
        <v>2.2260433007780876E-2</v>
      </c>
      <c r="AG427" t="s">
        <v>99</v>
      </c>
      <c r="AH427" t="s">
        <v>403</v>
      </c>
      <c r="AI427">
        <v>6.8438377491133906E-2</v>
      </c>
    </row>
    <row r="428" spans="9:35" x14ac:dyDescent="0.45">
      <c r="I428" t="s">
        <v>249</v>
      </c>
      <c r="J428" t="s">
        <v>404</v>
      </c>
      <c r="K428">
        <v>4.2174220768100264E-3</v>
      </c>
      <c r="L428" t="s">
        <v>251</v>
      </c>
      <c r="N428" t="s">
        <v>419</v>
      </c>
      <c r="O428" t="s">
        <v>404</v>
      </c>
      <c r="P428">
        <v>4.2806558018010097E-3</v>
      </c>
      <c r="Q428" t="s">
        <v>251</v>
      </c>
      <c r="S428" t="s">
        <v>420</v>
      </c>
      <c r="T428" t="s">
        <v>404</v>
      </c>
      <c r="U428">
        <v>3.0236851410871714E-3</v>
      </c>
      <c r="V428" t="s">
        <v>251</v>
      </c>
      <c r="X428">
        <v>3.4246575342465752E-3</v>
      </c>
      <c r="Y428">
        <v>5.0717251323869452E-3</v>
      </c>
      <c r="Z428" t="s">
        <v>404</v>
      </c>
      <c r="AA428" t="s">
        <v>25</v>
      </c>
      <c r="AC428" t="s">
        <v>22</v>
      </c>
      <c r="AD428" t="s">
        <v>404</v>
      </c>
      <c r="AE428">
        <v>3.7478698159495389E-3</v>
      </c>
      <c r="AG428" t="s">
        <v>99</v>
      </c>
      <c r="AH428" t="s">
        <v>404</v>
      </c>
      <c r="AI428">
        <v>5.810617310985644E-2</v>
      </c>
    </row>
    <row r="429" spans="9:35" x14ac:dyDescent="0.45">
      <c r="I429" t="s">
        <v>249</v>
      </c>
      <c r="J429" t="s">
        <v>405</v>
      </c>
      <c r="K429">
        <v>7.2308135574651999E-3</v>
      </c>
      <c r="L429" t="s">
        <v>251</v>
      </c>
      <c r="N429" t="s">
        <v>419</v>
      </c>
      <c r="O429" t="s">
        <v>405</v>
      </c>
      <c r="P429">
        <v>3.8538588286688457E-3</v>
      </c>
      <c r="Q429" t="s">
        <v>251</v>
      </c>
      <c r="S429" t="s">
        <v>420</v>
      </c>
      <c r="T429" t="s">
        <v>405</v>
      </c>
      <c r="U429">
        <v>2.9603012804413288E-3</v>
      </c>
      <c r="V429" t="s">
        <v>251</v>
      </c>
      <c r="X429">
        <v>3.4246575342465752E-3</v>
      </c>
      <c r="Y429">
        <v>5.7181214727892006E-3</v>
      </c>
      <c r="Z429" t="s">
        <v>405</v>
      </c>
      <c r="AA429" t="s">
        <v>25</v>
      </c>
      <c r="AC429" t="s">
        <v>22</v>
      </c>
      <c r="AD429" t="s">
        <v>405</v>
      </c>
      <c r="AE429">
        <v>3.7621481773000192E-3</v>
      </c>
      <c r="AG429" t="s">
        <v>99</v>
      </c>
      <c r="AH429" t="s">
        <v>405</v>
      </c>
      <c r="AI429">
        <v>5.5035171020012763E-2</v>
      </c>
    </row>
    <row r="430" spans="9:35" x14ac:dyDescent="0.45">
      <c r="I430" t="s">
        <v>249</v>
      </c>
      <c r="J430" t="s">
        <v>406</v>
      </c>
      <c r="K430">
        <v>6.0288203719271301E-2</v>
      </c>
      <c r="L430" t="s">
        <v>251</v>
      </c>
      <c r="N430" t="s">
        <v>419</v>
      </c>
      <c r="O430" t="s">
        <v>406</v>
      </c>
      <c r="P430">
        <v>1.7014136309921917E-2</v>
      </c>
      <c r="Q430" t="s">
        <v>251</v>
      </c>
      <c r="S430" t="s">
        <v>420</v>
      </c>
      <c r="T430" t="s">
        <v>406</v>
      </c>
      <c r="U430">
        <v>1.8352404363144538E-2</v>
      </c>
      <c r="V430" t="s">
        <v>251</v>
      </c>
      <c r="X430">
        <v>2.0547945205479451E-2</v>
      </c>
      <c r="Y430">
        <v>2.5895631852422749E-2</v>
      </c>
      <c r="Z430" t="s">
        <v>406</v>
      </c>
      <c r="AA430" t="s">
        <v>25</v>
      </c>
      <c r="AC430" t="s">
        <v>22</v>
      </c>
      <c r="AD430" t="s">
        <v>406</v>
      </c>
      <c r="AE430">
        <v>2.1069580739219031E-2</v>
      </c>
      <c r="AG430" t="s">
        <v>99</v>
      </c>
      <c r="AH430" t="s">
        <v>406</v>
      </c>
      <c r="AI430">
        <v>0.10874677642572528</v>
      </c>
    </row>
    <row r="431" spans="9:35" x14ac:dyDescent="0.45">
      <c r="I431" t="s">
        <v>249</v>
      </c>
      <c r="J431" t="s">
        <v>407</v>
      </c>
      <c r="K431">
        <v>2.7882090840113501E-2</v>
      </c>
      <c r="L431" t="s">
        <v>251</v>
      </c>
      <c r="N431" t="s">
        <v>419</v>
      </c>
      <c r="O431" t="s">
        <v>407</v>
      </c>
      <c r="P431">
        <v>7.5583101296307093E-3</v>
      </c>
      <c r="Q431" t="s">
        <v>251</v>
      </c>
      <c r="S431" t="s">
        <v>420</v>
      </c>
      <c r="T431" t="s">
        <v>407</v>
      </c>
      <c r="U431">
        <v>9.7236148432749466E-3</v>
      </c>
      <c r="V431" t="s">
        <v>251</v>
      </c>
      <c r="X431">
        <v>1.0273972602739725E-2</v>
      </c>
      <c r="Y431">
        <v>1.6348855132635558E-2</v>
      </c>
      <c r="Z431" t="s">
        <v>407</v>
      </c>
      <c r="AA431" t="s">
        <v>25</v>
      </c>
      <c r="AC431" t="s">
        <v>22</v>
      </c>
      <c r="AD431" t="s">
        <v>407</v>
      </c>
      <c r="AE431">
        <v>7.4430039204518537E-3</v>
      </c>
      <c r="AG431" t="s">
        <v>99</v>
      </c>
      <c r="AH431" t="s">
        <v>407</v>
      </c>
      <c r="AI431">
        <v>5.4528305774245167E-2</v>
      </c>
    </row>
    <row r="432" spans="9:35" x14ac:dyDescent="0.45">
      <c r="I432" t="s">
        <v>249</v>
      </c>
      <c r="J432" t="s">
        <v>408</v>
      </c>
      <c r="K432">
        <v>7.0415792442286998E-3</v>
      </c>
      <c r="L432" t="s">
        <v>251</v>
      </c>
      <c r="N432" t="s">
        <v>419</v>
      </c>
      <c r="O432" t="s">
        <v>408</v>
      </c>
      <c r="P432">
        <v>2.9598672303039887E-3</v>
      </c>
      <c r="Q432" t="s">
        <v>251</v>
      </c>
      <c r="S432" t="s">
        <v>420</v>
      </c>
      <c r="T432" t="s">
        <v>408</v>
      </c>
      <c r="U432">
        <v>3.2563955971113821E-3</v>
      </c>
      <c r="V432" t="s">
        <v>251</v>
      </c>
      <c r="X432">
        <v>3.4246575342465752E-3</v>
      </c>
      <c r="Y432">
        <v>6.662854585684809E-3</v>
      </c>
      <c r="Z432" t="s">
        <v>408</v>
      </c>
      <c r="AA432" t="s">
        <v>25</v>
      </c>
      <c r="AC432" t="s">
        <v>22</v>
      </c>
      <c r="AD432" t="s">
        <v>408</v>
      </c>
      <c r="AE432">
        <v>2.3591696150160315E-3</v>
      </c>
      <c r="AG432" t="s">
        <v>99</v>
      </c>
      <c r="AH432" t="s">
        <v>408</v>
      </c>
      <c r="AI432">
        <v>2.5864249786949456E-2</v>
      </c>
    </row>
    <row r="433" spans="9:35" x14ac:dyDescent="0.45">
      <c r="I433" t="s">
        <v>249</v>
      </c>
      <c r="J433" t="s">
        <v>409</v>
      </c>
      <c r="K433">
        <v>4.1807614240014232E-3</v>
      </c>
      <c r="L433" t="s">
        <v>251</v>
      </c>
      <c r="N433" t="s">
        <v>419</v>
      </c>
      <c r="O433" t="s">
        <v>409</v>
      </c>
      <c r="P433">
        <v>3.3455294891401029E-3</v>
      </c>
      <c r="Q433" t="s">
        <v>251</v>
      </c>
      <c r="S433" t="s">
        <v>420</v>
      </c>
      <c r="T433" t="s">
        <v>409</v>
      </c>
      <c r="U433">
        <v>3.238425197695286E-3</v>
      </c>
      <c r="V433" t="s">
        <v>251</v>
      </c>
      <c r="X433">
        <v>3.4246575342465752E-3</v>
      </c>
      <c r="Y433">
        <v>5.1711707232180593E-3</v>
      </c>
      <c r="Z433" t="s">
        <v>409</v>
      </c>
      <c r="AA433" t="s">
        <v>25</v>
      </c>
      <c r="AC433" t="s">
        <v>22</v>
      </c>
      <c r="AD433" t="s">
        <v>409</v>
      </c>
      <c r="AE433">
        <v>2.3797859723935933E-3</v>
      </c>
      <c r="AG433" t="s">
        <v>99</v>
      </c>
      <c r="AH433" t="s">
        <v>409</v>
      </c>
      <c r="AI433">
        <v>2.7494936993699426E-2</v>
      </c>
    </row>
    <row r="434" spans="9:35" x14ac:dyDescent="0.45">
      <c r="I434" t="s">
        <v>249</v>
      </c>
      <c r="J434" t="s">
        <v>410</v>
      </c>
      <c r="K434">
        <v>5.9271588075933296E-5</v>
      </c>
      <c r="L434" t="s">
        <v>251</v>
      </c>
      <c r="N434" t="s">
        <v>419</v>
      </c>
      <c r="O434" t="s">
        <v>410</v>
      </c>
      <c r="P434">
        <v>2.3746828472602736E-2</v>
      </c>
      <c r="Q434" t="s">
        <v>251</v>
      </c>
      <c r="S434" t="s">
        <v>420</v>
      </c>
      <c r="T434" t="s">
        <v>410</v>
      </c>
      <c r="U434">
        <v>1.5881674826197154E-2</v>
      </c>
      <c r="V434" t="s">
        <v>251</v>
      </c>
      <c r="X434">
        <v>1.7123287671232876E-2</v>
      </c>
      <c r="Y434">
        <v>1.2927926808045149E-2</v>
      </c>
      <c r="Z434" t="s">
        <v>410</v>
      </c>
      <c r="AA434" t="s">
        <v>25</v>
      </c>
      <c r="AC434" t="s">
        <v>22</v>
      </c>
      <c r="AD434" t="s">
        <v>410</v>
      </c>
      <c r="AE434">
        <v>1.6329373744555842E-2</v>
      </c>
      <c r="AG434" t="s">
        <v>99</v>
      </c>
      <c r="AH434" t="s">
        <v>410</v>
      </c>
      <c r="AI434">
        <v>0.14805486992572869</v>
      </c>
    </row>
    <row r="435" spans="9:35" x14ac:dyDescent="0.45">
      <c r="I435" t="s">
        <v>249</v>
      </c>
      <c r="J435" t="s">
        <v>411</v>
      </c>
      <c r="K435">
        <v>7.8154013398572715E-6</v>
      </c>
      <c r="L435" t="s">
        <v>251</v>
      </c>
      <c r="N435" t="s">
        <v>419</v>
      </c>
      <c r="O435" t="s">
        <v>411</v>
      </c>
      <c r="P435">
        <v>2.9783315040227628E-2</v>
      </c>
      <c r="Q435" t="s">
        <v>251</v>
      </c>
      <c r="S435" t="s">
        <v>420</v>
      </c>
      <c r="T435" t="s">
        <v>411</v>
      </c>
      <c r="U435">
        <v>2.0587673359039552E-2</v>
      </c>
      <c r="V435" t="s">
        <v>251</v>
      </c>
      <c r="X435">
        <v>2.1232876712328767E-2</v>
      </c>
      <c r="Y435">
        <v>4.5420116185598634E-3</v>
      </c>
      <c r="Z435" t="s">
        <v>411</v>
      </c>
      <c r="AA435" t="s">
        <v>25</v>
      </c>
      <c r="AC435" t="s">
        <v>22</v>
      </c>
      <c r="AD435" t="s">
        <v>411</v>
      </c>
      <c r="AE435">
        <v>2.3543483033091887E-2</v>
      </c>
      <c r="AG435" t="s">
        <v>99</v>
      </c>
      <c r="AH435" t="s">
        <v>411</v>
      </c>
      <c r="AI435">
        <v>0.11023422030113306</v>
      </c>
    </row>
    <row r="436" spans="9:35" x14ac:dyDescent="0.45">
      <c r="I436" t="s">
        <v>249</v>
      </c>
      <c r="J436" t="s">
        <v>412</v>
      </c>
      <c r="K436">
        <v>3.3569483176486771E-3</v>
      </c>
      <c r="L436" t="s">
        <v>251</v>
      </c>
      <c r="N436" t="s">
        <v>419</v>
      </c>
      <c r="O436" t="s">
        <v>412</v>
      </c>
      <c r="P436">
        <v>4.3790628797977845E-3</v>
      </c>
      <c r="Q436" t="s">
        <v>251</v>
      </c>
      <c r="S436" t="s">
        <v>420</v>
      </c>
      <c r="T436" t="s">
        <v>412</v>
      </c>
      <c r="U436">
        <v>3.4986673592877107E-3</v>
      </c>
      <c r="V436" t="s">
        <v>251</v>
      </c>
      <c r="X436">
        <v>3.5388127853881279E-3</v>
      </c>
      <c r="Y436">
        <v>5.240782636799844E-3</v>
      </c>
      <c r="Z436" t="s">
        <v>412</v>
      </c>
      <c r="AA436" t="s">
        <v>25</v>
      </c>
      <c r="AC436" t="s">
        <v>22</v>
      </c>
      <c r="AD436" t="s">
        <v>412</v>
      </c>
      <c r="AE436">
        <v>3.9673982100870749E-3</v>
      </c>
      <c r="AG436" t="s">
        <v>99</v>
      </c>
      <c r="AH436" t="s">
        <v>412</v>
      </c>
      <c r="AI436">
        <v>0.10400483630387303</v>
      </c>
    </row>
    <row r="437" spans="9:35" x14ac:dyDescent="0.45">
      <c r="I437" t="s">
        <v>249</v>
      </c>
      <c r="J437" t="s">
        <v>413</v>
      </c>
      <c r="K437">
        <v>6.4302276041504E-3</v>
      </c>
      <c r="L437" t="s">
        <v>251</v>
      </c>
      <c r="N437" t="s">
        <v>419</v>
      </c>
      <c r="O437" t="s">
        <v>413</v>
      </c>
      <c r="P437">
        <v>3.7729951204138229E-3</v>
      </c>
      <c r="Q437" t="s">
        <v>251</v>
      </c>
      <c r="S437" t="s">
        <v>420</v>
      </c>
      <c r="T437" t="s">
        <v>413</v>
      </c>
      <c r="U437">
        <v>3.4928716870599335E-3</v>
      </c>
      <c r="V437" t="s">
        <v>251</v>
      </c>
      <c r="X437">
        <v>3.5388127853881279E-3</v>
      </c>
      <c r="Y437">
        <v>5.9087255218821738E-3</v>
      </c>
      <c r="Z437" t="s">
        <v>413</v>
      </c>
      <c r="AA437" t="s">
        <v>25</v>
      </c>
      <c r="AC437" t="s">
        <v>22</v>
      </c>
      <c r="AD437" t="s">
        <v>413</v>
      </c>
      <c r="AE437">
        <v>3.9633952652278663E-3</v>
      </c>
      <c r="AG437" t="s">
        <v>99</v>
      </c>
      <c r="AH437" t="s">
        <v>413</v>
      </c>
      <c r="AI437">
        <v>7.4066305318186254E-2</v>
      </c>
    </row>
    <row r="438" spans="9:35" x14ac:dyDescent="0.45">
      <c r="I438" t="s">
        <v>249</v>
      </c>
      <c r="J438" t="s">
        <v>414</v>
      </c>
      <c r="K438">
        <v>5.8339775957822602E-2</v>
      </c>
      <c r="L438" t="s">
        <v>251</v>
      </c>
      <c r="N438" t="s">
        <v>419</v>
      </c>
      <c r="O438" t="s">
        <v>414</v>
      </c>
      <c r="P438">
        <v>1.7468390542046991E-2</v>
      </c>
      <c r="Q438" t="s">
        <v>251</v>
      </c>
      <c r="S438" t="s">
        <v>420</v>
      </c>
      <c r="T438" t="s">
        <v>414</v>
      </c>
      <c r="U438">
        <v>2.1873171101000038E-2</v>
      </c>
      <c r="V438" t="s">
        <v>251</v>
      </c>
      <c r="X438">
        <v>2.1232876712328767E-2</v>
      </c>
      <c r="Y438">
        <v>2.6758819580836844E-2</v>
      </c>
      <c r="Z438" t="s">
        <v>414</v>
      </c>
      <c r="AA438" t="s">
        <v>25</v>
      </c>
      <c r="AC438" t="s">
        <v>22</v>
      </c>
      <c r="AD438" t="s">
        <v>414</v>
      </c>
      <c r="AE438">
        <v>2.2049068155943537E-2</v>
      </c>
      <c r="AG438" t="s">
        <v>99</v>
      </c>
      <c r="AH438" t="s">
        <v>414</v>
      </c>
      <c r="AI438">
        <v>0.12911283864389511</v>
      </c>
    </row>
    <row r="439" spans="9:35" x14ac:dyDescent="0.45">
      <c r="I439" t="s">
        <v>249</v>
      </c>
      <c r="J439" t="s">
        <v>415</v>
      </c>
      <c r="K439">
        <v>2.6819735968727498E-2</v>
      </c>
      <c r="L439" t="s">
        <v>251</v>
      </c>
      <c r="N439" t="s">
        <v>419</v>
      </c>
      <c r="O439" t="s">
        <v>415</v>
      </c>
      <c r="P439">
        <v>7.5630787877283816E-3</v>
      </c>
      <c r="Q439" t="s">
        <v>251</v>
      </c>
      <c r="S439" t="s">
        <v>420</v>
      </c>
      <c r="T439" t="s">
        <v>415</v>
      </c>
      <c r="U439">
        <v>1.1295279616735264E-2</v>
      </c>
      <c r="V439" t="s">
        <v>251</v>
      </c>
      <c r="X439">
        <v>1.0616438356164383E-2</v>
      </c>
      <c r="Y439">
        <v>1.6893816970390073E-2</v>
      </c>
      <c r="Z439" t="s">
        <v>415</v>
      </c>
      <c r="AA439" t="s">
        <v>25</v>
      </c>
      <c r="AC439" t="s">
        <v>22</v>
      </c>
      <c r="AD439" t="s">
        <v>415</v>
      </c>
      <c r="AE439">
        <v>7.9396068416197289E-3</v>
      </c>
      <c r="AG439" t="s">
        <v>99</v>
      </c>
      <c r="AH439" t="s">
        <v>415</v>
      </c>
      <c r="AI439">
        <v>6.2183768556017149E-2</v>
      </c>
    </row>
    <row r="440" spans="9:35" x14ac:dyDescent="0.45">
      <c r="I440" t="s">
        <v>249</v>
      </c>
      <c r="J440" t="s">
        <v>416</v>
      </c>
      <c r="K440">
        <v>6.7134710151176002E-3</v>
      </c>
      <c r="L440" t="s">
        <v>251</v>
      </c>
      <c r="N440" t="s">
        <v>419</v>
      </c>
      <c r="O440" t="s">
        <v>416</v>
      </c>
      <c r="P440">
        <v>2.8396267792552905E-3</v>
      </c>
      <c r="Q440" t="s">
        <v>251</v>
      </c>
      <c r="S440" t="s">
        <v>420</v>
      </c>
      <c r="T440" t="s">
        <v>416</v>
      </c>
      <c r="U440">
        <v>3.800250958987022E-3</v>
      </c>
      <c r="V440" t="s">
        <v>251</v>
      </c>
      <c r="X440">
        <v>3.5388127853881279E-3</v>
      </c>
      <c r="Y440">
        <v>6.8849497385409693E-3</v>
      </c>
      <c r="Z440" t="s">
        <v>416</v>
      </c>
      <c r="AA440" t="s">
        <v>25</v>
      </c>
      <c r="AC440" t="s">
        <v>22</v>
      </c>
      <c r="AD440" t="s">
        <v>416</v>
      </c>
      <c r="AE440">
        <v>2.5116069854195398E-3</v>
      </c>
      <c r="AG440" t="s">
        <v>99</v>
      </c>
      <c r="AH440" t="s">
        <v>416</v>
      </c>
      <c r="AI440">
        <v>2.6522664700230569E-2</v>
      </c>
    </row>
    <row r="441" spans="9:35" x14ac:dyDescent="0.45">
      <c r="I441" t="s">
        <v>249</v>
      </c>
      <c r="J441" t="s">
        <v>417</v>
      </c>
      <c r="K441">
        <v>4.3636159800594957E-3</v>
      </c>
      <c r="L441" t="s">
        <v>251</v>
      </c>
      <c r="N441" t="s">
        <v>419</v>
      </c>
      <c r="O441" t="s">
        <v>417</v>
      </c>
      <c r="P441">
        <v>2.9791966895662955E-3</v>
      </c>
      <c r="Q441" t="s">
        <v>251</v>
      </c>
      <c r="S441" t="s">
        <v>420</v>
      </c>
      <c r="T441" t="s">
        <v>417</v>
      </c>
      <c r="U441">
        <v>3.7640084620224664E-3</v>
      </c>
      <c r="V441" t="s">
        <v>251</v>
      </c>
      <c r="X441">
        <v>3.5388127853881279E-3</v>
      </c>
      <c r="Y441">
        <v>5.3435430806586613E-3</v>
      </c>
      <c r="Z441" t="s">
        <v>417</v>
      </c>
      <c r="AA441" t="s">
        <v>25</v>
      </c>
      <c r="AC441" t="s">
        <v>22</v>
      </c>
      <c r="AD441" t="s">
        <v>417</v>
      </c>
      <c r="AE441">
        <v>2.5292032638631447E-3</v>
      </c>
      <c r="AG441" t="s">
        <v>99</v>
      </c>
      <c r="AH441" t="s">
        <v>417</v>
      </c>
      <c r="AI441">
        <v>2.5865442867635702E-2</v>
      </c>
    </row>
    <row r="442" spans="9:35" x14ac:dyDescent="0.45">
      <c r="I442" t="s">
        <v>249</v>
      </c>
      <c r="J442" t="s">
        <v>418</v>
      </c>
      <c r="K442">
        <v>9.7873174655531696E-4</v>
      </c>
      <c r="L442" t="s">
        <v>251</v>
      </c>
      <c r="N442" t="s">
        <v>419</v>
      </c>
      <c r="O442" t="s">
        <v>418</v>
      </c>
      <c r="P442">
        <v>2.1583413457200773E-2</v>
      </c>
      <c r="Q442" t="s">
        <v>251</v>
      </c>
      <c r="S442" t="s">
        <v>420</v>
      </c>
      <c r="T442" t="s">
        <v>418</v>
      </c>
      <c r="U442">
        <v>1.7666422501777586E-2</v>
      </c>
      <c r="V442" t="s">
        <v>251</v>
      </c>
      <c r="X442">
        <v>1.7694063926940638E-2</v>
      </c>
      <c r="Y442">
        <v>1.3358857701646654E-2</v>
      </c>
      <c r="Z442" t="s">
        <v>418</v>
      </c>
      <c r="AA442" t="s">
        <v>25</v>
      </c>
      <c r="AC442" t="s">
        <v>22</v>
      </c>
      <c r="AD442" t="s">
        <v>418</v>
      </c>
      <c r="AE442">
        <v>1.7246656839578167E-2</v>
      </c>
      <c r="AG442" t="s">
        <v>99</v>
      </c>
      <c r="AH442" t="s">
        <v>418</v>
      </c>
      <c r="AI442">
        <v>0.15733680317509191</v>
      </c>
    </row>
    <row r="443" spans="9:35" x14ac:dyDescent="0.45">
      <c r="AC443" t="s">
        <v>19</v>
      </c>
      <c r="AD443" t="s">
        <v>250</v>
      </c>
      <c r="AE443">
        <v>2.1456565378467178E-2</v>
      </c>
    </row>
    <row r="444" spans="9:35" x14ac:dyDescent="0.45">
      <c r="AC444" t="s">
        <v>19</v>
      </c>
      <c r="AD444" t="s">
        <v>252</v>
      </c>
      <c r="AE444">
        <v>3.576040295125745E-3</v>
      </c>
    </row>
    <row r="445" spans="9:35" x14ac:dyDescent="0.45">
      <c r="AC445" t="s">
        <v>19</v>
      </c>
      <c r="AD445" t="s">
        <v>253</v>
      </c>
      <c r="AE445">
        <v>3.5736532532879115E-3</v>
      </c>
    </row>
    <row r="446" spans="9:35" x14ac:dyDescent="0.45">
      <c r="AC446" t="s">
        <v>19</v>
      </c>
      <c r="AD446" t="s">
        <v>254</v>
      </c>
      <c r="AE446">
        <v>2.1308912110266864E-2</v>
      </c>
    </row>
    <row r="447" spans="9:35" x14ac:dyDescent="0.45">
      <c r="AC447" t="s">
        <v>19</v>
      </c>
      <c r="AD447" t="s">
        <v>255</v>
      </c>
      <c r="AE447">
        <v>1.044333875225935E-2</v>
      </c>
    </row>
    <row r="448" spans="9:35" x14ac:dyDescent="0.45">
      <c r="AC448" t="s">
        <v>19</v>
      </c>
      <c r="AD448" t="s">
        <v>256</v>
      </c>
      <c r="AE448">
        <v>3.4710603292848782E-3</v>
      </c>
    </row>
    <row r="449" spans="29:31" x14ac:dyDescent="0.45">
      <c r="AC449" t="s">
        <v>19</v>
      </c>
      <c r="AD449" t="s">
        <v>257</v>
      </c>
      <c r="AE449">
        <v>3.4720253530016311E-3</v>
      </c>
    </row>
    <row r="450" spans="29:31" x14ac:dyDescent="0.45">
      <c r="AC450" t="s">
        <v>19</v>
      </c>
      <c r="AD450" t="s">
        <v>258</v>
      </c>
      <c r="AE450">
        <v>1.7648070356031446E-2</v>
      </c>
    </row>
    <row r="451" spans="29:31" x14ac:dyDescent="0.45">
      <c r="AC451" t="s">
        <v>19</v>
      </c>
      <c r="AD451" t="s">
        <v>259</v>
      </c>
      <c r="AE451">
        <v>1.9338882885437635E-2</v>
      </c>
    </row>
    <row r="452" spans="29:31" x14ac:dyDescent="0.45">
      <c r="AC452" t="s">
        <v>19</v>
      </c>
      <c r="AD452" t="s">
        <v>260</v>
      </c>
      <c r="AE452">
        <v>3.2252687047878417E-3</v>
      </c>
    </row>
    <row r="453" spans="29:31" x14ac:dyDescent="0.45">
      <c r="AC453" t="s">
        <v>19</v>
      </c>
      <c r="AD453" t="s">
        <v>261</v>
      </c>
      <c r="AE453">
        <v>3.2251801669548538E-3</v>
      </c>
    </row>
    <row r="454" spans="29:31" x14ac:dyDescent="0.45">
      <c r="AC454" t="s">
        <v>19</v>
      </c>
      <c r="AD454" t="s">
        <v>262</v>
      </c>
      <c r="AE454">
        <v>1.9240831294999098E-2</v>
      </c>
    </row>
    <row r="455" spans="29:31" x14ac:dyDescent="0.45">
      <c r="AC455" t="s">
        <v>19</v>
      </c>
      <c r="AD455" t="s">
        <v>263</v>
      </c>
      <c r="AE455">
        <v>9.4468789817617298E-3</v>
      </c>
    </row>
    <row r="456" spans="29:31" x14ac:dyDescent="0.45">
      <c r="AC456" t="s">
        <v>19</v>
      </c>
      <c r="AD456" t="s">
        <v>264</v>
      </c>
      <c r="AE456">
        <v>3.1401567833205745E-3</v>
      </c>
    </row>
    <row r="457" spans="29:31" x14ac:dyDescent="0.45">
      <c r="AC457" t="s">
        <v>19</v>
      </c>
      <c r="AD457" t="s">
        <v>265</v>
      </c>
      <c r="AE457">
        <v>3.1404962427850408E-3</v>
      </c>
    </row>
    <row r="458" spans="29:31" x14ac:dyDescent="0.45">
      <c r="AC458" t="s">
        <v>19</v>
      </c>
      <c r="AD458" t="s">
        <v>266</v>
      </c>
      <c r="AE458">
        <v>1.5953616264111251E-2</v>
      </c>
    </row>
    <row r="459" spans="29:31" x14ac:dyDescent="0.45">
      <c r="AC459" t="s">
        <v>19</v>
      </c>
      <c r="AD459" t="s">
        <v>267</v>
      </c>
      <c r="AE459">
        <v>2.1406099770568909E-2</v>
      </c>
    </row>
    <row r="460" spans="29:31" x14ac:dyDescent="0.45">
      <c r="AC460" t="s">
        <v>19</v>
      </c>
      <c r="AD460" t="s">
        <v>268</v>
      </c>
      <c r="AE460">
        <v>3.5705543953033956E-3</v>
      </c>
    </row>
    <row r="461" spans="29:31" x14ac:dyDescent="0.45">
      <c r="AC461" t="s">
        <v>19</v>
      </c>
      <c r="AD461" t="s">
        <v>269</v>
      </c>
      <c r="AE461">
        <v>3.5700579648337196E-3</v>
      </c>
    </row>
    <row r="462" spans="29:31" x14ac:dyDescent="0.45">
      <c r="AC462" t="s">
        <v>19</v>
      </c>
      <c r="AD462" t="s">
        <v>270</v>
      </c>
      <c r="AE462">
        <v>2.1303818855435835E-2</v>
      </c>
    </row>
    <row r="463" spans="29:31" x14ac:dyDescent="0.45">
      <c r="AC463" t="s">
        <v>19</v>
      </c>
      <c r="AD463" t="s">
        <v>271</v>
      </c>
      <c r="AE463">
        <v>1.0459243370575593E-2</v>
      </c>
    </row>
    <row r="464" spans="29:31" x14ac:dyDescent="0.45">
      <c r="AC464" t="s">
        <v>19</v>
      </c>
      <c r="AD464" t="s">
        <v>272</v>
      </c>
      <c r="AE464">
        <v>3.4767112516424447E-3</v>
      </c>
    </row>
    <row r="465" spans="29:31" x14ac:dyDescent="0.45">
      <c r="AC465" t="s">
        <v>19</v>
      </c>
      <c r="AD465" t="s">
        <v>273</v>
      </c>
      <c r="AE465">
        <v>3.4773333362419063E-3</v>
      </c>
    </row>
    <row r="466" spans="29:31" x14ac:dyDescent="0.45">
      <c r="AC466" t="s">
        <v>19</v>
      </c>
      <c r="AD466" t="s">
        <v>274</v>
      </c>
      <c r="AE466">
        <v>1.7662409062916596E-2</v>
      </c>
    </row>
    <row r="467" spans="29:31" x14ac:dyDescent="0.45">
      <c r="AC467" t="s">
        <v>19</v>
      </c>
      <c r="AD467" t="s">
        <v>275</v>
      </c>
      <c r="AE467">
        <v>2.0694850968251445E-2</v>
      </c>
    </row>
    <row r="468" spans="29:31" x14ac:dyDescent="0.45">
      <c r="AC468" t="s">
        <v>19</v>
      </c>
      <c r="AD468" t="s">
        <v>276</v>
      </c>
      <c r="AE468">
        <v>3.4504237579177808E-3</v>
      </c>
    </row>
    <row r="469" spans="29:31" x14ac:dyDescent="0.45">
      <c r="AC469" t="s">
        <v>19</v>
      </c>
      <c r="AD469" t="s">
        <v>277</v>
      </c>
      <c r="AE469">
        <v>3.4522266047091348E-3</v>
      </c>
    </row>
    <row r="470" spans="29:31" x14ac:dyDescent="0.45">
      <c r="AC470" t="s">
        <v>19</v>
      </c>
      <c r="AD470" t="s">
        <v>278</v>
      </c>
      <c r="AE470">
        <v>2.0660796765939099E-2</v>
      </c>
    </row>
    <row r="471" spans="29:31" x14ac:dyDescent="0.45">
      <c r="AC471" t="s">
        <v>19</v>
      </c>
      <c r="AD471" t="s">
        <v>279</v>
      </c>
      <c r="AE471">
        <v>1.0145478419643389E-2</v>
      </c>
    </row>
    <row r="472" spans="29:31" x14ac:dyDescent="0.45">
      <c r="AC472" t="s">
        <v>19</v>
      </c>
      <c r="AD472" t="s">
        <v>280</v>
      </c>
      <c r="AE472">
        <v>3.361101456532469E-3</v>
      </c>
    </row>
    <row r="473" spans="29:31" x14ac:dyDescent="0.45">
      <c r="AC473" t="s">
        <v>19</v>
      </c>
      <c r="AD473" t="s">
        <v>281</v>
      </c>
      <c r="AE473">
        <v>3.3621372331899936E-3</v>
      </c>
    </row>
    <row r="474" spans="29:31" x14ac:dyDescent="0.45">
      <c r="AC474" t="s">
        <v>19</v>
      </c>
      <c r="AD474" t="s">
        <v>282</v>
      </c>
      <c r="AE474">
        <v>1.7050597402635478E-2</v>
      </c>
    </row>
    <row r="475" spans="29:31" x14ac:dyDescent="0.45">
      <c r="AC475" t="s">
        <v>19</v>
      </c>
      <c r="AD475" t="s">
        <v>283</v>
      </c>
      <c r="AE475">
        <v>1.6549026669208045E-2</v>
      </c>
    </row>
    <row r="476" spans="29:31" x14ac:dyDescent="0.45">
      <c r="AC476" t="s">
        <v>19</v>
      </c>
      <c r="AD476" t="s">
        <v>284</v>
      </c>
      <c r="AE476">
        <v>2.7580607292145088E-3</v>
      </c>
    </row>
    <row r="477" spans="29:31" x14ac:dyDescent="0.45">
      <c r="AC477" t="s">
        <v>19</v>
      </c>
      <c r="AD477" t="s">
        <v>285</v>
      </c>
      <c r="AE477">
        <v>2.7607187973445872E-3</v>
      </c>
    </row>
    <row r="478" spans="29:31" x14ac:dyDescent="0.45">
      <c r="AC478" t="s">
        <v>19</v>
      </c>
      <c r="AD478" t="s">
        <v>286</v>
      </c>
      <c r="AE478">
        <v>1.6543824201606831E-2</v>
      </c>
    </row>
    <row r="479" spans="29:31" x14ac:dyDescent="0.45">
      <c r="AC479" t="s">
        <v>19</v>
      </c>
      <c r="AD479" t="s">
        <v>287</v>
      </c>
      <c r="AE479">
        <v>8.1204047304715091E-3</v>
      </c>
    </row>
    <row r="480" spans="29:31" x14ac:dyDescent="0.45">
      <c r="AC480" t="s">
        <v>19</v>
      </c>
      <c r="AD480" t="s">
        <v>288</v>
      </c>
      <c r="AE480">
        <v>2.6874388553660201E-3</v>
      </c>
    </row>
    <row r="481" spans="29:31" x14ac:dyDescent="0.45">
      <c r="AC481" t="s">
        <v>19</v>
      </c>
      <c r="AD481" t="s">
        <v>289</v>
      </c>
      <c r="AE481">
        <v>2.6887363792415901E-3</v>
      </c>
    </row>
    <row r="482" spans="29:31" x14ac:dyDescent="0.45">
      <c r="AC482" t="s">
        <v>19</v>
      </c>
      <c r="AD482" t="s">
        <v>290</v>
      </c>
      <c r="AE482">
        <v>1.3632547399209377E-2</v>
      </c>
    </row>
    <row r="483" spans="29:31" x14ac:dyDescent="0.45">
      <c r="AC483" t="s">
        <v>19</v>
      </c>
      <c r="AD483" t="s">
        <v>1574</v>
      </c>
      <c r="AE483">
        <v>1.1561348444618116E-4</v>
      </c>
    </row>
    <row r="484" spans="29:31" x14ac:dyDescent="0.45">
      <c r="AC484" t="s">
        <v>19</v>
      </c>
      <c r="AD484" t="s">
        <v>1575</v>
      </c>
      <c r="AE484">
        <v>1.1539465294630849E-4</v>
      </c>
    </row>
    <row r="485" spans="29:31" x14ac:dyDescent="0.45">
      <c r="AC485" t="s">
        <v>19</v>
      </c>
      <c r="AD485" t="s">
        <v>1576</v>
      </c>
      <c r="AE485">
        <v>1.1536874886416807E-4</v>
      </c>
    </row>
    <row r="486" spans="29:31" x14ac:dyDescent="0.45">
      <c r="AC486" t="s">
        <v>19</v>
      </c>
      <c r="AD486" t="s">
        <v>1577</v>
      </c>
      <c r="AE486">
        <v>1.1536874886416807E-4</v>
      </c>
    </row>
    <row r="487" spans="29:31" x14ac:dyDescent="0.45">
      <c r="AC487" t="s">
        <v>19</v>
      </c>
      <c r="AD487" t="s">
        <v>1578</v>
      </c>
      <c r="AE487">
        <v>1.1534245815393602E-4</v>
      </c>
    </row>
    <row r="488" spans="29:31" x14ac:dyDescent="0.45">
      <c r="AC488" t="s">
        <v>19</v>
      </c>
      <c r="AD488" t="s">
        <v>1579</v>
      </c>
      <c r="AE488">
        <v>1.1534245815393602E-4</v>
      </c>
    </row>
    <row r="489" spans="29:31" x14ac:dyDescent="0.45">
      <c r="AC489" t="s">
        <v>19</v>
      </c>
      <c r="AD489" t="s">
        <v>1580</v>
      </c>
      <c r="AE489">
        <v>1.1535637676523533E-4</v>
      </c>
    </row>
    <row r="490" spans="29:31" x14ac:dyDescent="0.45">
      <c r="AC490" t="s">
        <v>19</v>
      </c>
      <c r="AD490" t="s">
        <v>1581</v>
      </c>
      <c r="AE490">
        <v>1.1545844658143037E-4</v>
      </c>
    </row>
    <row r="491" spans="29:31" x14ac:dyDescent="0.45">
      <c r="AC491" t="s">
        <v>19</v>
      </c>
      <c r="AD491" t="s">
        <v>1582</v>
      </c>
      <c r="AE491">
        <v>1.1547893787028769E-4</v>
      </c>
    </row>
    <row r="492" spans="29:31" x14ac:dyDescent="0.45">
      <c r="AC492" t="s">
        <v>19</v>
      </c>
      <c r="AD492" t="s">
        <v>1583</v>
      </c>
      <c r="AE492">
        <v>1.1553963848067643E-4</v>
      </c>
    </row>
    <row r="493" spans="29:31" x14ac:dyDescent="0.45">
      <c r="AC493" t="s">
        <v>19</v>
      </c>
      <c r="AD493" t="s">
        <v>1584</v>
      </c>
      <c r="AE493">
        <v>1.1556206290999198E-4</v>
      </c>
    </row>
    <row r="494" spans="29:31" x14ac:dyDescent="0.45">
      <c r="AC494" t="s">
        <v>19</v>
      </c>
      <c r="AD494" t="s">
        <v>1585</v>
      </c>
      <c r="AE494">
        <v>1.1534361803821095E-4</v>
      </c>
    </row>
    <row r="495" spans="29:31" x14ac:dyDescent="0.45">
      <c r="AC495" t="s">
        <v>19</v>
      </c>
      <c r="AD495" t="s">
        <v>1586</v>
      </c>
      <c r="AE495">
        <v>1.1508689698535679E-4</v>
      </c>
    </row>
    <row r="496" spans="29:31" x14ac:dyDescent="0.45">
      <c r="AC496" t="s">
        <v>19</v>
      </c>
      <c r="AD496" t="s">
        <v>1587</v>
      </c>
      <c r="AE496">
        <v>1.1429430939747868E-4</v>
      </c>
    </row>
    <row r="497" spans="29:31" x14ac:dyDescent="0.45">
      <c r="AC497" t="s">
        <v>19</v>
      </c>
      <c r="AD497" t="s">
        <v>1588</v>
      </c>
      <c r="AE497">
        <v>1.1361616372472835E-4</v>
      </c>
    </row>
    <row r="498" spans="29:31" x14ac:dyDescent="0.45">
      <c r="AC498" t="s">
        <v>19</v>
      </c>
      <c r="AD498" t="s">
        <v>1589</v>
      </c>
      <c r="AE498">
        <v>1.1258116032338704E-4</v>
      </c>
    </row>
    <row r="499" spans="29:31" x14ac:dyDescent="0.45">
      <c r="AC499" t="s">
        <v>19</v>
      </c>
      <c r="AD499" t="s">
        <v>1590</v>
      </c>
      <c r="AE499">
        <v>1.1233951776610713E-4</v>
      </c>
    </row>
    <row r="500" spans="29:31" x14ac:dyDescent="0.45">
      <c r="AC500" t="s">
        <v>19</v>
      </c>
      <c r="AD500" t="s">
        <v>1591</v>
      </c>
      <c r="AE500">
        <v>1.1207158449859516E-4</v>
      </c>
    </row>
    <row r="501" spans="29:31" x14ac:dyDescent="0.45">
      <c r="AC501" t="s">
        <v>19</v>
      </c>
      <c r="AD501" t="s">
        <v>1592</v>
      </c>
      <c r="AE501">
        <v>1.1215045662929132E-4</v>
      </c>
    </row>
    <row r="502" spans="29:31" x14ac:dyDescent="0.45">
      <c r="AC502" t="s">
        <v>19</v>
      </c>
      <c r="AD502" t="s">
        <v>1593</v>
      </c>
      <c r="AE502">
        <v>1.121840932732647E-4</v>
      </c>
    </row>
    <row r="503" spans="29:31" x14ac:dyDescent="0.45">
      <c r="AC503" t="s">
        <v>19</v>
      </c>
      <c r="AD503" t="s">
        <v>1594</v>
      </c>
      <c r="AE503">
        <v>1.1323842807918839E-4</v>
      </c>
    </row>
    <row r="504" spans="29:31" x14ac:dyDescent="0.45">
      <c r="AC504" t="s">
        <v>19</v>
      </c>
      <c r="AD504" t="s">
        <v>1595</v>
      </c>
      <c r="AE504">
        <v>1.1427497799289629E-4</v>
      </c>
    </row>
    <row r="505" spans="29:31" x14ac:dyDescent="0.45">
      <c r="AC505" t="s">
        <v>19</v>
      </c>
      <c r="AD505" t="s">
        <v>1596</v>
      </c>
      <c r="AE505">
        <v>1.1499758589618612E-4</v>
      </c>
    </row>
    <row r="506" spans="29:31" x14ac:dyDescent="0.45">
      <c r="AC506" t="s">
        <v>19</v>
      </c>
      <c r="AD506" t="s">
        <v>1597</v>
      </c>
      <c r="AE506">
        <v>1.1567882459366964E-4</v>
      </c>
    </row>
    <row r="507" spans="29:31" x14ac:dyDescent="0.45">
      <c r="AC507" t="s">
        <v>19</v>
      </c>
      <c r="AD507" t="s">
        <v>1598</v>
      </c>
      <c r="AE507">
        <v>1.1561348444618116E-4</v>
      </c>
    </row>
    <row r="508" spans="29:31" x14ac:dyDescent="0.45">
      <c r="AC508" t="s">
        <v>19</v>
      </c>
      <c r="AD508" t="s">
        <v>1599</v>
      </c>
      <c r="AE508">
        <v>1.1534709769103579E-4</v>
      </c>
    </row>
    <row r="509" spans="29:31" x14ac:dyDescent="0.45">
      <c r="AC509" t="s">
        <v>19</v>
      </c>
      <c r="AD509" t="s">
        <v>1600</v>
      </c>
      <c r="AE509">
        <v>1.1535483025286875E-4</v>
      </c>
    </row>
    <row r="510" spans="29:31" x14ac:dyDescent="0.45">
      <c r="AC510" t="s">
        <v>19</v>
      </c>
      <c r="AD510" t="s">
        <v>1601</v>
      </c>
      <c r="AE510">
        <v>1.1531616744370397E-4</v>
      </c>
    </row>
    <row r="511" spans="29:31" x14ac:dyDescent="0.45">
      <c r="AC511" t="s">
        <v>19</v>
      </c>
      <c r="AD511" t="s">
        <v>1602</v>
      </c>
      <c r="AE511">
        <v>1.1530379534477123E-4</v>
      </c>
    </row>
    <row r="512" spans="29:31" x14ac:dyDescent="0.45">
      <c r="AC512" t="s">
        <v>19</v>
      </c>
      <c r="AD512" t="s">
        <v>1603</v>
      </c>
      <c r="AE512">
        <v>1.1530379534477123E-4</v>
      </c>
    </row>
    <row r="513" spans="29:31" x14ac:dyDescent="0.45">
      <c r="AC513" t="s">
        <v>19</v>
      </c>
      <c r="AD513" t="s">
        <v>1604</v>
      </c>
      <c r="AE513">
        <v>1.1531771395607054E-4</v>
      </c>
    </row>
    <row r="514" spans="29:31" x14ac:dyDescent="0.45">
      <c r="AC514" t="s">
        <v>19</v>
      </c>
      <c r="AD514" t="s">
        <v>1605</v>
      </c>
      <c r="AE514">
        <v>1.1542558319364031E-4</v>
      </c>
    </row>
    <row r="515" spans="29:31" x14ac:dyDescent="0.45">
      <c r="AC515" t="s">
        <v>19</v>
      </c>
      <c r="AD515" t="s">
        <v>1606</v>
      </c>
      <c r="AE515">
        <v>1.1547893787028772E-4</v>
      </c>
    </row>
    <row r="516" spans="29:31" x14ac:dyDescent="0.45">
      <c r="AC516" t="s">
        <v>19</v>
      </c>
      <c r="AD516" t="s">
        <v>1607</v>
      </c>
      <c r="AE516">
        <v>1.1553963848067643E-4</v>
      </c>
    </row>
    <row r="517" spans="29:31" x14ac:dyDescent="0.45">
      <c r="AC517" t="s">
        <v>19</v>
      </c>
      <c r="AD517" t="s">
        <v>1608</v>
      </c>
      <c r="AE517">
        <v>1.155419582492263E-4</v>
      </c>
    </row>
    <row r="518" spans="29:31" x14ac:dyDescent="0.45">
      <c r="AC518" t="s">
        <v>19</v>
      </c>
      <c r="AD518" t="s">
        <v>1609</v>
      </c>
      <c r="AE518">
        <v>1.1524348136247417E-4</v>
      </c>
    </row>
    <row r="519" spans="29:31" x14ac:dyDescent="0.45">
      <c r="AC519" t="s">
        <v>19</v>
      </c>
      <c r="AD519" t="s">
        <v>1610</v>
      </c>
      <c r="AE519">
        <v>1.1493108586442271E-4</v>
      </c>
    </row>
    <row r="520" spans="29:31" x14ac:dyDescent="0.45">
      <c r="AC520" t="s">
        <v>19</v>
      </c>
      <c r="AD520" t="s">
        <v>1611</v>
      </c>
      <c r="AE520">
        <v>1.142475273983893E-4</v>
      </c>
    </row>
    <row r="521" spans="29:31" x14ac:dyDescent="0.45">
      <c r="AC521" t="s">
        <v>19</v>
      </c>
      <c r="AD521" t="s">
        <v>1612</v>
      </c>
      <c r="AE521">
        <v>1.1361616372472835E-4</v>
      </c>
    </row>
    <row r="522" spans="29:31" x14ac:dyDescent="0.45">
      <c r="AC522" t="s">
        <v>19</v>
      </c>
      <c r="AD522" t="s">
        <v>1613</v>
      </c>
      <c r="AE522">
        <v>1.1258116032338704E-4</v>
      </c>
    </row>
    <row r="523" spans="29:31" x14ac:dyDescent="0.45">
      <c r="AC523" t="s">
        <v>19</v>
      </c>
      <c r="AD523" t="s">
        <v>1614</v>
      </c>
      <c r="AE523">
        <v>1.1232327938625792E-4</v>
      </c>
    </row>
    <row r="524" spans="29:31" x14ac:dyDescent="0.45">
      <c r="AC524" t="s">
        <v>19</v>
      </c>
      <c r="AD524" t="s">
        <v>1615</v>
      </c>
      <c r="AE524">
        <v>1.1205534611874595E-4</v>
      </c>
    </row>
    <row r="525" spans="29:31" x14ac:dyDescent="0.45">
      <c r="AC525" t="s">
        <v>19</v>
      </c>
      <c r="AD525" t="s">
        <v>1616</v>
      </c>
      <c r="AE525">
        <v>1.1213421824944213E-4</v>
      </c>
    </row>
    <row r="526" spans="29:31" x14ac:dyDescent="0.45">
      <c r="AC526" t="s">
        <v>19</v>
      </c>
      <c r="AD526" t="s">
        <v>1617</v>
      </c>
      <c r="AE526">
        <v>1.1218138687662316E-4</v>
      </c>
    </row>
    <row r="527" spans="29:31" x14ac:dyDescent="0.45">
      <c r="AC527" t="s">
        <v>19</v>
      </c>
      <c r="AD527" t="s">
        <v>1618</v>
      </c>
      <c r="AE527">
        <v>1.1323842807918839E-4</v>
      </c>
    </row>
    <row r="528" spans="29:31" x14ac:dyDescent="0.45">
      <c r="AC528" t="s">
        <v>19</v>
      </c>
      <c r="AD528" t="s">
        <v>1619</v>
      </c>
      <c r="AE528">
        <v>1.1405073369974054E-4</v>
      </c>
    </row>
    <row r="529" spans="29:31" x14ac:dyDescent="0.45">
      <c r="AC529" t="s">
        <v>19</v>
      </c>
      <c r="AD529" t="s">
        <v>1620</v>
      </c>
      <c r="AE529">
        <v>1.1487811781586695E-4</v>
      </c>
    </row>
    <row r="530" spans="29:31" x14ac:dyDescent="0.45">
      <c r="AC530" t="s">
        <v>19</v>
      </c>
      <c r="AD530" t="s">
        <v>1621</v>
      </c>
      <c r="AE530">
        <v>1.1555974314144211E-4</v>
      </c>
    </row>
    <row r="531" spans="29:31" x14ac:dyDescent="0.45">
      <c r="AC531" t="s">
        <v>19</v>
      </c>
      <c r="AD531" t="s">
        <v>1622</v>
      </c>
      <c r="AE531">
        <v>1.1555007743915091E-4</v>
      </c>
    </row>
    <row r="532" spans="29:31" x14ac:dyDescent="0.45">
      <c r="AC532" t="s">
        <v>19</v>
      </c>
      <c r="AD532" t="s">
        <v>1623</v>
      </c>
      <c r="AE532">
        <v>1.1534709769103579E-4</v>
      </c>
    </row>
    <row r="533" spans="29:31" x14ac:dyDescent="0.45">
      <c r="AC533" t="s">
        <v>19</v>
      </c>
      <c r="AD533" t="s">
        <v>1624</v>
      </c>
      <c r="AE533">
        <v>1.1536874886416807E-4</v>
      </c>
    </row>
    <row r="534" spans="29:31" x14ac:dyDescent="0.45">
      <c r="AC534" t="s">
        <v>19</v>
      </c>
      <c r="AD534" t="s">
        <v>1625</v>
      </c>
      <c r="AE534">
        <v>1.1536874886416807E-4</v>
      </c>
    </row>
    <row r="535" spans="29:31" x14ac:dyDescent="0.45">
      <c r="AC535" t="s">
        <v>19</v>
      </c>
      <c r="AD535" t="s">
        <v>1626</v>
      </c>
      <c r="AE535">
        <v>1.1535676339332698E-4</v>
      </c>
    </row>
    <row r="536" spans="29:31" x14ac:dyDescent="0.45">
      <c r="AC536" t="s">
        <v>19</v>
      </c>
      <c r="AD536" t="s">
        <v>1627</v>
      </c>
      <c r="AE536">
        <v>1.153714552608096E-4</v>
      </c>
    </row>
    <row r="537" spans="29:31" x14ac:dyDescent="0.45">
      <c r="AC537" t="s">
        <v>19</v>
      </c>
      <c r="AD537" t="s">
        <v>1628</v>
      </c>
      <c r="AE537">
        <v>1.1538537387210892E-4</v>
      </c>
    </row>
    <row r="538" spans="29:31" x14ac:dyDescent="0.45">
      <c r="AC538" t="s">
        <v>19</v>
      </c>
      <c r="AD538" t="s">
        <v>1629</v>
      </c>
      <c r="AE538">
        <v>1.1547313844891299E-4</v>
      </c>
    </row>
    <row r="539" spans="29:31" x14ac:dyDescent="0.45">
      <c r="AC539" t="s">
        <v>19</v>
      </c>
      <c r="AD539" t="s">
        <v>1630</v>
      </c>
      <c r="AE539">
        <v>1.1555046406724256E-4</v>
      </c>
    </row>
    <row r="540" spans="29:31" x14ac:dyDescent="0.45">
      <c r="AC540" t="s">
        <v>19</v>
      </c>
      <c r="AD540" t="s">
        <v>1631</v>
      </c>
      <c r="AE540">
        <v>1.1566915889137845E-4</v>
      </c>
    </row>
    <row r="541" spans="29:31" x14ac:dyDescent="0.45">
      <c r="AC541" t="s">
        <v>19</v>
      </c>
      <c r="AD541" t="s">
        <v>1632</v>
      </c>
      <c r="AE541">
        <v>1.1579867930208048E-4</v>
      </c>
    </row>
    <row r="542" spans="29:31" x14ac:dyDescent="0.45">
      <c r="AC542" t="s">
        <v>19</v>
      </c>
      <c r="AD542" t="s">
        <v>1633</v>
      </c>
      <c r="AE542">
        <v>1.1550020241532834E-4</v>
      </c>
    </row>
    <row r="543" spans="29:31" x14ac:dyDescent="0.45">
      <c r="AC543" t="s">
        <v>19</v>
      </c>
      <c r="AD543" t="s">
        <v>1634</v>
      </c>
      <c r="AE543">
        <v>1.1518664703300193E-4</v>
      </c>
    </row>
    <row r="544" spans="29:31" x14ac:dyDescent="0.45">
      <c r="AC544" t="s">
        <v>19</v>
      </c>
      <c r="AD544" t="s">
        <v>1635</v>
      </c>
      <c r="AE544">
        <v>1.1429430939747868E-4</v>
      </c>
    </row>
    <row r="545" spans="29:31" x14ac:dyDescent="0.45">
      <c r="AC545" t="s">
        <v>19</v>
      </c>
      <c r="AD545" t="s">
        <v>1636</v>
      </c>
      <c r="AE545">
        <v>1.1362505617083625E-4</v>
      </c>
    </row>
    <row r="546" spans="29:31" x14ac:dyDescent="0.45">
      <c r="AC546" t="s">
        <v>19</v>
      </c>
      <c r="AD546" t="s">
        <v>1637</v>
      </c>
      <c r="AE546">
        <v>1.1258116032338704E-4</v>
      </c>
    </row>
    <row r="547" spans="29:31" x14ac:dyDescent="0.45">
      <c r="AC547" t="s">
        <v>19</v>
      </c>
      <c r="AD547" t="s">
        <v>1638</v>
      </c>
      <c r="AE547">
        <v>1.1233951776610713E-4</v>
      </c>
    </row>
    <row r="548" spans="29:31" x14ac:dyDescent="0.45">
      <c r="AC548" t="s">
        <v>19</v>
      </c>
      <c r="AD548" t="s">
        <v>1639</v>
      </c>
      <c r="AE548">
        <v>1.1207158449859516E-4</v>
      </c>
    </row>
    <row r="549" spans="29:31" x14ac:dyDescent="0.45">
      <c r="AC549" t="s">
        <v>19</v>
      </c>
      <c r="AD549" t="s">
        <v>1640</v>
      </c>
      <c r="AE549">
        <v>1.1215045662929132E-4</v>
      </c>
    </row>
    <row r="550" spans="29:31" x14ac:dyDescent="0.45">
      <c r="AC550" t="s">
        <v>19</v>
      </c>
      <c r="AD550" t="s">
        <v>1641</v>
      </c>
      <c r="AE550">
        <v>1.121840932732647E-4</v>
      </c>
    </row>
    <row r="551" spans="29:31" x14ac:dyDescent="0.45">
      <c r="AC551" t="s">
        <v>19</v>
      </c>
      <c r="AD551" t="s">
        <v>1642</v>
      </c>
      <c r="AE551">
        <v>1.1323842807918839E-4</v>
      </c>
    </row>
    <row r="552" spans="29:31" x14ac:dyDescent="0.45">
      <c r="AC552" t="s">
        <v>19</v>
      </c>
      <c r="AD552" t="s">
        <v>1643</v>
      </c>
      <c r="AE552">
        <v>1.1419687911838343E-4</v>
      </c>
    </row>
    <row r="553" spans="29:31" x14ac:dyDescent="0.45">
      <c r="AC553" t="s">
        <v>19</v>
      </c>
      <c r="AD553" t="s">
        <v>1644</v>
      </c>
      <c r="AE553">
        <v>1.1487811781586695E-4</v>
      </c>
    </row>
    <row r="554" spans="29:31" x14ac:dyDescent="0.45">
      <c r="AC554" t="s">
        <v>19</v>
      </c>
      <c r="AD554" t="s">
        <v>1645</v>
      </c>
      <c r="AE554">
        <v>1.1555974314144211E-4</v>
      </c>
    </row>
    <row r="555" spans="29:31" x14ac:dyDescent="0.45">
      <c r="AC555" t="s">
        <v>19</v>
      </c>
      <c r="AD555" t="s">
        <v>1646</v>
      </c>
      <c r="AE555">
        <v>1.1556786233136673E-4</v>
      </c>
    </row>
    <row r="556" spans="29:31" x14ac:dyDescent="0.45">
      <c r="AC556" t="s">
        <v>19</v>
      </c>
      <c r="AD556" t="s">
        <v>1647</v>
      </c>
      <c r="AE556">
        <v>1.1534709769103579E-4</v>
      </c>
    </row>
    <row r="557" spans="29:31" x14ac:dyDescent="0.45">
      <c r="AC557" t="s">
        <v>19</v>
      </c>
      <c r="AD557" t="s">
        <v>1648</v>
      </c>
      <c r="AE557">
        <v>1.1535483025286875E-4</v>
      </c>
    </row>
    <row r="558" spans="29:31" x14ac:dyDescent="0.45">
      <c r="AC558" t="s">
        <v>19</v>
      </c>
      <c r="AD558" t="s">
        <v>1649</v>
      </c>
      <c r="AE558">
        <v>1.1535483025286875E-4</v>
      </c>
    </row>
    <row r="559" spans="29:31" x14ac:dyDescent="0.45">
      <c r="AC559" t="s">
        <v>19</v>
      </c>
      <c r="AD559" t="s">
        <v>1650</v>
      </c>
      <c r="AE559">
        <v>1.1530379534477123E-4</v>
      </c>
    </row>
    <row r="560" spans="29:31" x14ac:dyDescent="0.45">
      <c r="AC560" t="s">
        <v>19</v>
      </c>
      <c r="AD560" t="s">
        <v>1651</v>
      </c>
      <c r="AE560">
        <v>1.1530379534477123E-4</v>
      </c>
    </row>
    <row r="561" spans="29:31" x14ac:dyDescent="0.45">
      <c r="AC561" t="s">
        <v>19</v>
      </c>
      <c r="AD561" t="s">
        <v>1652</v>
      </c>
      <c r="AE561">
        <v>1.1531771395607057E-4</v>
      </c>
    </row>
    <row r="562" spans="29:31" x14ac:dyDescent="0.45">
      <c r="AC562" t="s">
        <v>19</v>
      </c>
      <c r="AD562" t="s">
        <v>1653</v>
      </c>
      <c r="AE562">
        <v>1.1547313844891299E-4</v>
      </c>
    </row>
    <row r="563" spans="29:31" x14ac:dyDescent="0.45">
      <c r="AC563" t="s">
        <v>19</v>
      </c>
      <c r="AD563" t="s">
        <v>1654</v>
      </c>
      <c r="AE563">
        <v>1.1547893787028772E-4</v>
      </c>
    </row>
    <row r="564" spans="29:31" x14ac:dyDescent="0.45">
      <c r="AC564" t="s">
        <v>19</v>
      </c>
      <c r="AD564" t="s">
        <v>1655</v>
      </c>
      <c r="AE564">
        <v>1.1561116467763129E-4</v>
      </c>
    </row>
    <row r="565" spans="29:31" x14ac:dyDescent="0.45">
      <c r="AC565" t="s">
        <v>19</v>
      </c>
      <c r="AD565" t="s">
        <v>1656</v>
      </c>
      <c r="AE565">
        <v>1.1579867930208049E-4</v>
      </c>
    </row>
    <row r="566" spans="29:31" x14ac:dyDescent="0.45">
      <c r="AC566" t="s">
        <v>19</v>
      </c>
      <c r="AD566" t="s">
        <v>1657</v>
      </c>
      <c r="AE566">
        <v>1.1550020241532834E-4</v>
      </c>
    </row>
    <row r="567" spans="29:31" x14ac:dyDescent="0.45">
      <c r="AC567" t="s">
        <v>19</v>
      </c>
      <c r="AD567" t="s">
        <v>1658</v>
      </c>
      <c r="AE567">
        <v>1.1518664703300194E-4</v>
      </c>
    </row>
    <row r="568" spans="29:31" x14ac:dyDescent="0.45">
      <c r="AC568" t="s">
        <v>19</v>
      </c>
      <c r="AD568" t="s">
        <v>1659</v>
      </c>
      <c r="AE568">
        <v>1.1445746645215409E-4</v>
      </c>
    </row>
    <row r="569" spans="29:31" x14ac:dyDescent="0.45">
      <c r="AC569" t="s">
        <v>19</v>
      </c>
      <c r="AD569" t="s">
        <v>1660</v>
      </c>
      <c r="AE569">
        <v>1.136884631778665E-4</v>
      </c>
    </row>
    <row r="570" spans="29:31" x14ac:dyDescent="0.45">
      <c r="AC570" t="s">
        <v>19</v>
      </c>
      <c r="AD570" t="s">
        <v>1661</v>
      </c>
      <c r="AE570">
        <v>1.1243965444184394E-4</v>
      </c>
    </row>
    <row r="571" spans="29:31" x14ac:dyDescent="0.45">
      <c r="AC571" t="s">
        <v>19</v>
      </c>
      <c r="AD571" t="s">
        <v>1662</v>
      </c>
      <c r="AE571">
        <v>1.1213421824944213E-4</v>
      </c>
    </row>
    <row r="572" spans="29:31" x14ac:dyDescent="0.45">
      <c r="AC572" t="s">
        <v>19</v>
      </c>
      <c r="AD572" t="s">
        <v>1663</v>
      </c>
      <c r="AE572">
        <v>1.1178857273550894E-4</v>
      </c>
    </row>
    <row r="573" spans="29:31" x14ac:dyDescent="0.45">
      <c r="AC573" t="s">
        <v>19</v>
      </c>
      <c r="AD573" t="s">
        <v>1664</v>
      </c>
      <c r="AE573">
        <v>1.1175222969489406E-4</v>
      </c>
    </row>
    <row r="574" spans="29:31" x14ac:dyDescent="0.45">
      <c r="AC574" t="s">
        <v>19</v>
      </c>
      <c r="AD574" t="s">
        <v>1665</v>
      </c>
      <c r="AE574">
        <v>1.1178586633886741E-4</v>
      </c>
    </row>
    <row r="575" spans="29:31" x14ac:dyDescent="0.45">
      <c r="AC575" t="s">
        <v>19</v>
      </c>
      <c r="AD575" t="s">
        <v>1666</v>
      </c>
      <c r="AE575">
        <v>1.1215818919112429E-4</v>
      </c>
    </row>
    <row r="576" spans="29:31" x14ac:dyDescent="0.45">
      <c r="AC576" t="s">
        <v>19</v>
      </c>
      <c r="AD576" t="s">
        <v>1667</v>
      </c>
      <c r="AE576">
        <v>1.1255216321651345E-4</v>
      </c>
    </row>
    <row r="577" spans="29:31" x14ac:dyDescent="0.45">
      <c r="AC577" t="s">
        <v>19</v>
      </c>
      <c r="AD577" t="s">
        <v>1668</v>
      </c>
      <c r="AE577">
        <v>1.1314409082482632E-4</v>
      </c>
    </row>
    <row r="578" spans="29:31" x14ac:dyDescent="0.45">
      <c r="AC578" t="s">
        <v>19</v>
      </c>
      <c r="AD578" t="s">
        <v>1669</v>
      </c>
      <c r="AE578">
        <v>1.1354734392441505E-4</v>
      </c>
    </row>
    <row r="579" spans="29:31" x14ac:dyDescent="0.45">
      <c r="AC579" t="s">
        <v>19</v>
      </c>
      <c r="AD579" t="s">
        <v>948</v>
      </c>
      <c r="AE579">
        <v>1.1369503585542452E-4</v>
      </c>
    </row>
    <row r="580" spans="29:31" x14ac:dyDescent="0.45">
      <c r="AC580" t="s">
        <v>19</v>
      </c>
      <c r="AD580" t="s">
        <v>949</v>
      </c>
      <c r="AE580">
        <v>1.1371204749145701E-4</v>
      </c>
    </row>
    <row r="581" spans="29:31" x14ac:dyDescent="0.45">
      <c r="AC581" t="s">
        <v>19</v>
      </c>
      <c r="AD581" t="s">
        <v>950</v>
      </c>
      <c r="AE581">
        <v>1.1360533813816223E-4</v>
      </c>
    </row>
    <row r="582" spans="29:31" x14ac:dyDescent="0.45">
      <c r="AC582" t="s">
        <v>19</v>
      </c>
      <c r="AD582" t="s">
        <v>951</v>
      </c>
      <c r="AE582">
        <v>1.1358330033693829E-4</v>
      </c>
    </row>
    <row r="583" spans="29:31" x14ac:dyDescent="0.45">
      <c r="AC583" t="s">
        <v>19</v>
      </c>
      <c r="AD583" t="s">
        <v>952</v>
      </c>
      <c r="AE583">
        <v>1.135713148660972E-4</v>
      </c>
    </row>
    <row r="584" spans="29:31" x14ac:dyDescent="0.45">
      <c r="AC584" t="s">
        <v>19</v>
      </c>
      <c r="AD584" t="s">
        <v>953</v>
      </c>
      <c r="AE584">
        <v>1.1361771023709495E-4</v>
      </c>
    </row>
    <row r="585" spans="29:31" x14ac:dyDescent="0.45">
      <c r="AC585" t="s">
        <v>19</v>
      </c>
      <c r="AD585" t="s">
        <v>954</v>
      </c>
      <c r="AE585">
        <v>1.1365946607099291E-4</v>
      </c>
    </row>
    <row r="586" spans="29:31" x14ac:dyDescent="0.45">
      <c r="AC586" t="s">
        <v>19</v>
      </c>
      <c r="AD586" t="s">
        <v>955</v>
      </c>
      <c r="AE586">
        <v>1.1419726574647507E-4</v>
      </c>
    </row>
    <row r="587" spans="29:31" x14ac:dyDescent="0.45">
      <c r="AC587" t="s">
        <v>19</v>
      </c>
      <c r="AD587" t="s">
        <v>956</v>
      </c>
      <c r="AE587">
        <v>1.1449419612086063E-4</v>
      </c>
    </row>
    <row r="588" spans="29:31" x14ac:dyDescent="0.45">
      <c r="AC588" t="s">
        <v>19</v>
      </c>
      <c r="AD588" t="s">
        <v>957</v>
      </c>
      <c r="AE588">
        <v>1.1451468740971797E-4</v>
      </c>
    </row>
    <row r="589" spans="29:31" x14ac:dyDescent="0.45">
      <c r="AC589" t="s">
        <v>19</v>
      </c>
      <c r="AD589" t="s">
        <v>958</v>
      </c>
      <c r="AE589">
        <v>1.1475903636363941E-4</v>
      </c>
    </row>
    <row r="590" spans="29:31" x14ac:dyDescent="0.45">
      <c r="AC590" t="s">
        <v>19</v>
      </c>
      <c r="AD590" t="s">
        <v>959</v>
      </c>
      <c r="AE590">
        <v>1.1472385320729945E-4</v>
      </c>
    </row>
    <row r="591" spans="29:31" x14ac:dyDescent="0.45">
      <c r="AC591" t="s">
        <v>19</v>
      </c>
      <c r="AD591" t="s">
        <v>960</v>
      </c>
      <c r="AE591">
        <v>1.1445862633642903E-4</v>
      </c>
    </row>
    <row r="592" spans="29:31" x14ac:dyDescent="0.45">
      <c r="AC592" t="s">
        <v>19</v>
      </c>
      <c r="AD592" t="s">
        <v>961</v>
      </c>
      <c r="AE592">
        <v>1.1414043141700283E-4</v>
      </c>
    </row>
    <row r="593" spans="29:31" x14ac:dyDescent="0.45">
      <c r="AC593" t="s">
        <v>19</v>
      </c>
      <c r="AD593" t="s">
        <v>962</v>
      </c>
      <c r="AE593">
        <v>1.1342439619127102E-4</v>
      </c>
    </row>
    <row r="594" spans="29:31" x14ac:dyDescent="0.45">
      <c r="AC594" t="s">
        <v>19</v>
      </c>
      <c r="AD594" t="s">
        <v>963</v>
      </c>
      <c r="AE594">
        <v>1.1243965444184394E-4</v>
      </c>
    </row>
    <row r="595" spans="29:31" x14ac:dyDescent="0.45">
      <c r="AC595" t="s">
        <v>19</v>
      </c>
      <c r="AD595" t="s">
        <v>964</v>
      </c>
      <c r="AE595">
        <v>1.1213421824944213E-4</v>
      </c>
    </row>
    <row r="596" spans="29:31" x14ac:dyDescent="0.45">
      <c r="AC596" t="s">
        <v>19</v>
      </c>
      <c r="AD596" t="s">
        <v>965</v>
      </c>
      <c r="AE596">
        <v>1.1178857273550894E-4</v>
      </c>
    </row>
    <row r="597" spans="29:31" x14ac:dyDescent="0.45">
      <c r="AC597" t="s">
        <v>19</v>
      </c>
      <c r="AD597" t="s">
        <v>966</v>
      </c>
      <c r="AE597">
        <v>1.1175222969489406E-4</v>
      </c>
    </row>
    <row r="598" spans="29:31" x14ac:dyDescent="0.45">
      <c r="AC598" t="s">
        <v>19</v>
      </c>
      <c r="AD598" t="s">
        <v>967</v>
      </c>
      <c r="AE598">
        <v>1.1182220937948231E-4</v>
      </c>
    </row>
    <row r="599" spans="29:31" x14ac:dyDescent="0.45">
      <c r="AC599" t="s">
        <v>19</v>
      </c>
      <c r="AD599" t="s">
        <v>968</v>
      </c>
      <c r="AE599">
        <v>1.1218100024853153E-4</v>
      </c>
    </row>
    <row r="600" spans="29:31" x14ac:dyDescent="0.45">
      <c r="AC600" t="s">
        <v>19</v>
      </c>
      <c r="AD600" t="s">
        <v>969</v>
      </c>
      <c r="AE600">
        <v>1.1257922718292881E-4</v>
      </c>
    </row>
    <row r="601" spans="29:31" x14ac:dyDescent="0.45">
      <c r="AC601" t="s">
        <v>19</v>
      </c>
      <c r="AD601" t="s">
        <v>970</v>
      </c>
      <c r="AE601">
        <v>1.1314409082482632E-4</v>
      </c>
    </row>
    <row r="602" spans="29:31" x14ac:dyDescent="0.45">
      <c r="AC602" t="s">
        <v>19</v>
      </c>
      <c r="AD602" t="s">
        <v>971</v>
      </c>
      <c r="AE602">
        <v>1.1354734392441505E-4</v>
      </c>
    </row>
    <row r="603" spans="29:31" x14ac:dyDescent="0.45">
      <c r="AC603" t="s">
        <v>19</v>
      </c>
      <c r="AD603" t="s">
        <v>1670</v>
      </c>
      <c r="AE603">
        <v>1.1369503585542452E-4</v>
      </c>
    </row>
    <row r="604" spans="29:31" x14ac:dyDescent="0.45">
      <c r="AC604" t="s">
        <v>19</v>
      </c>
      <c r="AD604" t="s">
        <v>1671</v>
      </c>
      <c r="AE604">
        <v>1.1385316674490849E-4</v>
      </c>
    </row>
    <row r="605" spans="29:31" x14ac:dyDescent="0.45">
      <c r="AC605" t="s">
        <v>19</v>
      </c>
      <c r="AD605" t="s">
        <v>1672</v>
      </c>
      <c r="AE605">
        <v>1.136053381381622E-4</v>
      </c>
    </row>
    <row r="606" spans="29:31" x14ac:dyDescent="0.45">
      <c r="AC606" t="s">
        <v>19</v>
      </c>
      <c r="AD606" t="s">
        <v>1673</v>
      </c>
      <c r="AE606">
        <v>1.1358330033693828E-4</v>
      </c>
    </row>
    <row r="607" spans="29:31" x14ac:dyDescent="0.45">
      <c r="AC607" t="s">
        <v>19</v>
      </c>
      <c r="AD607" t="s">
        <v>1674</v>
      </c>
      <c r="AE607">
        <v>1.135713148660972E-4</v>
      </c>
    </row>
    <row r="608" spans="29:31" x14ac:dyDescent="0.45">
      <c r="AC608" t="s">
        <v>19</v>
      </c>
      <c r="AD608" t="s">
        <v>1675</v>
      </c>
      <c r="AE608">
        <v>1.1361771023709495E-4</v>
      </c>
    </row>
    <row r="609" spans="29:31" x14ac:dyDescent="0.45">
      <c r="AC609" t="s">
        <v>19</v>
      </c>
      <c r="AD609" t="s">
        <v>1676</v>
      </c>
      <c r="AE609">
        <v>1.1365946607099291E-4</v>
      </c>
    </row>
    <row r="610" spans="29:31" x14ac:dyDescent="0.45">
      <c r="AC610" t="s">
        <v>19</v>
      </c>
      <c r="AD610" t="s">
        <v>1677</v>
      </c>
      <c r="AE610">
        <v>1.1419726574647507E-4</v>
      </c>
    </row>
    <row r="611" spans="29:31" x14ac:dyDescent="0.45">
      <c r="AC611" t="s">
        <v>19</v>
      </c>
      <c r="AD611" t="s">
        <v>1678</v>
      </c>
      <c r="AE611">
        <v>1.1455180370651616E-4</v>
      </c>
    </row>
    <row r="612" spans="29:31" x14ac:dyDescent="0.45">
      <c r="AC612" t="s">
        <v>19</v>
      </c>
      <c r="AD612" t="s">
        <v>1679</v>
      </c>
      <c r="AE612">
        <v>1.1465967294408591E-4</v>
      </c>
    </row>
    <row r="613" spans="29:31" x14ac:dyDescent="0.45">
      <c r="AC613" t="s">
        <v>19</v>
      </c>
      <c r="AD613" t="s">
        <v>1680</v>
      </c>
      <c r="AE613">
        <v>1.1475903636363941E-4</v>
      </c>
    </row>
    <row r="614" spans="29:31" x14ac:dyDescent="0.45">
      <c r="AC614" t="s">
        <v>19</v>
      </c>
      <c r="AD614" t="s">
        <v>1681</v>
      </c>
      <c r="AE614">
        <v>1.1465812643171931E-4</v>
      </c>
    </row>
    <row r="615" spans="29:31" x14ac:dyDescent="0.45">
      <c r="AC615" t="s">
        <v>19</v>
      </c>
      <c r="AD615" t="s">
        <v>1682</v>
      </c>
      <c r="AE615">
        <v>1.144068181721482E-4</v>
      </c>
    </row>
    <row r="616" spans="29:31" x14ac:dyDescent="0.45">
      <c r="AC616" t="s">
        <v>19</v>
      </c>
      <c r="AD616" t="s">
        <v>1683</v>
      </c>
      <c r="AE616">
        <v>1.1410099535165476E-4</v>
      </c>
    </row>
    <row r="617" spans="29:31" x14ac:dyDescent="0.45">
      <c r="AC617" t="s">
        <v>19</v>
      </c>
      <c r="AD617" t="s">
        <v>1684</v>
      </c>
      <c r="AE617">
        <v>1.1346189911616085E-4</v>
      </c>
    </row>
    <row r="618" spans="29:31" x14ac:dyDescent="0.45">
      <c r="AC618" t="s">
        <v>19</v>
      </c>
      <c r="AD618" t="s">
        <v>1685</v>
      </c>
      <c r="AE618">
        <v>1.1260087835606109E-4</v>
      </c>
    </row>
    <row r="619" spans="29:31" x14ac:dyDescent="0.45">
      <c r="AC619" t="s">
        <v>19</v>
      </c>
      <c r="AD619" t="s">
        <v>1686</v>
      </c>
      <c r="AE619">
        <v>1.1235923579878118E-4</v>
      </c>
    </row>
    <row r="620" spans="29:31" x14ac:dyDescent="0.45">
      <c r="AC620" t="s">
        <v>19</v>
      </c>
      <c r="AD620" t="s">
        <v>1687</v>
      </c>
      <c r="AE620">
        <v>1.1207158449859519E-4</v>
      </c>
    </row>
    <row r="621" spans="29:31" x14ac:dyDescent="0.45">
      <c r="AC621" t="s">
        <v>19</v>
      </c>
      <c r="AD621" t="s">
        <v>1688</v>
      </c>
      <c r="AE621">
        <v>1.1215045662929135E-4</v>
      </c>
    </row>
    <row r="622" spans="29:31" x14ac:dyDescent="0.45">
      <c r="AC622" t="s">
        <v>19</v>
      </c>
      <c r="AD622" t="s">
        <v>1689</v>
      </c>
      <c r="AE622">
        <v>1.121840932732647E-4</v>
      </c>
    </row>
    <row r="623" spans="29:31" x14ac:dyDescent="0.45">
      <c r="AC623" t="s">
        <v>19</v>
      </c>
      <c r="AD623" t="s">
        <v>1690</v>
      </c>
      <c r="AE623">
        <v>1.1323842807918839E-4</v>
      </c>
    </row>
    <row r="624" spans="29:31" x14ac:dyDescent="0.45">
      <c r="AC624" t="s">
        <v>19</v>
      </c>
      <c r="AD624" t="s">
        <v>1691</v>
      </c>
      <c r="AE624">
        <v>1.1435501000786739E-4</v>
      </c>
    </row>
    <row r="625" spans="29:31" x14ac:dyDescent="0.45">
      <c r="AC625" t="s">
        <v>19</v>
      </c>
      <c r="AD625" t="s">
        <v>1692</v>
      </c>
      <c r="AE625">
        <v>1.1529528952675499E-4</v>
      </c>
    </row>
    <row r="626" spans="29:31" x14ac:dyDescent="0.45">
      <c r="AC626" t="s">
        <v>19</v>
      </c>
      <c r="AD626" t="s">
        <v>1693</v>
      </c>
      <c r="AE626">
        <v>1.1597691485233015E-4</v>
      </c>
    </row>
    <row r="627" spans="29:31" x14ac:dyDescent="0.45">
      <c r="AC627" t="s">
        <v>19</v>
      </c>
      <c r="AD627" t="s">
        <v>1694</v>
      </c>
      <c r="AE627">
        <v>1.15650987371071E-4</v>
      </c>
    </row>
    <row r="628" spans="29:31" x14ac:dyDescent="0.45">
      <c r="AC628" t="s">
        <v>19</v>
      </c>
      <c r="AD628" t="s">
        <v>1695</v>
      </c>
      <c r="AE628">
        <v>1.1537918782264255E-4</v>
      </c>
    </row>
    <row r="629" spans="29:31" x14ac:dyDescent="0.45">
      <c r="AC629" t="s">
        <v>19</v>
      </c>
      <c r="AD629" t="s">
        <v>1696</v>
      </c>
      <c r="AE629">
        <v>1.1536874886416806E-4</v>
      </c>
    </row>
    <row r="630" spans="29:31" x14ac:dyDescent="0.45">
      <c r="AC630" t="s">
        <v>19</v>
      </c>
      <c r="AD630" t="s">
        <v>1697</v>
      </c>
      <c r="AE630">
        <v>1.1536874886416806E-4</v>
      </c>
    </row>
    <row r="631" spans="29:31" x14ac:dyDescent="0.45">
      <c r="AC631" t="s">
        <v>19</v>
      </c>
      <c r="AD631" t="s">
        <v>1698</v>
      </c>
      <c r="AE631">
        <v>1.1534245815393601E-4</v>
      </c>
    </row>
    <row r="632" spans="29:31" x14ac:dyDescent="0.45">
      <c r="AC632" t="s">
        <v>19</v>
      </c>
      <c r="AD632" t="s">
        <v>1699</v>
      </c>
      <c r="AE632">
        <v>1.1530379534477122E-4</v>
      </c>
    </row>
    <row r="633" spans="29:31" x14ac:dyDescent="0.45">
      <c r="AC633" t="s">
        <v>19</v>
      </c>
      <c r="AD633" t="s">
        <v>1700</v>
      </c>
      <c r="AE633">
        <v>1.1531771395607054E-4</v>
      </c>
    </row>
    <row r="634" spans="29:31" x14ac:dyDescent="0.45">
      <c r="AC634" t="s">
        <v>19</v>
      </c>
      <c r="AD634" t="s">
        <v>1701</v>
      </c>
      <c r="AE634">
        <v>1.1547313844891298E-4</v>
      </c>
    </row>
    <row r="635" spans="29:31" x14ac:dyDescent="0.45">
      <c r="AC635" t="s">
        <v>19</v>
      </c>
      <c r="AD635" t="s">
        <v>1702</v>
      </c>
      <c r="AE635">
        <v>1.1556863558755001E-4</v>
      </c>
    </row>
    <row r="636" spans="29:31" x14ac:dyDescent="0.45">
      <c r="AC636" t="s">
        <v>19</v>
      </c>
      <c r="AD636" t="s">
        <v>1703</v>
      </c>
      <c r="AE636">
        <v>1.1561116467763127E-4</v>
      </c>
    </row>
    <row r="637" spans="29:31" x14ac:dyDescent="0.45">
      <c r="AC637" t="s">
        <v>19</v>
      </c>
      <c r="AD637" t="s">
        <v>1704</v>
      </c>
      <c r="AE637">
        <v>1.1586401944956896E-4</v>
      </c>
    </row>
    <row r="638" spans="29:31" x14ac:dyDescent="0.45">
      <c r="AC638" t="s">
        <v>19</v>
      </c>
      <c r="AD638" t="s">
        <v>1705</v>
      </c>
      <c r="AE638">
        <v>1.1561077804953962E-4</v>
      </c>
    </row>
    <row r="639" spans="29:31" x14ac:dyDescent="0.45">
      <c r="AC639" t="s">
        <v>19</v>
      </c>
      <c r="AD639" t="s">
        <v>1706</v>
      </c>
      <c r="AE639">
        <v>1.1515958306658658E-4</v>
      </c>
    </row>
    <row r="640" spans="29:31" x14ac:dyDescent="0.45">
      <c r="AC640" t="s">
        <v>19</v>
      </c>
      <c r="AD640" t="s">
        <v>1707</v>
      </c>
      <c r="AE640">
        <v>1.1447370483200328E-4</v>
      </c>
    </row>
    <row r="641" spans="29:31" x14ac:dyDescent="0.45">
      <c r="AC641" t="s">
        <v>19</v>
      </c>
      <c r="AD641" t="s">
        <v>1708</v>
      </c>
      <c r="AE641">
        <v>1.1369619573969945E-4</v>
      </c>
    </row>
    <row r="642" spans="29:31" x14ac:dyDescent="0.45">
      <c r="AC642" t="s">
        <v>19</v>
      </c>
      <c r="AD642" t="s">
        <v>1709</v>
      </c>
      <c r="AE642">
        <v>1.1260087835606107E-4</v>
      </c>
    </row>
    <row r="643" spans="29:31" x14ac:dyDescent="0.45">
      <c r="AC643" t="s">
        <v>19</v>
      </c>
      <c r="AD643" t="s">
        <v>1710</v>
      </c>
      <c r="AE643">
        <v>1.1235923579878116E-4</v>
      </c>
    </row>
    <row r="644" spans="29:31" x14ac:dyDescent="0.45">
      <c r="AC644" t="s">
        <v>19</v>
      </c>
      <c r="AD644" t="s">
        <v>1711</v>
      </c>
      <c r="AE644">
        <v>1.1207158449859516E-4</v>
      </c>
    </row>
    <row r="645" spans="29:31" x14ac:dyDescent="0.45">
      <c r="AC645" t="s">
        <v>19</v>
      </c>
      <c r="AD645" t="s">
        <v>1712</v>
      </c>
      <c r="AE645">
        <v>1.1215045662929132E-4</v>
      </c>
    </row>
    <row r="646" spans="29:31" x14ac:dyDescent="0.45">
      <c r="AC646" t="s">
        <v>19</v>
      </c>
      <c r="AD646" t="s">
        <v>1713</v>
      </c>
      <c r="AE646">
        <v>1.1227572413098523E-4</v>
      </c>
    </row>
    <row r="647" spans="29:31" x14ac:dyDescent="0.45">
      <c r="AC647" t="s">
        <v>19</v>
      </c>
      <c r="AD647" t="s">
        <v>1714</v>
      </c>
      <c r="AE647">
        <v>1.1337684093599832E-4</v>
      </c>
    </row>
    <row r="648" spans="29:31" x14ac:dyDescent="0.45">
      <c r="AC648" t="s">
        <v>19</v>
      </c>
      <c r="AD648" t="s">
        <v>1715</v>
      </c>
      <c r="AE648">
        <v>1.1435501000786739E-4</v>
      </c>
    </row>
    <row r="649" spans="29:31" x14ac:dyDescent="0.45">
      <c r="AC649" t="s">
        <v>19</v>
      </c>
      <c r="AD649" t="s">
        <v>1716</v>
      </c>
      <c r="AE649">
        <v>1.1521293774323398E-4</v>
      </c>
    </row>
    <row r="650" spans="29:31" x14ac:dyDescent="0.45">
      <c r="AC650" t="s">
        <v>19</v>
      </c>
      <c r="AD650" t="s">
        <v>1717</v>
      </c>
      <c r="AE650">
        <v>1.1578282755032292E-4</v>
      </c>
    </row>
    <row r="651" spans="29:31" x14ac:dyDescent="0.45">
      <c r="AC651" t="s">
        <v>19</v>
      </c>
      <c r="AD651" t="s">
        <v>291</v>
      </c>
      <c r="AE651">
        <v>1.5819997111875976E-2</v>
      </c>
    </row>
    <row r="652" spans="29:31" x14ac:dyDescent="0.45">
      <c r="AC652" t="s">
        <v>19</v>
      </c>
      <c r="AD652" t="s">
        <v>292</v>
      </c>
      <c r="AE652">
        <v>2.6369503569600239E-3</v>
      </c>
    </row>
    <row r="653" spans="29:31" x14ac:dyDescent="0.45">
      <c r="AC653" t="s">
        <v>19</v>
      </c>
      <c r="AD653" t="s">
        <v>293</v>
      </c>
      <c r="AE653">
        <v>2.6476669144043187E-3</v>
      </c>
    </row>
    <row r="654" spans="29:31" x14ac:dyDescent="0.45">
      <c r="AC654" t="s">
        <v>19</v>
      </c>
      <c r="AD654" t="s">
        <v>294</v>
      </c>
      <c r="AE654">
        <v>1.5881718807054728E-2</v>
      </c>
    </row>
    <row r="655" spans="29:31" x14ac:dyDescent="0.45">
      <c r="AC655" t="s">
        <v>19</v>
      </c>
      <c r="AD655" t="s">
        <v>295</v>
      </c>
      <c r="AE655">
        <v>7.7708638644809497E-3</v>
      </c>
    </row>
    <row r="656" spans="29:31" x14ac:dyDescent="0.45">
      <c r="AC656" t="s">
        <v>19</v>
      </c>
      <c r="AD656" t="s">
        <v>296</v>
      </c>
      <c r="AE656">
        <v>2.5705825520039361E-3</v>
      </c>
    </row>
    <row r="657" spans="29:31" x14ac:dyDescent="0.45">
      <c r="AC657" t="s">
        <v>19</v>
      </c>
      <c r="AD657" t="s">
        <v>297</v>
      </c>
      <c r="AE657">
        <v>2.5717180787091058E-3</v>
      </c>
    </row>
    <row r="658" spans="29:31" x14ac:dyDescent="0.45">
      <c r="AC658" t="s">
        <v>19</v>
      </c>
      <c r="AD658" t="s">
        <v>298</v>
      </c>
      <c r="AE658">
        <v>1.3069865247366958E-2</v>
      </c>
    </row>
    <row r="659" spans="29:31" x14ac:dyDescent="0.45">
      <c r="AC659" t="s">
        <v>19</v>
      </c>
      <c r="AD659" t="s">
        <v>604</v>
      </c>
      <c r="AE659">
        <v>1.1569159159890035E-4</v>
      </c>
    </row>
    <row r="660" spans="29:31" x14ac:dyDescent="0.45">
      <c r="AC660" t="s">
        <v>19</v>
      </c>
      <c r="AD660" t="s">
        <v>605</v>
      </c>
      <c r="AE660">
        <v>1.1544376299215406E-4</v>
      </c>
    </row>
    <row r="661" spans="29:31" x14ac:dyDescent="0.45">
      <c r="AC661" t="s">
        <v>19</v>
      </c>
      <c r="AD661" t="s">
        <v>606</v>
      </c>
      <c r="AE661">
        <v>1.1527132686327913E-4</v>
      </c>
    </row>
    <row r="662" spans="29:31" x14ac:dyDescent="0.45">
      <c r="AC662" t="s">
        <v>19</v>
      </c>
      <c r="AD662" t="s">
        <v>607</v>
      </c>
      <c r="AE662">
        <v>1.1527132686327913E-4</v>
      </c>
    </row>
    <row r="663" spans="29:31" x14ac:dyDescent="0.45">
      <c r="AC663" t="s">
        <v>19</v>
      </c>
      <c r="AD663" t="s">
        <v>608</v>
      </c>
      <c r="AE663">
        <v>1.151854954269333E-4</v>
      </c>
    </row>
    <row r="664" spans="29:31" x14ac:dyDescent="0.45">
      <c r="AC664" t="s">
        <v>19</v>
      </c>
      <c r="AD664" t="s">
        <v>609</v>
      </c>
      <c r="AE664">
        <v>1.151854954269333E-4</v>
      </c>
    </row>
    <row r="665" spans="29:31" x14ac:dyDescent="0.45">
      <c r="AC665" t="s">
        <v>19</v>
      </c>
      <c r="AD665" t="s">
        <v>610</v>
      </c>
      <c r="AE665">
        <v>1.152856321026701E-4</v>
      </c>
    </row>
    <row r="666" spans="29:31" x14ac:dyDescent="0.45">
      <c r="AC666" t="s">
        <v>19</v>
      </c>
      <c r="AD666" t="s">
        <v>611</v>
      </c>
      <c r="AE666">
        <v>1.1605734177359921E-4</v>
      </c>
    </row>
    <row r="667" spans="29:31" x14ac:dyDescent="0.45">
      <c r="AC667" t="s">
        <v>19</v>
      </c>
      <c r="AD667" t="s">
        <v>612</v>
      </c>
      <c r="AE667">
        <v>1.1624021686094864E-4</v>
      </c>
    </row>
    <row r="668" spans="29:31" x14ac:dyDescent="0.45">
      <c r="AC668" t="s">
        <v>19</v>
      </c>
      <c r="AD668" t="s">
        <v>613</v>
      </c>
      <c r="AE668">
        <v>1.1669566475290982E-4</v>
      </c>
    </row>
    <row r="669" spans="29:31" x14ac:dyDescent="0.45">
      <c r="AC669" t="s">
        <v>19</v>
      </c>
      <c r="AD669" t="s">
        <v>614</v>
      </c>
      <c r="AE669">
        <v>1.1689748461675E-4</v>
      </c>
    </row>
    <row r="670" spans="29:31" x14ac:dyDescent="0.45">
      <c r="AC670" t="s">
        <v>19</v>
      </c>
      <c r="AD670" t="s">
        <v>615</v>
      </c>
      <c r="AE670">
        <v>1.1666589438985293E-4</v>
      </c>
    </row>
    <row r="671" spans="29:31" x14ac:dyDescent="0.45">
      <c r="AC671" t="s">
        <v>19</v>
      </c>
      <c r="AD671" t="s">
        <v>616</v>
      </c>
      <c r="AE671">
        <v>1.1574146662272291E-4</v>
      </c>
    </row>
    <row r="672" spans="29:31" x14ac:dyDescent="0.45">
      <c r="AC672" t="s">
        <v>19</v>
      </c>
      <c r="AD672" t="s">
        <v>617</v>
      </c>
      <c r="AE672">
        <v>1.1456070443083037E-4</v>
      </c>
    </row>
    <row r="673" spans="29:31" x14ac:dyDescent="0.45">
      <c r="AC673" t="s">
        <v>19</v>
      </c>
      <c r="AD673" t="s">
        <v>618</v>
      </c>
      <c r="AE673">
        <v>1.1387134654342225E-4</v>
      </c>
    </row>
    <row r="674" spans="29:31" x14ac:dyDescent="0.45">
      <c r="AC674" t="s">
        <v>19</v>
      </c>
      <c r="AD674" t="s">
        <v>619</v>
      </c>
      <c r="AE674">
        <v>1.125289738092209E-4</v>
      </c>
    </row>
    <row r="675" spans="29:31" x14ac:dyDescent="0.45">
      <c r="AC675" t="s">
        <v>19</v>
      </c>
      <c r="AD675" t="s">
        <v>620</v>
      </c>
      <c r="AE675">
        <v>1.1228114520247461E-4</v>
      </c>
    </row>
    <row r="676" spans="29:31" x14ac:dyDescent="0.45">
      <c r="AC676" t="s">
        <v>19</v>
      </c>
      <c r="AD676" t="s">
        <v>621</v>
      </c>
      <c r="AE676">
        <v>1.1202210438107055E-4</v>
      </c>
    </row>
    <row r="677" spans="29:31" x14ac:dyDescent="0.45">
      <c r="AC677" t="s">
        <v>19</v>
      </c>
      <c r="AD677" t="s">
        <v>622</v>
      </c>
      <c r="AE677">
        <v>1.1210097651176671E-4</v>
      </c>
    </row>
    <row r="678" spans="29:31" x14ac:dyDescent="0.45">
      <c r="AC678" t="s">
        <v>19</v>
      </c>
      <c r="AD678" t="s">
        <v>623</v>
      </c>
      <c r="AE678">
        <v>1.1241143886935997E-4</v>
      </c>
    </row>
    <row r="679" spans="29:31" x14ac:dyDescent="0.45">
      <c r="AC679" t="s">
        <v>19</v>
      </c>
      <c r="AD679" t="s">
        <v>624</v>
      </c>
      <c r="AE679">
        <v>1.1358872140842768E-4</v>
      </c>
    </row>
    <row r="680" spans="29:31" x14ac:dyDescent="0.45">
      <c r="AC680" t="s">
        <v>19</v>
      </c>
      <c r="AD680" t="s">
        <v>625</v>
      </c>
      <c r="AE680">
        <v>1.1489011156491435E-4</v>
      </c>
    </row>
    <row r="681" spans="29:31" x14ac:dyDescent="0.45">
      <c r="AC681" t="s">
        <v>19</v>
      </c>
      <c r="AD681" t="s">
        <v>626</v>
      </c>
      <c r="AE681">
        <v>1.1535406527489178E-4</v>
      </c>
    </row>
    <row r="682" spans="29:31" x14ac:dyDescent="0.45">
      <c r="AC682" t="s">
        <v>19</v>
      </c>
      <c r="AD682" t="s">
        <v>627</v>
      </c>
      <c r="AE682">
        <v>1.1592318182579741E-4</v>
      </c>
    </row>
    <row r="683" spans="29:31" x14ac:dyDescent="0.45">
      <c r="AC683" t="s">
        <v>19</v>
      </c>
      <c r="AD683" t="s">
        <v>1718</v>
      </c>
      <c r="AE683">
        <v>1.158172457286859E-4</v>
      </c>
    </row>
    <row r="684" spans="29:31" x14ac:dyDescent="0.45">
      <c r="AC684" t="s">
        <v>19</v>
      </c>
      <c r="AD684" t="s">
        <v>1719</v>
      </c>
      <c r="AE684">
        <v>1.1544376299215406E-4</v>
      </c>
    </row>
    <row r="685" spans="29:31" x14ac:dyDescent="0.45">
      <c r="AC685" t="s">
        <v>19</v>
      </c>
      <c r="AD685" t="s">
        <v>1720</v>
      </c>
      <c r="AE685">
        <v>1.1535793155580825E-4</v>
      </c>
    </row>
    <row r="686" spans="29:31" x14ac:dyDescent="0.45">
      <c r="AC686" t="s">
        <v>19</v>
      </c>
      <c r="AD686" t="s">
        <v>1721</v>
      </c>
      <c r="AE686">
        <v>1.1539698099306469E-4</v>
      </c>
    </row>
    <row r="687" spans="29:31" x14ac:dyDescent="0.45">
      <c r="AC687" t="s">
        <v>19</v>
      </c>
      <c r="AD687" t="s">
        <v>1722</v>
      </c>
      <c r="AE687">
        <v>1.1525934139243804E-4</v>
      </c>
    </row>
    <row r="688" spans="29:31" x14ac:dyDescent="0.45">
      <c r="AC688" t="s">
        <v>19</v>
      </c>
      <c r="AD688" t="s">
        <v>1723</v>
      </c>
      <c r="AE688">
        <v>1.1525934139243804E-4</v>
      </c>
    </row>
    <row r="689" spans="29:31" x14ac:dyDescent="0.45">
      <c r="AC689" t="s">
        <v>19</v>
      </c>
      <c r="AD689" t="s">
        <v>1724</v>
      </c>
      <c r="AE689">
        <v>1.1535947806817483E-4</v>
      </c>
    </row>
    <row r="690" spans="29:31" x14ac:dyDescent="0.45">
      <c r="AC690" t="s">
        <v>19</v>
      </c>
      <c r="AD690" t="s">
        <v>1725</v>
      </c>
      <c r="AE690">
        <v>1.1616830403590216E-4</v>
      </c>
    </row>
    <row r="691" spans="29:31" x14ac:dyDescent="0.45">
      <c r="AC691" t="s">
        <v>19</v>
      </c>
      <c r="AD691" t="s">
        <v>1726</v>
      </c>
      <c r="AE691">
        <v>1.1663496414252111E-4</v>
      </c>
    </row>
    <row r="692" spans="29:31" x14ac:dyDescent="0.45">
      <c r="AC692" t="s">
        <v>19</v>
      </c>
      <c r="AD692" t="s">
        <v>1727</v>
      </c>
      <c r="AE692">
        <v>1.1669566475290982E-4</v>
      </c>
    </row>
    <row r="693" spans="29:31" x14ac:dyDescent="0.45">
      <c r="AC693" t="s">
        <v>19</v>
      </c>
      <c r="AD693" t="s">
        <v>1728</v>
      </c>
      <c r="AE693">
        <v>1.171205690256308E-4</v>
      </c>
    </row>
    <row r="694" spans="29:31" x14ac:dyDescent="0.45">
      <c r="AC694" t="s">
        <v>19</v>
      </c>
      <c r="AD694" t="s">
        <v>1729</v>
      </c>
      <c r="AE694">
        <v>1.1670881010802584E-4</v>
      </c>
    </row>
    <row r="695" spans="29:31" x14ac:dyDescent="0.45">
      <c r="AC695" t="s">
        <v>19</v>
      </c>
      <c r="AD695" t="s">
        <v>1730</v>
      </c>
      <c r="AE695">
        <v>1.1574146662272291E-4</v>
      </c>
    </row>
    <row r="696" spans="29:31" x14ac:dyDescent="0.45">
      <c r="AC696" t="s">
        <v>19</v>
      </c>
      <c r="AD696" t="s">
        <v>1731</v>
      </c>
      <c r="AE696">
        <v>1.1458467537251254E-4</v>
      </c>
    </row>
    <row r="697" spans="29:31" x14ac:dyDescent="0.45">
      <c r="AC697" t="s">
        <v>19</v>
      </c>
      <c r="AD697" t="s">
        <v>1732</v>
      </c>
      <c r="AE697">
        <v>1.1381296570158344E-4</v>
      </c>
    </row>
    <row r="698" spans="29:31" x14ac:dyDescent="0.45">
      <c r="AC698" t="s">
        <v>19</v>
      </c>
      <c r="AD698" t="s">
        <v>1733</v>
      </c>
      <c r="AE698">
        <v>1.1238862781195273E-4</v>
      </c>
    </row>
    <row r="699" spans="29:31" x14ac:dyDescent="0.45">
      <c r="AC699" t="s">
        <v>19</v>
      </c>
      <c r="AD699" t="s">
        <v>1734</v>
      </c>
      <c r="AE699">
        <v>1.1221464517071119E-4</v>
      </c>
    </row>
    <row r="700" spans="29:31" x14ac:dyDescent="0.45">
      <c r="AC700" t="s">
        <v>19</v>
      </c>
      <c r="AD700" t="s">
        <v>1735</v>
      </c>
      <c r="AE700">
        <v>1.1202210438107055E-4</v>
      </c>
    </row>
    <row r="701" spans="29:31" x14ac:dyDescent="0.45">
      <c r="AC701" t="s">
        <v>19</v>
      </c>
      <c r="AD701" t="s">
        <v>1736</v>
      </c>
      <c r="AE701">
        <v>1.1219028760093738E-4</v>
      </c>
    </row>
    <row r="702" spans="29:31" x14ac:dyDescent="0.45">
      <c r="AC702" t="s">
        <v>19</v>
      </c>
      <c r="AD702" t="s">
        <v>1737</v>
      </c>
      <c r="AE702">
        <v>1.1249301739669766E-4</v>
      </c>
    </row>
    <row r="703" spans="29:31" x14ac:dyDescent="0.45">
      <c r="AC703" t="s">
        <v>19</v>
      </c>
      <c r="AD703" t="s">
        <v>1738</v>
      </c>
      <c r="AE703">
        <v>1.1370548309210532E-4</v>
      </c>
    </row>
    <row r="704" spans="29:31" x14ac:dyDescent="0.45">
      <c r="AC704" t="s">
        <v>19</v>
      </c>
      <c r="AD704" t="s">
        <v>1739</v>
      </c>
      <c r="AE704">
        <v>1.1495893136522766E-4</v>
      </c>
    </row>
    <row r="705" spans="29:31" x14ac:dyDescent="0.45">
      <c r="AC705" t="s">
        <v>19</v>
      </c>
      <c r="AD705" t="s">
        <v>1740</v>
      </c>
      <c r="AE705">
        <v>1.1548706533841862E-4</v>
      </c>
    </row>
    <row r="706" spans="29:31" x14ac:dyDescent="0.45">
      <c r="AC706" t="s">
        <v>19</v>
      </c>
      <c r="AD706" t="s">
        <v>1741</v>
      </c>
      <c r="AE706">
        <v>1.1634190004905203E-4</v>
      </c>
    </row>
    <row r="707" spans="29:31" x14ac:dyDescent="0.45">
      <c r="AC707" t="s">
        <v>19</v>
      </c>
      <c r="AD707" t="s">
        <v>1742</v>
      </c>
      <c r="AE707">
        <v>1.1642077217974819E-4</v>
      </c>
    </row>
    <row r="708" spans="29:31" x14ac:dyDescent="0.45">
      <c r="AC708" t="s">
        <v>19</v>
      </c>
      <c r="AD708" t="s">
        <v>1743</v>
      </c>
      <c r="AE708">
        <v>1.1569429799554188E-4</v>
      </c>
    </row>
    <row r="709" spans="29:31" x14ac:dyDescent="0.45">
      <c r="AC709" t="s">
        <v>19</v>
      </c>
      <c r="AD709" t="s">
        <v>1744</v>
      </c>
      <c r="AE709">
        <v>1.1555124560163216E-4</v>
      </c>
    </row>
    <row r="710" spans="29:31" x14ac:dyDescent="0.45">
      <c r="AC710" t="s">
        <v>19</v>
      </c>
      <c r="AD710" t="s">
        <v>1745</v>
      </c>
      <c r="AE710">
        <v>1.1559029503888859E-4</v>
      </c>
    </row>
    <row r="711" spans="29:31" x14ac:dyDescent="0.45">
      <c r="AC711" t="s">
        <v>19</v>
      </c>
      <c r="AD711" t="s">
        <v>1746</v>
      </c>
      <c r="AE711">
        <v>1.1538499552222358E-4</v>
      </c>
    </row>
    <row r="712" spans="29:31" x14ac:dyDescent="0.45">
      <c r="AC712" t="s">
        <v>19</v>
      </c>
      <c r="AD712" t="s">
        <v>1747</v>
      </c>
      <c r="AE712">
        <v>1.1532506816801817E-4</v>
      </c>
    </row>
    <row r="713" spans="29:31" x14ac:dyDescent="0.45">
      <c r="AC713" t="s">
        <v>19</v>
      </c>
      <c r="AD713" t="s">
        <v>1748</v>
      </c>
      <c r="AE713">
        <v>1.1542520484375497E-4</v>
      </c>
    </row>
    <row r="714" spans="29:31" x14ac:dyDescent="0.45">
      <c r="AC714" t="s">
        <v>19</v>
      </c>
      <c r="AD714" t="s">
        <v>1749</v>
      </c>
      <c r="AE714">
        <v>1.1647528674067053E-4</v>
      </c>
    </row>
    <row r="715" spans="29:31" x14ac:dyDescent="0.45">
      <c r="AC715" t="s">
        <v>19</v>
      </c>
      <c r="AD715" t="s">
        <v>1750</v>
      </c>
      <c r="AE715">
        <v>1.1663496414252111E-4</v>
      </c>
    </row>
    <row r="716" spans="29:31" x14ac:dyDescent="0.45">
      <c r="AC716" t="s">
        <v>19</v>
      </c>
      <c r="AD716" t="s">
        <v>1751</v>
      </c>
      <c r="AE716">
        <v>1.1669566475290982E-4</v>
      </c>
    </row>
    <row r="717" spans="29:31" x14ac:dyDescent="0.45">
      <c r="AC717" t="s">
        <v>19</v>
      </c>
      <c r="AD717" t="s">
        <v>1752</v>
      </c>
      <c r="AE717">
        <v>1.171205690256308E-4</v>
      </c>
    </row>
    <row r="718" spans="29:31" x14ac:dyDescent="0.45">
      <c r="AC718" t="s">
        <v>19</v>
      </c>
      <c r="AD718" t="s">
        <v>1753</v>
      </c>
      <c r="AE718">
        <v>1.1670881010802584E-4</v>
      </c>
    </row>
    <row r="719" spans="29:31" x14ac:dyDescent="0.45">
      <c r="AC719" t="s">
        <v>19</v>
      </c>
      <c r="AD719" t="s">
        <v>1754</v>
      </c>
      <c r="AE719">
        <v>1.1574146662272291E-4</v>
      </c>
    </row>
    <row r="720" spans="29:31" x14ac:dyDescent="0.45">
      <c r="AC720" t="s">
        <v>19</v>
      </c>
      <c r="AD720" t="s">
        <v>1755</v>
      </c>
      <c r="AE720">
        <v>1.1456650385220508E-4</v>
      </c>
    </row>
    <row r="721" spans="29:31" x14ac:dyDescent="0.45">
      <c r="AC721" t="s">
        <v>19</v>
      </c>
      <c r="AD721" t="s">
        <v>1756</v>
      </c>
      <c r="AE721">
        <v>1.1387134654342225E-4</v>
      </c>
    </row>
    <row r="722" spans="29:31" x14ac:dyDescent="0.45">
      <c r="AC722" t="s">
        <v>19</v>
      </c>
      <c r="AD722" t="s">
        <v>1757</v>
      </c>
      <c r="AE722">
        <v>1.1252897380922089E-4</v>
      </c>
    </row>
    <row r="723" spans="29:31" x14ac:dyDescent="0.45">
      <c r="AC723" t="s">
        <v>19</v>
      </c>
      <c r="AD723" t="s">
        <v>1758</v>
      </c>
      <c r="AE723">
        <v>1.1228114520247461E-4</v>
      </c>
    </row>
    <row r="724" spans="29:31" x14ac:dyDescent="0.45">
      <c r="AC724" t="s">
        <v>19</v>
      </c>
      <c r="AD724" t="s">
        <v>1759</v>
      </c>
      <c r="AE724">
        <v>1.1202210438107055E-4</v>
      </c>
    </row>
    <row r="725" spans="29:31" x14ac:dyDescent="0.45">
      <c r="AC725" t="s">
        <v>19</v>
      </c>
      <c r="AD725" t="s">
        <v>1760</v>
      </c>
      <c r="AE725">
        <v>1.1212185442871569E-4</v>
      </c>
    </row>
    <row r="726" spans="29:31" x14ac:dyDescent="0.45">
      <c r="AC726" t="s">
        <v>19</v>
      </c>
      <c r="AD726" t="s">
        <v>1761</v>
      </c>
      <c r="AE726">
        <v>1.1247987204158162E-4</v>
      </c>
    </row>
    <row r="727" spans="29:31" x14ac:dyDescent="0.45">
      <c r="AC727" t="s">
        <v>19</v>
      </c>
      <c r="AD727" t="s">
        <v>1762</v>
      </c>
      <c r="AE727">
        <v>1.1363666329179198E-4</v>
      </c>
    </row>
    <row r="728" spans="29:31" x14ac:dyDescent="0.45">
      <c r="AC728" t="s">
        <v>19</v>
      </c>
      <c r="AD728" t="s">
        <v>1763</v>
      </c>
      <c r="AE728">
        <v>1.1489011156491434E-4</v>
      </c>
    </row>
    <row r="729" spans="29:31" x14ac:dyDescent="0.45">
      <c r="AC729" t="s">
        <v>19</v>
      </c>
      <c r="AD729" t="s">
        <v>1764</v>
      </c>
      <c r="AE729">
        <v>1.157793561757044E-4</v>
      </c>
    </row>
    <row r="730" spans="29:31" x14ac:dyDescent="0.45">
      <c r="AC730" t="s">
        <v>19</v>
      </c>
      <c r="AD730" t="s">
        <v>1765</v>
      </c>
      <c r="AE730">
        <v>1.1644203672478883E-4</v>
      </c>
    </row>
    <row r="731" spans="29:31" x14ac:dyDescent="0.45">
      <c r="AC731" t="s">
        <v>19</v>
      </c>
      <c r="AD731" t="s">
        <v>1766</v>
      </c>
      <c r="AE731">
        <v>1.1624872267896492E-4</v>
      </c>
    </row>
    <row r="732" spans="29:31" x14ac:dyDescent="0.45">
      <c r="AC732" t="s">
        <v>19</v>
      </c>
      <c r="AD732" t="s">
        <v>1767</v>
      </c>
      <c r="AE732">
        <v>1.1569429799554188E-4</v>
      </c>
    </row>
    <row r="733" spans="29:31" x14ac:dyDescent="0.45">
      <c r="AC733" t="s">
        <v>19</v>
      </c>
      <c r="AD733" t="s">
        <v>1768</v>
      </c>
      <c r="AE733">
        <v>1.1559609446026334E-4</v>
      </c>
    </row>
    <row r="734" spans="29:31" x14ac:dyDescent="0.45">
      <c r="AC734" t="s">
        <v>19</v>
      </c>
      <c r="AD734" t="s">
        <v>1769</v>
      </c>
      <c r="AE734">
        <v>1.1563514389751977E-4</v>
      </c>
    </row>
    <row r="735" spans="29:31" x14ac:dyDescent="0.45">
      <c r="AC735" t="s">
        <v>19</v>
      </c>
      <c r="AD735" t="s">
        <v>1770</v>
      </c>
      <c r="AE735">
        <v>1.1557830956804753E-4</v>
      </c>
    </row>
    <row r="736" spans="29:31" x14ac:dyDescent="0.45">
      <c r="AC736" t="s">
        <v>19</v>
      </c>
      <c r="AD736" t="s">
        <v>1771</v>
      </c>
      <c r="AE736">
        <v>1.1557830956804753E-4</v>
      </c>
    </row>
    <row r="737" spans="29:31" x14ac:dyDescent="0.45">
      <c r="AC737" t="s">
        <v>19</v>
      </c>
      <c r="AD737" t="s">
        <v>1772</v>
      </c>
      <c r="AE737">
        <v>1.1577123698577981E-4</v>
      </c>
    </row>
    <row r="738" spans="29:31" x14ac:dyDescent="0.45">
      <c r="AC738" t="s">
        <v>19</v>
      </c>
      <c r="AD738" t="s">
        <v>1773</v>
      </c>
      <c r="AE738">
        <v>1.1659166179625654E-4</v>
      </c>
    </row>
    <row r="739" spans="29:31" x14ac:dyDescent="0.45">
      <c r="AC739" t="s">
        <v>19</v>
      </c>
      <c r="AD739" t="s">
        <v>1774</v>
      </c>
      <c r="AE739">
        <v>1.1690637706285791E-4</v>
      </c>
    </row>
    <row r="740" spans="29:31" x14ac:dyDescent="0.45">
      <c r="AC740" t="s">
        <v>19</v>
      </c>
      <c r="AD740" t="s">
        <v>1775</v>
      </c>
      <c r="AE740">
        <v>1.1696707767324663E-4</v>
      </c>
    </row>
    <row r="741" spans="29:31" x14ac:dyDescent="0.45">
      <c r="AC741" t="s">
        <v>19</v>
      </c>
      <c r="AD741" t="s">
        <v>1776</v>
      </c>
      <c r="AE741">
        <v>1.1732122900519606E-4</v>
      </c>
    </row>
    <row r="742" spans="29:31" x14ac:dyDescent="0.45">
      <c r="AC742" t="s">
        <v>19</v>
      </c>
      <c r="AD742" t="s">
        <v>1777</v>
      </c>
      <c r="AE742">
        <v>1.1688743228636716E-4</v>
      </c>
    </row>
    <row r="743" spans="29:31" x14ac:dyDescent="0.45">
      <c r="AC743" t="s">
        <v>19</v>
      </c>
      <c r="AD743" t="s">
        <v>1778</v>
      </c>
      <c r="AE743">
        <v>1.1590307716503173E-4</v>
      </c>
    </row>
    <row r="744" spans="29:31" x14ac:dyDescent="0.45">
      <c r="AC744" t="s">
        <v>19</v>
      </c>
      <c r="AD744" t="s">
        <v>1779</v>
      </c>
      <c r="AE744">
        <v>1.1458235560396265E-4</v>
      </c>
    </row>
    <row r="745" spans="29:31" x14ac:dyDescent="0.45">
      <c r="AC745" t="s">
        <v>19</v>
      </c>
      <c r="AD745" t="s">
        <v>1780</v>
      </c>
      <c r="AE745">
        <v>1.1391116923686198E-4</v>
      </c>
    </row>
    <row r="746" spans="29:31" x14ac:dyDescent="0.45">
      <c r="AC746" t="s">
        <v>19</v>
      </c>
      <c r="AD746" t="s">
        <v>1781</v>
      </c>
      <c r="AE746">
        <v>1.1260823256800872E-4</v>
      </c>
    </row>
    <row r="747" spans="29:31" x14ac:dyDescent="0.45">
      <c r="AC747" t="s">
        <v>19</v>
      </c>
      <c r="AD747" t="s">
        <v>1782</v>
      </c>
      <c r="AE747">
        <v>1.1231439521835634E-4</v>
      </c>
    </row>
    <row r="748" spans="29:31" x14ac:dyDescent="0.45">
      <c r="AC748" t="s">
        <v>19</v>
      </c>
      <c r="AD748" t="s">
        <v>1783</v>
      </c>
      <c r="AE748">
        <v>1.1198382819999745E-4</v>
      </c>
    </row>
    <row r="749" spans="29:31" x14ac:dyDescent="0.45">
      <c r="AC749" t="s">
        <v>19</v>
      </c>
      <c r="AD749" t="s">
        <v>1784</v>
      </c>
      <c r="AE749">
        <v>1.1194052585373286E-4</v>
      </c>
    </row>
    <row r="750" spans="29:31" x14ac:dyDescent="0.45">
      <c r="AC750" t="s">
        <v>19</v>
      </c>
      <c r="AD750" t="s">
        <v>1785</v>
      </c>
      <c r="AE750">
        <v>1.1219106085712068E-4</v>
      </c>
    </row>
    <row r="751" spans="29:31" x14ac:dyDescent="0.45">
      <c r="AC751" t="s">
        <v>19</v>
      </c>
      <c r="AD751" t="s">
        <v>1786</v>
      </c>
      <c r="AE751">
        <v>1.1251041566082181E-4</v>
      </c>
    </row>
    <row r="752" spans="29:31" x14ac:dyDescent="0.45">
      <c r="AC752" t="s">
        <v>19</v>
      </c>
      <c r="AD752" t="s">
        <v>1787</v>
      </c>
      <c r="AE752">
        <v>1.1292836062789315E-4</v>
      </c>
    </row>
    <row r="753" spans="29:31" x14ac:dyDescent="0.45">
      <c r="AC753" t="s">
        <v>19</v>
      </c>
      <c r="AD753" t="s">
        <v>1788</v>
      </c>
      <c r="AE753">
        <v>1.1333548000839833E-4</v>
      </c>
    </row>
    <row r="754" spans="29:31" x14ac:dyDescent="0.45">
      <c r="AC754" t="s">
        <v>19</v>
      </c>
      <c r="AD754" t="s">
        <v>1789</v>
      </c>
      <c r="AE754">
        <v>1.137538116035613E-4</v>
      </c>
    </row>
    <row r="755" spans="29:31" x14ac:dyDescent="0.45">
      <c r="AC755" t="s">
        <v>19</v>
      </c>
      <c r="AD755" t="s">
        <v>1790</v>
      </c>
      <c r="AE755">
        <v>1.1404146290374732E-4</v>
      </c>
    </row>
    <row r="756" spans="29:31" x14ac:dyDescent="0.45">
      <c r="AC756" t="s">
        <v>19</v>
      </c>
      <c r="AD756" t="s">
        <v>1791</v>
      </c>
      <c r="AE756">
        <v>1.1410409665459426E-4</v>
      </c>
    </row>
    <row r="757" spans="29:31" x14ac:dyDescent="0.45">
      <c r="AC757" t="s">
        <v>19</v>
      </c>
      <c r="AD757" t="s">
        <v>1792</v>
      </c>
      <c r="AE757">
        <v>1.1411144258833557E-4</v>
      </c>
    </row>
    <row r="758" spans="29:31" x14ac:dyDescent="0.45">
      <c r="AC758" t="s">
        <v>19</v>
      </c>
      <c r="AD758" t="s">
        <v>1793</v>
      </c>
      <c r="AE758">
        <v>1.1415049202559201E-4</v>
      </c>
    </row>
    <row r="759" spans="29:31" x14ac:dyDescent="0.45">
      <c r="AC759" t="s">
        <v>19</v>
      </c>
      <c r="AD759" t="s">
        <v>1794</v>
      </c>
      <c r="AE759">
        <v>1.1385201513883987E-4</v>
      </c>
    </row>
    <row r="760" spans="29:31" x14ac:dyDescent="0.45">
      <c r="AC760" t="s">
        <v>19</v>
      </c>
      <c r="AD760" t="s">
        <v>1795</v>
      </c>
      <c r="AE760">
        <v>1.138346168747157E-4</v>
      </c>
    </row>
    <row r="761" spans="29:31" x14ac:dyDescent="0.45">
      <c r="AC761" t="s">
        <v>19</v>
      </c>
      <c r="AD761" t="s">
        <v>1796</v>
      </c>
      <c r="AE761">
        <v>1.1390382330312068E-4</v>
      </c>
    </row>
    <row r="762" spans="29:31" x14ac:dyDescent="0.45">
      <c r="AC762" t="s">
        <v>19</v>
      </c>
      <c r="AD762" t="s">
        <v>1797</v>
      </c>
      <c r="AE762">
        <v>1.1486111445804077E-4</v>
      </c>
    </row>
    <row r="763" spans="29:31" x14ac:dyDescent="0.45">
      <c r="AC763" t="s">
        <v>19</v>
      </c>
      <c r="AD763" t="s">
        <v>1798</v>
      </c>
      <c r="AE763">
        <v>1.1531346932526875E-4</v>
      </c>
    </row>
    <row r="764" spans="29:31" x14ac:dyDescent="0.45">
      <c r="AC764" t="s">
        <v>19</v>
      </c>
      <c r="AD764" t="s">
        <v>1799</v>
      </c>
      <c r="AE764">
        <v>1.1528872512740328E-4</v>
      </c>
    </row>
    <row r="765" spans="29:31" x14ac:dyDescent="0.45">
      <c r="AC765" t="s">
        <v>19</v>
      </c>
      <c r="AD765" t="s">
        <v>1800</v>
      </c>
      <c r="AE765">
        <v>1.154924781317017E-4</v>
      </c>
    </row>
    <row r="766" spans="29:31" x14ac:dyDescent="0.45">
      <c r="AC766" t="s">
        <v>19</v>
      </c>
      <c r="AD766" t="s">
        <v>1801</v>
      </c>
      <c r="AE766">
        <v>1.1511087620524528E-4</v>
      </c>
    </row>
    <row r="767" spans="29:31" x14ac:dyDescent="0.45">
      <c r="AC767" t="s">
        <v>19</v>
      </c>
      <c r="AD767" t="s">
        <v>1802</v>
      </c>
      <c r="AE767">
        <v>1.1458815502533738E-4</v>
      </c>
    </row>
    <row r="768" spans="29:31" x14ac:dyDescent="0.45">
      <c r="AC768" t="s">
        <v>19</v>
      </c>
      <c r="AD768" t="s">
        <v>1803</v>
      </c>
      <c r="AE768">
        <v>1.1420655309888094E-4</v>
      </c>
    </row>
    <row r="769" spans="29:31" x14ac:dyDescent="0.45">
      <c r="AC769" t="s">
        <v>19</v>
      </c>
      <c r="AD769" t="s">
        <v>1804</v>
      </c>
      <c r="AE769">
        <v>1.1356475046674552E-4</v>
      </c>
    </row>
    <row r="770" spans="29:31" x14ac:dyDescent="0.45">
      <c r="AC770" t="s">
        <v>19</v>
      </c>
      <c r="AD770" t="s">
        <v>1805</v>
      </c>
      <c r="AE770">
        <v>1.124941772809726E-4</v>
      </c>
    </row>
    <row r="771" spans="29:31" x14ac:dyDescent="0.45">
      <c r="AC771" t="s">
        <v>19</v>
      </c>
      <c r="AD771" t="s">
        <v>1806</v>
      </c>
      <c r="AE771">
        <v>1.1221271203025296E-4</v>
      </c>
    </row>
    <row r="772" spans="29:31" x14ac:dyDescent="0.45">
      <c r="AC772" t="s">
        <v>19</v>
      </c>
      <c r="AD772" t="s">
        <v>1807</v>
      </c>
      <c r="AE772">
        <v>1.1189761013555996E-4</v>
      </c>
    </row>
    <row r="773" spans="29:31" x14ac:dyDescent="0.45">
      <c r="AC773" t="s">
        <v>19</v>
      </c>
      <c r="AD773" t="s">
        <v>1808</v>
      </c>
      <c r="AE773">
        <v>1.1188098512761911E-4</v>
      </c>
    </row>
    <row r="774" spans="29:31" x14ac:dyDescent="0.45">
      <c r="AC774" t="s">
        <v>19</v>
      </c>
      <c r="AD774" t="s">
        <v>1809</v>
      </c>
      <c r="AE774">
        <v>1.1212649396581549E-4</v>
      </c>
    </row>
    <row r="775" spans="29:31" x14ac:dyDescent="0.45">
      <c r="AC775" t="s">
        <v>19</v>
      </c>
      <c r="AD775" t="s">
        <v>1810</v>
      </c>
      <c r="AE775">
        <v>1.1249224414051436E-4</v>
      </c>
    </row>
    <row r="776" spans="29:31" x14ac:dyDescent="0.45">
      <c r="AC776" t="s">
        <v>19</v>
      </c>
      <c r="AD776" t="s">
        <v>1811</v>
      </c>
      <c r="AE776">
        <v>1.1281353208467373E-4</v>
      </c>
    </row>
    <row r="777" spans="29:31" x14ac:dyDescent="0.45">
      <c r="AC777" t="s">
        <v>19</v>
      </c>
      <c r="AD777" t="s">
        <v>1812</v>
      </c>
      <c r="AE777">
        <v>1.1324578229113602E-4</v>
      </c>
    </row>
    <row r="778" spans="29:31" x14ac:dyDescent="0.45">
      <c r="AC778" t="s">
        <v>19</v>
      </c>
      <c r="AD778" t="s">
        <v>1813</v>
      </c>
      <c r="AE778">
        <v>1.1359684059835228E-4</v>
      </c>
    </row>
    <row r="779" spans="29:31" x14ac:dyDescent="0.45">
      <c r="AC779" t="s">
        <v>19</v>
      </c>
      <c r="AD779" t="s">
        <v>1814</v>
      </c>
      <c r="AE779">
        <v>1.138844918985383E-4</v>
      </c>
    </row>
    <row r="780" spans="29:31" x14ac:dyDescent="0.45">
      <c r="AC780" t="s">
        <v>19</v>
      </c>
      <c r="AD780" t="s">
        <v>1815</v>
      </c>
      <c r="AE780">
        <v>1.1400898614404889E-4</v>
      </c>
    </row>
    <row r="781" spans="29:31" x14ac:dyDescent="0.45">
      <c r="AC781" t="s">
        <v>19</v>
      </c>
      <c r="AD781" t="s">
        <v>1816</v>
      </c>
      <c r="AE781">
        <v>1.1401439893733196E-4</v>
      </c>
    </row>
    <row r="782" spans="29:31" x14ac:dyDescent="0.45">
      <c r="AC782" t="s">
        <v>19</v>
      </c>
      <c r="AD782" t="s">
        <v>1817</v>
      </c>
      <c r="AE782">
        <v>1.1397225647534236E-4</v>
      </c>
    </row>
    <row r="783" spans="29:31" x14ac:dyDescent="0.45">
      <c r="AC783" t="s">
        <v>19</v>
      </c>
      <c r="AD783" t="s">
        <v>1818</v>
      </c>
      <c r="AE783">
        <v>1.1383577675899066E-4</v>
      </c>
    </row>
    <row r="784" spans="29:31" x14ac:dyDescent="0.45">
      <c r="AC784" t="s">
        <v>19</v>
      </c>
      <c r="AD784" t="s">
        <v>1819</v>
      </c>
      <c r="AE784">
        <v>1.138346168747157E-4</v>
      </c>
    </row>
    <row r="785" spans="29:31" x14ac:dyDescent="0.45">
      <c r="AC785" t="s">
        <v>19</v>
      </c>
      <c r="AD785" t="s">
        <v>1820</v>
      </c>
      <c r="AE785">
        <v>1.1390382330312068E-4</v>
      </c>
    </row>
    <row r="786" spans="29:31" x14ac:dyDescent="0.45">
      <c r="AC786" t="s">
        <v>19</v>
      </c>
      <c r="AD786" t="s">
        <v>1821</v>
      </c>
      <c r="AE786">
        <v>1.1465968122229224E-4</v>
      </c>
    </row>
    <row r="787" spans="29:31" x14ac:dyDescent="0.45">
      <c r="AC787" t="s">
        <v>19</v>
      </c>
      <c r="AD787" t="s">
        <v>1822</v>
      </c>
      <c r="AE787">
        <v>1.1528485884648681E-4</v>
      </c>
    </row>
    <row r="788" spans="29:31" x14ac:dyDescent="0.45">
      <c r="AC788" t="s">
        <v>19</v>
      </c>
      <c r="AD788" t="s">
        <v>1823</v>
      </c>
      <c r="AE788">
        <v>1.1525972802052971E-4</v>
      </c>
    </row>
    <row r="789" spans="29:31" x14ac:dyDescent="0.45">
      <c r="AC789" t="s">
        <v>19</v>
      </c>
      <c r="AD789" t="s">
        <v>1824</v>
      </c>
      <c r="AE789">
        <v>1.1537185016710757E-4</v>
      </c>
    </row>
    <row r="790" spans="29:31" x14ac:dyDescent="0.45">
      <c r="AC790" t="s">
        <v>19</v>
      </c>
      <c r="AD790" t="s">
        <v>1825</v>
      </c>
      <c r="AE790">
        <v>1.150099662733252E-4</v>
      </c>
    </row>
    <row r="791" spans="29:31" x14ac:dyDescent="0.45">
      <c r="AC791" t="s">
        <v>19</v>
      </c>
      <c r="AD791" t="s">
        <v>1826</v>
      </c>
      <c r="AE791">
        <v>1.1451701545647417E-4</v>
      </c>
    </row>
    <row r="792" spans="29:31" x14ac:dyDescent="0.45">
      <c r="AC792" t="s">
        <v>19</v>
      </c>
      <c r="AD792" t="s">
        <v>1827</v>
      </c>
      <c r="AE792">
        <v>1.1420655309888094E-4</v>
      </c>
    </row>
    <row r="793" spans="29:31" x14ac:dyDescent="0.45">
      <c r="AC793" t="s">
        <v>19</v>
      </c>
      <c r="AD793" t="s">
        <v>1828</v>
      </c>
      <c r="AE793">
        <v>1.1354116615315499E-4</v>
      </c>
    </row>
    <row r="794" spans="29:31" x14ac:dyDescent="0.45">
      <c r="AC794" t="s">
        <v>19</v>
      </c>
      <c r="AD794" t="s">
        <v>1829</v>
      </c>
      <c r="AE794">
        <v>1.1247948541348999E-4</v>
      </c>
    </row>
    <row r="795" spans="29:31" x14ac:dyDescent="0.45">
      <c r="AC795" t="s">
        <v>19</v>
      </c>
      <c r="AD795" t="s">
        <v>1830</v>
      </c>
      <c r="AE795">
        <v>1.1228114520247464E-4</v>
      </c>
    </row>
    <row r="796" spans="29:31" x14ac:dyDescent="0.45">
      <c r="AC796" t="s">
        <v>19</v>
      </c>
      <c r="AD796" t="s">
        <v>1831</v>
      </c>
      <c r="AE796">
        <v>1.1204298229801956E-4</v>
      </c>
    </row>
    <row r="797" spans="29:31" x14ac:dyDescent="0.45">
      <c r="AC797" t="s">
        <v>19</v>
      </c>
      <c r="AD797" t="s">
        <v>1832</v>
      </c>
      <c r="AE797">
        <v>1.1212185442871572E-4</v>
      </c>
    </row>
    <row r="798" spans="29:31" x14ac:dyDescent="0.45">
      <c r="AC798" t="s">
        <v>19</v>
      </c>
      <c r="AD798" t="s">
        <v>1833</v>
      </c>
      <c r="AE798">
        <v>1.1247987204158162E-4</v>
      </c>
    </row>
    <row r="799" spans="29:31" x14ac:dyDescent="0.45">
      <c r="AC799" t="s">
        <v>19</v>
      </c>
      <c r="AD799" t="s">
        <v>1834</v>
      </c>
      <c r="AE799">
        <v>1.1363666329179201E-4</v>
      </c>
    </row>
    <row r="800" spans="29:31" x14ac:dyDescent="0.45">
      <c r="AC800" t="s">
        <v>19</v>
      </c>
      <c r="AD800" t="s">
        <v>1835</v>
      </c>
      <c r="AE800">
        <v>1.1484216968155002E-4</v>
      </c>
    </row>
    <row r="801" spans="29:31" x14ac:dyDescent="0.45">
      <c r="AC801" t="s">
        <v>19</v>
      </c>
      <c r="AD801" t="s">
        <v>1836</v>
      </c>
      <c r="AE801">
        <v>1.1535406527489178E-4</v>
      </c>
    </row>
    <row r="802" spans="29:31" x14ac:dyDescent="0.45">
      <c r="AC802" t="s">
        <v>19</v>
      </c>
      <c r="AD802" t="s">
        <v>1837</v>
      </c>
      <c r="AE802">
        <v>1.1601945222061773E-4</v>
      </c>
    </row>
    <row r="803" spans="29:31" x14ac:dyDescent="0.45">
      <c r="AC803" t="s">
        <v>19</v>
      </c>
      <c r="AD803" t="s">
        <v>1838</v>
      </c>
      <c r="AE803">
        <v>1.1599045511374413E-4</v>
      </c>
    </row>
    <row r="804" spans="29:31" x14ac:dyDescent="0.45">
      <c r="AC804" t="s">
        <v>19</v>
      </c>
      <c r="AD804" t="s">
        <v>1839</v>
      </c>
      <c r="AE804">
        <v>1.1548861185078522E-4</v>
      </c>
    </row>
    <row r="805" spans="29:31" x14ac:dyDescent="0.45">
      <c r="AC805" t="s">
        <v>19</v>
      </c>
      <c r="AD805" t="s">
        <v>1840</v>
      </c>
      <c r="AE805">
        <v>1.1555124560163218E-4</v>
      </c>
    </row>
    <row r="806" spans="29:31" x14ac:dyDescent="0.45">
      <c r="AC806" t="s">
        <v>19</v>
      </c>
      <c r="AD806" t="s">
        <v>1841</v>
      </c>
      <c r="AE806">
        <v>1.15493251387885E-4</v>
      </c>
    </row>
    <row r="807" spans="29:31" x14ac:dyDescent="0.45">
      <c r="AC807" t="s">
        <v>19</v>
      </c>
      <c r="AD807" t="s">
        <v>1842</v>
      </c>
      <c r="AE807">
        <v>1.1525934139243804E-4</v>
      </c>
    </row>
    <row r="808" spans="29:31" x14ac:dyDescent="0.45">
      <c r="AC808" t="s">
        <v>19</v>
      </c>
      <c r="AD808" t="s">
        <v>1843</v>
      </c>
      <c r="AE808">
        <v>1.151854954269333E-4</v>
      </c>
    </row>
    <row r="809" spans="29:31" x14ac:dyDescent="0.45">
      <c r="AC809" t="s">
        <v>19</v>
      </c>
      <c r="AD809" t="s">
        <v>1844</v>
      </c>
      <c r="AE809">
        <v>1.152856321026701E-4</v>
      </c>
    </row>
    <row r="810" spans="29:31" x14ac:dyDescent="0.45">
      <c r="AC810" t="s">
        <v>19</v>
      </c>
      <c r="AD810" t="s">
        <v>1845</v>
      </c>
      <c r="AE810">
        <v>1.1601249291496805E-4</v>
      </c>
    </row>
    <row r="811" spans="29:31" x14ac:dyDescent="0.45">
      <c r="AC811" t="s">
        <v>19</v>
      </c>
      <c r="AD811" t="s">
        <v>1846</v>
      </c>
      <c r="AE811">
        <v>1.1616985054826873E-4</v>
      </c>
    </row>
    <row r="812" spans="29:31" x14ac:dyDescent="0.45">
      <c r="AC812" t="s">
        <v>19</v>
      </c>
      <c r="AD812" t="s">
        <v>1847</v>
      </c>
      <c r="AE812">
        <v>1.1630091747133737E-4</v>
      </c>
    </row>
    <row r="813" spans="29:31" x14ac:dyDescent="0.45">
      <c r="AC813" t="s">
        <v>19</v>
      </c>
      <c r="AD813" t="s">
        <v>1848</v>
      </c>
      <c r="AE813">
        <v>1.167907752634552E-4</v>
      </c>
    </row>
    <row r="814" spans="29:31" x14ac:dyDescent="0.45">
      <c r="AC814" t="s">
        <v>19</v>
      </c>
      <c r="AD814" t="s">
        <v>1849</v>
      </c>
      <c r="AE814">
        <v>1.1647451348448725E-4</v>
      </c>
    </row>
    <row r="815" spans="29:31" x14ac:dyDescent="0.45">
      <c r="AC815" t="s">
        <v>19</v>
      </c>
      <c r="AD815" t="s">
        <v>1850</v>
      </c>
      <c r="AE815">
        <v>1.1550446360254277E-4</v>
      </c>
    </row>
    <row r="816" spans="29:31" x14ac:dyDescent="0.45">
      <c r="AC816" t="s">
        <v>19</v>
      </c>
      <c r="AD816" t="s">
        <v>1851</v>
      </c>
      <c r="AE816">
        <v>1.1443659681341141E-4</v>
      </c>
    </row>
    <row r="817" spans="29:31" x14ac:dyDescent="0.45">
      <c r="AC817" t="s">
        <v>19</v>
      </c>
      <c r="AD817" t="s">
        <v>1852</v>
      </c>
      <c r="AE817">
        <v>1.1379556743745927E-4</v>
      </c>
    </row>
    <row r="818" spans="29:31" x14ac:dyDescent="0.45">
      <c r="AC818" t="s">
        <v>19</v>
      </c>
      <c r="AD818" t="s">
        <v>1853</v>
      </c>
      <c r="AE818">
        <v>1.1238862781195273E-4</v>
      </c>
    </row>
    <row r="819" spans="29:31" x14ac:dyDescent="0.45">
      <c r="AC819" t="s">
        <v>19</v>
      </c>
      <c r="AD819" t="s">
        <v>1854</v>
      </c>
      <c r="AE819">
        <v>1.121864213200209E-4</v>
      </c>
    </row>
    <row r="820" spans="29:31" x14ac:dyDescent="0.45">
      <c r="AC820" t="s">
        <v>19</v>
      </c>
      <c r="AD820" t="s">
        <v>1855</v>
      </c>
      <c r="AE820">
        <v>1.1192660724243354E-4</v>
      </c>
    </row>
    <row r="821" spans="29:31" x14ac:dyDescent="0.45">
      <c r="AC821" t="s">
        <v>19</v>
      </c>
      <c r="AD821" t="s">
        <v>1856</v>
      </c>
      <c r="AE821">
        <v>1.1200509274503806E-4</v>
      </c>
    </row>
    <row r="822" spans="29:31" x14ac:dyDescent="0.45">
      <c r="AC822" t="s">
        <v>19</v>
      </c>
      <c r="AD822" t="s">
        <v>1857</v>
      </c>
      <c r="AE822">
        <v>1.1226529345071706E-4</v>
      </c>
    </row>
    <row r="823" spans="29:31" x14ac:dyDescent="0.45">
      <c r="AC823" t="s">
        <v>19</v>
      </c>
      <c r="AD823" t="s">
        <v>1858</v>
      </c>
      <c r="AE823">
        <v>1.1346345390673375E-4</v>
      </c>
    </row>
    <row r="824" spans="29:31" x14ac:dyDescent="0.45">
      <c r="AC824" t="s">
        <v>19</v>
      </c>
      <c r="AD824" t="s">
        <v>1859</v>
      </c>
      <c r="AE824">
        <v>1.1465852133801728E-4</v>
      </c>
    </row>
    <row r="825" spans="29:31" x14ac:dyDescent="0.45">
      <c r="AC825" t="s">
        <v>19</v>
      </c>
      <c r="AD825" t="s">
        <v>1860</v>
      </c>
      <c r="AE825">
        <v>1.1535406527489178E-4</v>
      </c>
    </row>
    <row r="826" spans="29:31" x14ac:dyDescent="0.45">
      <c r="AC826" t="s">
        <v>19</v>
      </c>
      <c r="AD826" t="s">
        <v>1861</v>
      </c>
      <c r="AE826">
        <v>1.1592318182579741E-4</v>
      </c>
    </row>
    <row r="827" spans="29:31" x14ac:dyDescent="0.45">
      <c r="AC827" t="s">
        <v>19</v>
      </c>
      <c r="AD827" t="s">
        <v>323</v>
      </c>
      <c r="AE827">
        <v>2.1346820840001699E-2</v>
      </c>
    </row>
    <row r="828" spans="29:31" x14ac:dyDescent="0.45">
      <c r="AC828" t="s">
        <v>19</v>
      </c>
      <c r="AD828" t="s">
        <v>324</v>
      </c>
      <c r="AE828">
        <v>3.557157031164381E-3</v>
      </c>
    </row>
    <row r="829" spans="29:31" x14ac:dyDescent="0.45">
      <c r="AC829" t="s">
        <v>19</v>
      </c>
      <c r="AD829" t="s">
        <v>325</v>
      </c>
      <c r="AE829">
        <v>3.5730536317805741E-3</v>
      </c>
    </row>
    <row r="830" spans="29:31" x14ac:dyDescent="0.45">
      <c r="AC830" t="s">
        <v>19</v>
      </c>
      <c r="AD830" t="s">
        <v>326</v>
      </c>
      <c r="AE830">
        <v>2.1431810973620097E-2</v>
      </c>
    </row>
    <row r="831" spans="29:31" x14ac:dyDescent="0.45">
      <c r="AC831" t="s">
        <v>19</v>
      </c>
      <c r="AD831" t="s">
        <v>327</v>
      </c>
      <c r="AE831">
        <v>1.0477739875958328E-2</v>
      </c>
    </row>
    <row r="832" spans="29:31" x14ac:dyDescent="0.45">
      <c r="AC832" t="s">
        <v>19</v>
      </c>
      <c r="AD832" t="s">
        <v>328</v>
      </c>
      <c r="AE832">
        <v>3.4655134147168151E-3</v>
      </c>
    </row>
    <row r="833" spans="29:31" x14ac:dyDescent="0.45">
      <c r="AC833" t="s">
        <v>19</v>
      </c>
      <c r="AD833" t="s">
        <v>329</v>
      </c>
      <c r="AE833">
        <v>3.4671685695771598E-3</v>
      </c>
    </row>
    <row r="834" spans="29:31" x14ac:dyDescent="0.45">
      <c r="AC834" t="s">
        <v>19</v>
      </c>
      <c r="AD834" t="s">
        <v>330</v>
      </c>
      <c r="AE834">
        <v>1.7639771190730177E-2</v>
      </c>
    </row>
    <row r="835" spans="29:31" x14ac:dyDescent="0.45">
      <c r="AC835" t="s">
        <v>19</v>
      </c>
      <c r="AD835" t="s">
        <v>331</v>
      </c>
      <c r="AE835">
        <v>2.134432436308252E-2</v>
      </c>
    </row>
    <row r="836" spans="29:31" x14ac:dyDescent="0.45">
      <c r="AC836" t="s">
        <v>19</v>
      </c>
      <c r="AD836" t="s">
        <v>332</v>
      </c>
      <c r="AE836">
        <v>3.5586963232513611E-3</v>
      </c>
    </row>
    <row r="837" spans="29:31" x14ac:dyDescent="0.45">
      <c r="AC837" t="s">
        <v>19</v>
      </c>
      <c r="AD837" t="s">
        <v>333</v>
      </c>
      <c r="AE837">
        <v>3.5689408077957539E-3</v>
      </c>
    </row>
    <row r="838" spans="29:31" x14ac:dyDescent="0.45">
      <c r="AC838" t="s">
        <v>19</v>
      </c>
      <c r="AD838" t="s">
        <v>334</v>
      </c>
      <c r="AE838">
        <v>2.1425827111314258E-2</v>
      </c>
    </row>
    <row r="839" spans="29:31" x14ac:dyDescent="0.45">
      <c r="AC839" t="s">
        <v>19</v>
      </c>
      <c r="AD839" t="s">
        <v>335</v>
      </c>
      <c r="AE839">
        <v>1.0482450156333171E-2</v>
      </c>
    </row>
    <row r="840" spans="29:31" x14ac:dyDescent="0.45">
      <c r="AC840" t="s">
        <v>19</v>
      </c>
      <c r="AD840" t="s">
        <v>336</v>
      </c>
      <c r="AE840">
        <v>3.4675862535702693E-3</v>
      </c>
    </row>
    <row r="841" spans="29:31" x14ac:dyDescent="0.45">
      <c r="AC841" t="s">
        <v>19</v>
      </c>
      <c r="AD841" t="s">
        <v>337</v>
      </c>
      <c r="AE841">
        <v>3.4692027456214489E-3</v>
      </c>
    </row>
    <row r="842" spans="29:31" x14ac:dyDescent="0.45">
      <c r="AC842" t="s">
        <v>19</v>
      </c>
      <c r="AD842" t="s">
        <v>338</v>
      </c>
      <c r="AE842">
        <v>1.7627093897247603E-2</v>
      </c>
    </row>
    <row r="843" spans="29:31" x14ac:dyDescent="0.45">
      <c r="AC843" t="s">
        <v>19</v>
      </c>
      <c r="AD843" t="s">
        <v>339</v>
      </c>
      <c r="AE843">
        <v>2.0680614423006657E-2</v>
      </c>
    </row>
    <row r="844" spans="29:31" x14ac:dyDescent="0.45">
      <c r="AC844" t="s">
        <v>19</v>
      </c>
      <c r="AD844" t="s">
        <v>340</v>
      </c>
      <c r="AE844">
        <v>3.4475136517676079E-3</v>
      </c>
    </row>
    <row r="845" spans="29:31" x14ac:dyDescent="0.45">
      <c r="AC845" t="s">
        <v>19</v>
      </c>
      <c r="AD845" t="s">
        <v>341</v>
      </c>
      <c r="AE845">
        <v>3.4504133624549669E-3</v>
      </c>
    </row>
    <row r="846" spans="29:31" x14ac:dyDescent="0.45">
      <c r="AC846" t="s">
        <v>19</v>
      </c>
      <c r="AD846" t="s">
        <v>342</v>
      </c>
      <c r="AE846">
        <v>2.066762101273065E-2</v>
      </c>
    </row>
    <row r="847" spans="29:31" x14ac:dyDescent="0.45">
      <c r="AC847" t="s">
        <v>19</v>
      </c>
      <c r="AD847" t="s">
        <v>343</v>
      </c>
      <c r="AE847">
        <v>1.0157498430871612E-2</v>
      </c>
    </row>
    <row r="848" spans="29:31" x14ac:dyDescent="0.45">
      <c r="AC848" t="s">
        <v>19</v>
      </c>
      <c r="AD848" t="s">
        <v>344</v>
      </c>
      <c r="AE848">
        <v>3.3618299073527938E-3</v>
      </c>
    </row>
    <row r="849" spans="29:31" x14ac:dyDescent="0.45">
      <c r="AC849" t="s">
        <v>19</v>
      </c>
      <c r="AD849" t="s">
        <v>345</v>
      </c>
      <c r="AE849">
        <v>3.3635295244436782E-3</v>
      </c>
    </row>
    <row r="850" spans="29:31" x14ac:dyDescent="0.45">
      <c r="AC850" t="s">
        <v>19</v>
      </c>
      <c r="AD850" t="s">
        <v>346</v>
      </c>
      <c r="AE850">
        <v>1.7048088017170896E-2</v>
      </c>
    </row>
    <row r="851" spans="29:31" x14ac:dyDescent="0.45">
      <c r="AC851" t="s">
        <v>19</v>
      </c>
      <c r="AD851" t="s">
        <v>395</v>
      </c>
      <c r="AE851">
        <v>2.1387748584187277E-2</v>
      </c>
    </row>
    <row r="852" spans="29:31" x14ac:dyDescent="0.45">
      <c r="AC852" t="s">
        <v>19</v>
      </c>
      <c r="AD852" t="s">
        <v>396</v>
      </c>
      <c r="AE852">
        <v>3.5672261267078497E-3</v>
      </c>
    </row>
    <row r="853" spans="29:31" x14ac:dyDescent="0.45">
      <c r="AC853" t="s">
        <v>19</v>
      </c>
      <c r="AD853" t="s">
        <v>397</v>
      </c>
      <c r="AE853">
        <v>3.568305205711639E-3</v>
      </c>
    </row>
    <row r="854" spans="29:31" x14ac:dyDescent="0.45">
      <c r="AC854" t="s">
        <v>19</v>
      </c>
      <c r="AD854" t="s">
        <v>398</v>
      </c>
      <c r="AE854">
        <v>2.1316600509506053E-2</v>
      </c>
    </row>
    <row r="855" spans="29:31" x14ac:dyDescent="0.45">
      <c r="AC855" t="s">
        <v>19</v>
      </c>
      <c r="AD855" t="s">
        <v>399</v>
      </c>
      <c r="AE855">
        <v>1.0451339783806296E-2</v>
      </c>
    </row>
    <row r="856" spans="29:31" x14ac:dyDescent="0.45">
      <c r="AC856" t="s">
        <v>19</v>
      </c>
      <c r="AD856" t="s">
        <v>400</v>
      </c>
      <c r="AE856">
        <v>3.4731533259604605E-3</v>
      </c>
    </row>
    <row r="857" spans="29:31" x14ac:dyDescent="0.45">
      <c r="AC857" t="s">
        <v>19</v>
      </c>
      <c r="AD857" t="s">
        <v>401</v>
      </c>
      <c r="AE857">
        <v>3.4745884894366572E-3</v>
      </c>
    </row>
    <row r="858" spans="29:31" x14ac:dyDescent="0.45">
      <c r="AC858" t="s">
        <v>19</v>
      </c>
      <c r="AD858" t="s">
        <v>402</v>
      </c>
      <c r="AE858">
        <v>1.7679756582103724E-2</v>
      </c>
    </row>
    <row r="859" spans="29:31" x14ac:dyDescent="0.45">
      <c r="AC859" t="s">
        <v>19</v>
      </c>
      <c r="AD859" t="s">
        <v>403</v>
      </c>
      <c r="AE859">
        <v>2.0700732586758447E-2</v>
      </c>
    </row>
    <row r="860" spans="29:31" x14ac:dyDescent="0.45">
      <c r="AC860" t="s">
        <v>19</v>
      </c>
      <c r="AD860" t="s">
        <v>404</v>
      </c>
      <c r="AE860">
        <v>3.452575381910611E-3</v>
      </c>
    </row>
    <row r="861" spans="29:31" x14ac:dyDescent="0.45">
      <c r="AC861" t="s">
        <v>19</v>
      </c>
      <c r="AD861" t="s">
        <v>405</v>
      </c>
      <c r="AE861">
        <v>3.4535021294462907E-3</v>
      </c>
    </row>
    <row r="862" spans="29:31" x14ac:dyDescent="0.45">
      <c r="AC862" t="s">
        <v>19</v>
      </c>
      <c r="AD862" t="s">
        <v>406</v>
      </c>
      <c r="AE862">
        <v>2.0623439445188577E-2</v>
      </c>
    </row>
    <row r="863" spans="29:31" x14ac:dyDescent="0.45">
      <c r="AC863" t="s">
        <v>19</v>
      </c>
      <c r="AD863" t="s">
        <v>407</v>
      </c>
      <c r="AE863">
        <v>1.0111045051161569E-2</v>
      </c>
    </row>
    <row r="864" spans="29:31" x14ac:dyDescent="0.45">
      <c r="AC864" t="s">
        <v>19</v>
      </c>
      <c r="AD864" t="s">
        <v>408</v>
      </c>
      <c r="AE864">
        <v>3.3624407749047467E-3</v>
      </c>
    </row>
    <row r="865" spans="29:31" x14ac:dyDescent="0.45">
      <c r="AC865" t="s">
        <v>19</v>
      </c>
      <c r="AD865" t="s">
        <v>409</v>
      </c>
      <c r="AE865">
        <v>3.3637788947299399E-3</v>
      </c>
    </row>
    <row r="866" spans="29:31" x14ac:dyDescent="0.45">
      <c r="AC866" t="s">
        <v>19</v>
      </c>
      <c r="AD866" t="s">
        <v>410</v>
      </c>
      <c r="AE866">
        <v>1.7106455689490346E-2</v>
      </c>
    </row>
    <row r="867" spans="29:31" x14ac:dyDescent="0.45">
      <c r="AC867" t="s">
        <v>19</v>
      </c>
      <c r="AD867" t="s">
        <v>411</v>
      </c>
      <c r="AE867">
        <v>2.1400161656032014E-2</v>
      </c>
    </row>
    <row r="868" spans="29:31" x14ac:dyDescent="0.45">
      <c r="AC868" t="s">
        <v>19</v>
      </c>
      <c r="AD868" t="s">
        <v>412</v>
      </c>
      <c r="AE868">
        <v>3.5695159944076986E-3</v>
      </c>
    </row>
    <row r="869" spans="29:31" x14ac:dyDescent="0.45">
      <c r="AC869" t="s">
        <v>19</v>
      </c>
      <c r="AD869" t="s">
        <v>413</v>
      </c>
      <c r="AE869">
        <v>3.5692561803301113E-3</v>
      </c>
    </row>
    <row r="870" spans="29:31" x14ac:dyDescent="0.45">
      <c r="AC870" t="s">
        <v>19</v>
      </c>
      <c r="AD870" t="s">
        <v>414</v>
      </c>
      <c r="AE870">
        <v>2.1303165560283676E-2</v>
      </c>
    </row>
    <row r="871" spans="29:31" x14ac:dyDescent="0.45">
      <c r="AC871" t="s">
        <v>19</v>
      </c>
      <c r="AD871" t="s">
        <v>415</v>
      </c>
      <c r="AE871">
        <v>1.0451353310956653E-2</v>
      </c>
    </row>
    <row r="872" spans="29:31" x14ac:dyDescent="0.45">
      <c r="AC872" t="s">
        <v>19</v>
      </c>
      <c r="AD872" t="s">
        <v>416</v>
      </c>
      <c r="AE872">
        <v>3.4750267952056049E-3</v>
      </c>
    </row>
    <row r="873" spans="29:31" x14ac:dyDescent="0.45">
      <c r="AC873" t="s">
        <v>19</v>
      </c>
      <c r="AD873" t="s">
        <v>417</v>
      </c>
      <c r="AE873">
        <v>3.4761688945883326E-3</v>
      </c>
    </row>
    <row r="874" spans="29:31" x14ac:dyDescent="0.45">
      <c r="AC874" t="s">
        <v>19</v>
      </c>
      <c r="AD874" t="s">
        <v>418</v>
      </c>
      <c r="AE874">
        <v>1.7679452426616876E-2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6BE2A-8288-4ED3-88C6-1F4CD68A07B9}">
  <dimension ref="A9:AN9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107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124</v>
      </c>
      <c r="K10" t="s">
        <v>248</v>
      </c>
      <c r="L10" t="s">
        <v>30</v>
      </c>
      <c r="N10" t="s">
        <v>13</v>
      </c>
      <c r="O10" t="s">
        <v>124</v>
      </c>
      <c r="P10" t="s">
        <v>248</v>
      </c>
      <c r="Q10" t="s">
        <v>30</v>
      </c>
      <c r="S10" t="s">
        <v>13</v>
      </c>
      <c r="T10" t="s">
        <v>124</v>
      </c>
      <c r="U10" t="s">
        <v>248</v>
      </c>
      <c r="V10" t="s">
        <v>30</v>
      </c>
      <c r="X10" t="s">
        <v>421</v>
      </c>
      <c r="Y10" t="s">
        <v>248</v>
      </c>
      <c r="Z10" t="s">
        <v>124</v>
      </c>
      <c r="AA10" t="s">
        <v>13</v>
      </c>
      <c r="AC10" t="s">
        <v>13</v>
      </c>
      <c r="AD10" t="s">
        <v>124</v>
      </c>
      <c r="AE10" t="s">
        <v>248</v>
      </c>
      <c r="AG10" t="s">
        <v>13</v>
      </c>
      <c r="AH10" t="s">
        <v>124</v>
      </c>
      <c r="AI10" t="s">
        <v>427</v>
      </c>
      <c r="AK10" t="s">
        <v>47</v>
      </c>
      <c r="AL10" t="s">
        <v>124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1310</v>
      </c>
      <c r="F11" t="s">
        <v>154</v>
      </c>
      <c r="G11" t="s">
        <v>155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3.2023983738383797E-2</v>
      </c>
      <c r="Q11" t="s">
        <v>251</v>
      </c>
      <c r="S11" t="s">
        <v>420</v>
      </c>
      <c r="T11" t="s">
        <v>250</v>
      </c>
      <c r="U11">
        <v>1.7877727916413823E-2</v>
      </c>
      <c r="V11" t="s">
        <v>251</v>
      </c>
      <c r="X11">
        <v>2.1232876712328767E-2</v>
      </c>
      <c r="Y11">
        <v>4.5420116185598634E-3</v>
      </c>
      <c r="Z11" t="s">
        <v>250</v>
      </c>
      <c r="AA11" t="s">
        <v>25</v>
      </c>
      <c r="AC11" t="s">
        <v>22</v>
      </c>
      <c r="AD11" t="s">
        <v>250</v>
      </c>
      <c r="AE11">
        <v>2.5333277982719261E-2</v>
      </c>
      <c r="AG11" t="s">
        <v>99</v>
      </c>
      <c r="AH11" t="s">
        <v>250</v>
      </c>
      <c r="AI11">
        <v>0.14041549864646474</v>
      </c>
    </row>
    <row r="12" spans="1:40" x14ac:dyDescent="0.45">
      <c r="C12" t="s">
        <v>156</v>
      </c>
      <c r="D12" t="s">
        <v>155</v>
      </c>
      <c r="E12" t="s">
        <v>1311</v>
      </c>
      <c r="F12" t="s">
        <v>166</v>
      </c>
      <c r="G12" t="s">
        <v>155</v>
      </c>
      <c r="I12" t="s">
        <v>249</v>
      </c>
      <c r="J12" t="s">
        <v>252</v>
      </c>
      <c r="K12">
        <v>2.1566995796228287E-3</v>
      </c>
      <c r="L12" t="s">
        <v>251</v>
      </c>
      <c r="N12" t="s">
        <v>419</v>
      </c>
      <c r="O12" t="s">
        <v>252</v>
      </c>
      <c r="P12">
        <v>4.6753520212145542E-3</v>
      </c>
      <c r="Q12" t="s">
        <v>251</v>
      </c>
      <c r="S12" t="s">
        <v>420</v>
      </c>
      <c r="T12" t="s">
        <v>252</v>
      </c>
      <c r="U12">
        <v>2.9400777924750939E-3</v>
      </c>
      <c r="V12" t="s">
        <v>251</v>
      </c>
      <c r="X12">
        <v>3.5388127853881279E-3</v>
      </c>
      <c r="Y12">
        <v>5.240782636799844E-3</v>
      </c>
      <c r="Z12" t="s">
        <v>252</v>
      </c>
      <c r="AA12" t="s">
        <v>25</v>
      </c>
      <c r="AC12" t="s">
        <v>22</v>
      </c>
      <c r="AD12" t="s">
        <v>252</v>
      </c>
      <c r="AE12">
        <v>4.2213820286558E-3</v>
      </c>
      <c r="AG12" t="s">
        <v>99</v>
      </c>
      <c r="AH12" t="s">
        <v>252</v>
      </c>
      <c r="AI12">
        <v>0.10695568022603918</v>
      </c>
    </row>
    <row r="13" spans="1:40" x14ac:dyDescent="0.45">
      <c r="C13" t="s">
        <v>159</v>
      </c>
      <c r="D13" t="s">
        <v>160</v>
      </c>
      <c r="E13" t="s">
        <v>1312</v>
      </c>
      <c r="F13" t="s">
        <v>158</v>
      </c>
      <c r="G13" t="s">
        <v>155</v>
      </c>
      <c r="I13" t="s">
        <v>249</v>
      </c>
      <c r="J13" t="s">
        <v>253</v>
      </c>
      <c r="K13">
        <v>5.7351265280208997E-3</v>
      </c>
      <c r="L13" t="s">
        <v>251</v>
      </c>
      <c r="N13" t="s">
        <v>419</v>
      </c>
      <c r="O13" t="s">
        <v>253</v>
      </c>
      <c r="P13">
        <v>4.1117343163884672E-3</v>
      </c>
      <c r="Q13" t="s">
        <v>251</v>
      </c>
      <c r="S13" t="s">
        <v>420</v>
      </c>
      <c r="T13" t="s">
        <v>253</v>
      </c>
      <c r="U13">
        <v>2.9873619792351001E-3</v>
      </c>
      <c r="V13" t="s">
        <v>251</v>
      </c>
      <c r="X13">
        <v>3.5388127853881279E-3</v>
      </c>
      <c r="Y13">
        <v>5.9087255218821738E-3</v>
      </c>
      <c r="Z13" t="s">
        <v>253</v>
      </c>
      <c r="AA13" t="s">
        <v>25</v>
      </c>
      <c r="AC13" t="s">
        <v>22</v>
      </c>
      <c r="AD13" t="s">
        <v>253</v>
      </c>
      <c r="AE13">
        <v>4.1846049727618205E-3</v>
      </c>
      <c r="AG13" t="s">
        <v>99</v>
      </c>
      <c r="AH13" t="s">
        <v>253</v>
      </c>
      <c r="AI13">
        <v>0.10918176237600519</v>
      </c>
    </row>
    <row r="14" spans="1:40" x14ac:dyDescent="0.45">
      <c r="C14" t="s">
        <v>163</v>
      </c>
      <c r="D14" t="s">
        <v>164</v>
      </c>
      <c r="E14" t="s">
        <v>1313</v>
      </c>
      <c r="F14" t="s">
        <v>162</v>
      </c>
      <c r="G14" t="s">
        <v>155</v>
      </c>
      <c r="I14" t="s">
        <v>249</v>
      </c>
      <c r="J14" t="s">
        <v>254</v>
      </c>
      <c r="K14">
        <v>5.6741174349457101E-2</v>
      </c>
      <c r="L14" t="s">
        <v>251</v>
      </c>
      <c r="N14" t="s">
        <v>419</v>
      </c>
      <c r="O14" t="s">
        <v>254</v>
      </c>
      <c r="P14">
        <v>1.8148492540508484E-2</v>
      </c>
      <c r="Q14" t="s">
        <v>251</v>
      </c>
      <c r="S14" t="s">
        <v>420</v>
      </c>
      <c r="T14" t="s">
        <v>254</v>
      </c>
      <c r="U14">
        <v>1.9091430054603994E-2</v>
      </c>
      <c r="V14" t="s">
        <v>251</v>
      </c>
      <c r="X14">
        <v>2.1232876712328767E-2</v>
      </c>
      <c r="Y14">
        <v>2.6758819580836844E-2</v>
      </c>
      <c r="Z14" t="s">
        <v>254</v>
      </c>
      <c r="AA14" t="s">
        <v>25</v>
      </c>
      <c r="AC14" t="s">
        <v>22</v>
      </c>
      <c r="AD14" t="s">
        <v>254</v>
      </c>
      <c r="AE14">
        <v>2.3058390122999334E-2</v>
      </c>
      <c r="AG14" t="s">
        <v>99</v>
      </c>
      <c r="AH14" t="s">
        <v>254</v>
      </c>
      <c r="AI14">
        <v>0.17850472951247887</v>
      </c>
    </row>
    <row r="15" spans="1:40" x14ac:dyDescent="0.45">
      <c r="C15" t="s">
        <v>166</v>
      </c>
      <c r="D15" t="s">
        <v>434</v>
      </c>
      <c r="E15" t="s">
        <v>1314</v>
      </c>
      <c r="F15" t="s">
        <v>174</v>
      </c>
      <c r="G15" t="s">
        <v>155</v>
      </c>
      <c r="I15" t="s">
        <v>249</v>
      </c>
      <c r="J15" t="s">
        <v>255</v>
      </c>
      <c r="K15">
        <v>2.6611029620498401E-2</v>
      </c>
      <c r="L15" t="s">
        <v>251</v>
      </c>
      <c r="N15" t="s">
        <v>419</v>
      </c>
      <c r="O15" t="s">
        <v>255</v>
      </c>
      <c r="P15">
        <v>8.3608854468542309E-3</v>
      </c>
      <c r="Q15" t="s">
        <v>251</v>
      </c>
      <c r="S15" t="s">
        <v>420</v>
      </c>
      <c r="T15" t="s">
        <v>255</v>
      </c>
      <c r="U15">
        <v>1.057631646936439E-2</v>
      </c>
      <c r="V15" t="s">
        <v>251</v>
      </c>
      <c r="X15">
        <v>1.0616438356164383E-2</v>
      </c>
      <c r="Y15">
        <v>1.6893816970390073E-2</v>
      </c>
      <c r="Z15" t="s">
        <v>255</v>
      </c>
      <c r="AA15" t="s">
        <v>25</v>
      </c>
      <c r="AC15" t="s">
        <v>22</v>
      </c>
      <c r="AD15" t="s">
        <v>255</v>
      </c>
      <c r="AE15">
        <v>8.2765194171414147E-3</v>
      </c>
      <c r="AG15" t="s">
        <v>99</v>
      </c>
      <c r="AH15" t="s">
        <v>255</v>
      </c>
      <c r="AI15">
        <v>0.11116120742126734</v>
      </c>
    </row>
    <row r="16" spans="1:40" x14ac:dyDescent="0.45">
      <c r="C16" t="s">
        <v>158</v>
      </c>
      <c r="E16" t="s">
        <v>1315</v>
      </c>
      <c r="G16" t="s">
        <v>155</v>
      </c>
      <c r="I16" t="s">
        <v>249</v>
      </c>
      <c r="J16" t="s">
        <v>256</v>
      </c>
      <c r="K16">
        <v>6.8186755141492004E-3</v>
      </c>
      <c r="L16" t="s">
        <v>251</v>
      </c>
      <c r="N16" t="s">
        <v>419</v>
      </c>
      <c r="O16" t="s">
        <v>256</v>
      </c>
      <c r="P16">
        <v>3.4758049043377842E-3</v>
      </c>
      <c r="Q16" t="s">
        <v>251</v>
      </c>
      <c r="S16" t="s">
        <v>420</v>
      </c>
      <c r="T16" t="s">
        <v>256</v>
      </c>
      <c r="U16">
        <v>3.6162519572219168E-3</v>
      </c>
      <c r="V16" t="s">
        <v>251</v>
      </c>
      <c r="X16">
        <v>3.5388127853881279E-3</v>
      </c>
      <c r="Y16">
        <v>6.8849497385409693E-3</v>
      </c>
      <c r="Z16" t="s">
        <v>256</v>
      </c>
      <c r="AA16" t="s">
        <v>25</v>
      </c>
      <c r="AC16" t="s">
        <v>22</v>
      </c>
      <c r="AD16" t="s">
        <v>256</v>
      </c>
      <c r="AE16">
        <v>2.6039599917713476E-3</v>
      </c>
      <c r="AG16" t="s">
        <v>99</v>
      </c>
      <c r="AH16" t="s">
        <v>256</v>
      </c>
      <c r="AI16">
        <v>9.0743392615567409E-2</v>
      </c>
    </row>
    <row r="17" spans="3:35" x14ac:dyDescent="0.45">
      <c r="C17" t="s">
        <v>169</v>
      </c>
      <c r="E17" t="s">
        <v>1316</v>
      </c>
      <c r="G17" t="s">
        <v>155</v>
      </c>
      <c r="I17" t="s">
        <v>249</v>
      </c>
      <c r="J17" t="s">
        <v>257</v>
      </c>
      <c r="K17">
        <v>4.8522002634973837E-3</v>
      </c>
      <c r="L17" t="s">
        <v>251</v>
      </c>
      <c r="N17" t="s">
        <v>419</v>
      </c>
      <c r="O17" t="s">
        <v>257</v>
      </c>
      <c r="P17">
        <v>3.7771415098806268E-3</v>
      </c>
      <c r="Q17" t="s">
        <v>251</v>
      </c>
      <c r="S17" t="s">
        <v>420</v>
      </c>
      <c r="T17" t="s">
        <v>257</v>
      </c>
      <c r="U17">
        <v>3.5228871449100416E-3</v>
      </c>
      <c r="V17" t="s">
        <v>251</v>
      </c>
      <c r="X17">
        <v>3.5388127853881279E-3</v>
      </c>
      <c r="Y17">
        <v>5.3435430806586613E-3</v>
      </c>
      <c r="Z17" t="s">
        <v>257</v>
      </c>
      <c r="AA17" t="s">
        <v>25</v>
      </c>
      <c r="AC17" t="s">
        <v>22</v>
      </c>
      <c r="AD17" t="s">
        <v>257</v>
      </c>
      <c r="AE17">
        <v>2.61882807267698E-3</v>
      </c>
      <c r="AG17" t="s">
        <v>99</v>
      </c>
      <c r="AH17" t="s">
        <v>257</v>
      </c>
      <c r="AI17">
        <v>0.1011496097588569</v>
      </c>
    </row>
    <row r="18" spans="3:35" x14ac:dyDescent="0.45">
      <c r="C18" t="s">
        <v>171</v>
      </c>
      <c r="E18" t="s">
        <v>1317</v>
      </c>
      <c r="G18" t="s">
        <v>155</v>
      </c>
      <c r="I18" t="s">
        <v>249</v>
      </c>
      <c r="J18" t="s">
        <v>258</v>
      </c>
      <c r="K18">
        <v>1.6361687235408717E-3</v>
      </c>
      <c r="L18" t="s">
        <v>251</v>
      </c>
      <c r="N18" t="s">
        <v>419</v>
      </c>
      <c r="O18" t="s">
        <v>258</v>
      </c>
      <c r="P18">
        <v>2.4660282460977644E-2</v>
      </c>
      <c r="Q18" t="s">
        <v>251</v>
      </c>
      <c r="S18" t="s">
        <v>420</v>
      </c>
      <c r="T18" t="s">
        <v>258</v>
      </c>
      <c r="U18">
        <v>1.5757336683578368E-2</v>
      </c>
      <c r="V18" t="s">
        <v>251</v>
      </c>
      <c r="X18">
        <v>1.7694063926940638E-2</v>
      </c>
      <c r="Y18">
        <v>1.3358857701646654E-2</v>
      </c>
      <c r="Z18" t="s">
        <v>258</v>
      </c>
      <c r="AA18" t="s">
        <v>25</v>
      </c>
      <c r="AC18" t="s">
        <v>22</v>
      </c>
      <c r="AD18" t="s">
        <v>258</v>
      </c>
      <c r="AE18">
        <v>1.7530475484761106E-2</v>
      </c>
      <c r="AG18" t="s">
        <v>99</v>
      </c>
      <c r="AH18" t="s">
        <v>258</v>
      </c>
      <c r="AI18">
        <v>0.18108104719035567</v>
      </c>
    </row>
    <row r="19" spans="3:35" x14ac:dyDescent="0.45">
      <c r="C19" t="s">
        <v>162</v>
      </c>
      <c r="E19" t="s">
        <v>1318</v>
      </c>
      <c r="G19" t="s">
        <v>155</v>
      </c>
      <c r="I19" t="s">
        <v>249</v>
      </c>
      <c r="J19" t="s">
        <v>259</v>
      </c>
      <c r="K19">
        <v>0</v>
      </c>
      <c r="L19" t="s">
        <v>251</v>
      </c>
      <c r="N19" t="s">
        <v>419</v>
      </c>
      <c r="O19" t="s">
        <v>259</v>
      </c>
      <c r="P19">
        <v>2.6859085503510967E-2</v>
      </c>
      <c r="Q19" t="s">
        <v>251</v>
      </c>
      <c r="S19" t="s">
        <v>420</v>
      </c>
      <c r="T19" t="s">
        <v>259</v>
      </c>
      <c r="U19">
        <v>1.5570388743208208E-2</v>
      </c>
      <c r="V19" t="s">
        <v>251</v>
      </c>
      <c r="X19">
        <v>1.9178082191780823E-2</v>
      </c>
      <c r="Y19">
        <v>4.1024621070863279E-3</v>
      </c>
      <c r="Z19" t="s">
        <v>259</v>
      </c>
      <c r="AA19" t="s">
        <v>25</v>
      </c>
      <c r="AC19" t="s">
        <v>22</v>
      </c>
      <c r="AD19" t="s">
        <v>259</v>
      </c>
      <c r="AE19">
        <v>2.161888624949352E-2</v>
      </c>
      <c r="AG19" t="s">
        <v>99</v>
      </c>
      <c r="AH19" t="s">
        <v>259</v>
      </c>
      <c r="AI19">
        <v>6.725101334592587E-2</v>
      </c>
    </row>
    <row r="20" spans="3:35" x14ac:dyDescent="0.45">
      <c r="C20" t="s">
        <v>174</v>
      </c>
      <c r="E20" t="s">
        <v>1319</v>
      </c>
      <c r="G20" t="s">
        <v>155</v>
      </c>
      <c r="I20" t="s">
        <v>249</v>
      </c>
      <c r="J20" t="s">
        <v>260</v>
      </c>
      <c r="K20">
        <v>1.339658701922193E-3</v>
      </c>
      <c r="L20" t="s">
        <v>251</v>
      </c>
      <c r="N20" t="s">
        <v>419</v>
      </c>
      <c r="O20" t="s">
        <v>260</v>
      </c>
      <c r="P20">
        <v>3.8927029331353872E-3</v>
      </c>
      <c r="Q20" t="s">
        <v>251</v>
      </c>
      <c r="S20" t="s">
        <v>420</v>
      </c>
      <c r="T20" t="s">
        <v>260</v>
      </c>
      <c r="U20">
        <v>2.5524247052464877E-3</v>
      </c>
      <c r="V20" t="s">
        <v>251</v>
      </c>
      <c r="X20">
        <v>3.1963470319634705E-3</v>
      </c>
      <c r="Y20">
        <v>4.7336101235611484E-3</v>
      </c>
      <c r="Z20" t="s">
        <v>260</v>
      </c>
      <c r="AA20" t="s">
        <v>25</v>
      </c>
      <c r="AC20" t="s">
        <v>22</v>
      </c>
      <c r="AD20" t="s">
        <v>260</v>
      </c>
      <c r="AE20">
        <v>3.6358344534236685E-3</v>
      </c>
      <c r="AG20" t="s">
        <v>99</v>
      </c>
      <c r="AH20" t="s">
        <v>260</v>
      </c>
      <c r="AI20">
        <v>6.2737773474196734E-2</v>
      </c>
    </row>
    <row r="21" spans="3:35" x14ac:dyDescent="0.45">
      <c r="C21" t="s">
        <v>176</v>
      </c>
      <c r="E21" t="s">
        <v>1320</v>
      </c>
      <c r="G21" t="s">
        <v>155</v>
      </c>
      <c r="I21" t="s">
        <v>249</v>
      </c>
      <c r="J21" t="s">
        <v>261</v>
      </c>
      <c r="K21">
        <v>4.4976164179348485E-3</v>
      </c>
      <c r="L21" t="s">
        <v>251</v>
      </c>
      <c r="N21" t="s">
        <v>419</v>
      </c>
      <c r="O21" t="s">
        <v>261</v>
      </c>
      <c r="P21">
        <v>3.4166545041474372E-3</v>
      </c>
      <c r="Q21" t="s">
        <v>251</v>
      </c>
      <c r="S21" t="s">
        <v>420</v>
      </c>
      <c r="T21" t="s">
        <v>261</v>
      </c>
      <c r="U21">
        <v>2.5094079632623409E-3</v>
      </c>
      <c r="V21" t="s">
        <v>251</v>
      </c>
      <c r="X21">
        <v>3.1963470319634705E-3</v>
      </c>
      <c r="Y21">
        <v>5.3369133746032542E-3</v>
      </c>
      <c r="Z21" t="s">
        <v>261</v>
      </c>
      <c r="AA21" t="s">
        <v>25</v>
      </c>
      <c r="AC21" t="s">
        <v>22</v>
      </c>
      <c r="AD21" t="s">
        <v>261</v>
      </c>
      <c r="AE21">
        <v>3.6344703546546822E-3</v>
      </c>
      <c r="AG21" t="s">
        <v>99</v>
      </c>
      <c r="AH21" t="s">
        <v>261</v>
      </c>
      <c r="AI21">
        <v>5.5388514883157214E-2</v>
      </c>
    </row>
    <row r="22" spans="3:35" x14ac:dyDescent="0.45">
      <c r="C22" t="s">
        <v>178</v>
      </c>
      <c r="E22" t="s">
        <v>1321</v>
      </c>
      <c r="G22" t="s">
        <v>155</v>
      </c>
      <c r="I22" t="s">
        <v>249</v>
      </c>
      <c r="J22" t="s">
        <v>262</v>
      </c>
      <c r="K22">
        <v>4.7312849365851707E-2</v>
      </c>
      <c r="L22" t="s">
        <v>251</v>
      </c>
      <c r="N22" t="s">
        <v>419</v>
      </c>
      <c r="O22" t="s">
        <v>262</v>
      </c>
      <c r="P22">
        <v>1.5332261546275745E-2</v>
      </c>
      <c r="Q22" t="s">
        <v>251</v>
      </c>
      <c r="S22" t="s">
        <v>420</v>
      </c>
      <c r="T22" t="s">
        <v>262</v>
      </c>
      <c r="U22">
        <v>1.5549107374137295E-2</v>
      </c>
      <c r="V22" t="s">
        <v>251</v>
      </c>
      <c r="X22">
        <v>1.9178082191780823E-2</v>
      </c>
      <c r="Y22">
        <v>2.4169256395594564E-2</v>
      </c>
      <c r="Z22" t="s">
        <v>262</v>
      </c>
      <c r="AA22" t="s">
        <v>25</v>
      </c>
      <c r="AC22" t="s">
        <v>22</v>
      </c>
      <c r="AD22" t="s">
        <v>262</v>
      </c>
      <c r="AE22">
        <v>2.0108209408854633E-2</v>
      </c>
      <c r="AG22" t="s">
        <v>99</v>
      </c>
      <c r="AH22" t="s">
        <v>262</v>
      </c>
      <c r="AI22">
        <v>0.11604443548905641</v>
      </c>
    </row>
    <row r="23" spans="3:35" x14ac:dyDescent="0.45">
      <c r="E23" t="s">
        <v>1322</v>
      </c>
      <c r="G23" t="s">
        <v>155</v>
      </c>
      <c r="I23" t="s">
        <v>249</v>
      </c>
      <c r="J23" t="s">
        <v>263</v>
      </c>
      <c r="K23">
        <v>2.1487248563208199E-2</v>
      </c>
      <c r="L23" t="s">
        <v>251</v>
      </c>
      <c r="N23" t="s">
        <v>419</v>
      </c>
      <c r="O23" t="s">
        <v>263</v>
      </c>
      <c r="P23">
        <v>6.9159360614657866E-3</v>
      </c>
      <c r="Q23" t="s">
        <v>251</v>
      </c>
      <c r="S23" t="s">
        <v>420</v>
      </c>
      <c r="T23" t="s">
        <v>263</v>
      </c>
      <c r="U23">
        <v>8.3281989093384225E-3</v>
      </c>
      <c r="V23" t="s">
        <v>251</v>
      </c>
      <c r="X23">
        <v>9.5890410958904115E-3</v>
      </c>
      <c r="Y23">
        <v>1.5258931457126519E-2</v>
      </c>
      <c r="Z23" t="s">
        <v>263</v>
      </c>
      <c r="AA23" t="s">
        <v>25</v>
      </c>
      <c r="AC23" t="s">
        <v>22</v>
      </c>
      <c r="AD23" t="s">
        <v>263</v>
      </c>
      <c r="AE23">
        <v>7.3804323982535015E-3</v>
      </c>
      <c r="AG23" t="s">
        <v>99</v>
      </c>
      <c r="AH23" t="s">
        <v>263</v>
      </c>
      <c r="AI23">
        <v>0.11196228135959285</v>
      </c>
    </row>
    <row r="24" spans="3:35" x14ac:dyDescent="0.45">
      <c r="E24" t="s">
        <v>1323</v>
      </c>
      <c r="G24" t="s">
        <v>155</v>
      </c>
      <c r="I24" t="s">
        <v>249</v>
      </c>
      <c r="J24" t="s">
        <v>264</v>
      </c>
      <c r="K24">
        <v>5.3228780119697807E-3</v>
      </c>
      <c r="L24" t="s">
        <v>251</v>
      </c>
      <c r="N24" t="s">
        <v>419</v>
      </c>
      <c r="O24" t="s">
        <v>264</v>
      </c>
      <c r="P24">
        <v>2.8972208796751299E-3</v>
      </c>
      <c r="Q24" t="s">
        <v>251</v>
      </c>
      <c r="S24" t="s">
        <v>420</v>
      </c>
      <c r="T24" t="s">
        <v>264</v>
      </c>
      <c r="U24">
        <v>2.8530080087175195E-3</v>
      </c>
      <c r="V24" t="s">
        <v>251</v>
      </c>
      <c r="X24">
        <v>3.1963470319634705E-3</v>
      </c>
      <c r="Y24">
        <v>6.2186642799724884E-3</v>
      </c>
      <c r="Z24" t="s">
        <v>264</v>
      </c>
      <c r="AA24" t="s">
        <v>25</v>
      </c>
      <c r="AC24" t="s">
        <v>22</v>
      </c>
      <c r="AD24" t="s">
        <v>264</v>
      </c>
      <c r="AE24">
        <v>2.3245185630050126E-3</v>
      </c>
      <c r="AG24" t="s">
        <v>99</v>
      </c>
      <c r="AH24" t="s">
        <v>264</v>
      </c>
      <c r="AI24">
        <v>6.2711363706509315E-2</v>
      </c>
    </row>
    <row r="25" spans="3:35" x14ac:dyDescent="0.45">
      <c r="E25" t="s">
        <v>1324</v>
      </c>
      <c r="G25" t="s">
        <v>155</v>
      </c>
      <c r="I25" t="s">
        <v>249</v>
      </c>
      <c r="J25" t="s">
        <v>265</v>
      </c>
      <c r="K25">
        <v>3.6504304492904721E-3</v>
      </c>
      <c r="L25" t="s">
        <v>251</v>
      </c>
      <c r="N25" t="s">
        <v>419</v>
      </c>
      <c r="O25" t="s">
        <v>265</v>
      </c>
      <c r="P25">
        <v>3.1606032717252232E-3</v>
      </c>
      <c r="Q25" t="s">
        <v>251</v>
      </c>
      <c r="S25" t="s">
        <v>420</v>
      </c>
      <c r="T25" t="s">
        <v>265</v>
      </c>
      <c r="U25">
        <v>2.841370638053637E-3</v>
      </c>
      <c r="V25" t="s">
        <v>251</v>
      </c>
      <c r="X25">
        <v>3.1963470319634705E-3</v>
      </c>
      <c r="Y25">
        <v>4.8264260083368555E-3</v>
      </c>
      <c r="Z25" t="s">
        <v>265</v>
      </c>
      <c r="AA25" t="s">
        <v>25</v>
      </c>
      <c r="AC25" t="s">
        <v>22</v>
      </c>
      <c r="AD25" t="s">
        <v>265</v>
      </c>
      <c r="AE25">
        <v>2.3297486010799904E-3</v>
      </c>
      <c r="AG25" t="s">
        <v>99</v>
      </c>
      <c r="AH25" t="s">
        <v>265</v>
      </c>
      <c r="AI25">
        <v>5.8752555846999899E-2</v>
      </c>
    </row>
    <row r="26" spans="3:35" x14ac:dyDescent="0.45">
      <c r="E26" t="s">
        <v>1325</v>
      </c>
      <c r="G26" t="s">
        <v>155</v>
      </c>
      <c r="I26" t="s">
        <v>249</v>
      </c>
      <c r="J26" t="s">
        <v>266</v>
      </c>
      <c r="K26">
        <v>1.0742479766925439E-3</v>
      </c>
      <c r="L26" t="s">
        <v>251</v>
      </c>
      <c r="N26" t="s">
        <v>419</v>
      </c>
      <c r="O26" t="s">
        <v>266</v>
      </c>
      <c r="P26">
        <v>2.1056926725522049E-2</v>
      </c>
      <c r="Q26" t="s">
        <v>251</v>
      </c>
      <c r="S26" t="s">
        <v>420</v>
      </c>
      <c r="T26" t="s">
        <v>266</v>
      </c>
      <c r="U26">
        <v>1.3771904585956271E-2</v>
      </c>
      <c r="V26" t="s">
        <v>251</v>
      </c>
      <c r="X26">
        <v>1.5981735159817351E-2</v>
      </c>
      <c r="Y26">
        <v>1.2066065020842141E-2</v>
      </c>
      <c r="Z26" t="s">
        <v>266</v>
      </c>
      <c r="AA26" t="s">
        <v>25</v>
      </c>
      <c r="AC26" t="s">
        <v>22</v>
      </c>
      <c r="AD26" t="s">
        <v>266</v>
      </c>
      <c r="AE26">
        <v>1.5517970444668863E-2</v>
      </c>
      <c r="AG26" t="s">
        <v>99</v>
      </c>
      <c r="AH26" t="s">
        <v>266</v>
      </c>
      <c r="AI26">
        <v>0.15352800830975277</v>
      </c>
    </row>
    <row r="27" spans="3:35" x14ac:dyDescent="0.45">
      <c r="E27" t="s">
        <v>1326</v>
      </c>
      <c r="G27" t="s">
        <v>155</v>
      </c>
      <c r="I27" t="s">
        <v>249</v>
      </c>
      <c r="J27" t="s">
        <v>267</v>
      </c>
      <c r="K27">
        <v>0</v>
      </c>
      <c r="L27" t="s">
        <v>251</v>
      </c>
      <c r="N27" t="s">
        <v>419</v>
      </c>
      <c r="O27" t="s">
        <v>267</v>
      </c>
      <c r="P27">
        <v>2.8256257914633733E-2</v>
      </c>
      <c r="Q27" t="s">
        <v>251</v>
      </c>
      <c r="S27" t="s">
        <v>420</v>
      </c>
      <c r="T27" t="s">
        <v>267</v>
      </c>
      <c r="U27">
        <v>1.9682460027021023E-2</v>
      </c>
      <c r="V27" t="s">
        <v>251</v>
      </c>
      <c r="X27">
        <v>2.1232876712328767E-2</v>
      </c>
      <c r="Y27">
        <v>4.5420116185598634E-3</v>
      </c>
      <c r="Z27" t="s">
        <v>267</v>
      </c>
      <c r="AA27" t="s">
        <v>25</v>
      </c>
      <c r="AC27" t="s">
        <v>22</v>
      </c>
      <c r="AD27" t="s">
        <v>267</v>
      </c>
      <c r="AE27">
        <v>2.3711587136367566E-2</v>
      </c>
      <c r="AG27" t="s">
        <v>99</v>
      </c>
      <c r="AH27" t="s">
        <v>267</v>
      </c>
      <c r="AI27">
        <v>0.11638577900886826</v>
      </c>
    </row>
    <row r="28" spans="3:35" x14ac:dyDescent="0.45">
      <c r="E28" t="s">
        <v>1327</v>
      </c>
      <c r="G28" t="s">
        <v>155</v>
      </c>
      <c r="I28" t="s">
        <v>249</v>
      </c>
      <c r="J28" t="s">
        <v>268</v>
      </c>
      <c r="K28">
        <v>3.8870564019590214E-4</v>
      </c>
      <c r="L28" t="s">
        <v>251</v>
      </c>
      <c r="N28" t="s">
        <v>419</v>
      </c>
      <c r="O28" t="s">
        <v>268</v>
      </c>
      <c r="P28">
        <v>4.3642596673502199E-3</v>
      </c>
      <c r="Q28" t="s">
        <v>251</v>
      </c>
      <c r="S28" t="s">
        <v>420</v>
      </c>
      <c r="T28" t="s">
        <v>268</v>
      </c>
      <c r="U28">
        <v>3.2677551220692386E-3</v>
      </c>
      <c r="V28" t="s">
        <v>251</v>
      </c>
      <c r="X28">
        <v>3.5388127853881279E-3</v>
      </c>
      <c r="Y28">
        <v>5.240782636799844E-3</v>
      </c>
      <c r="Z28" t="s">
        <v>268</v>
      </c>
      <c r="AA28" t="s">
        <v>25</v>
      </c>
      <c r="AC28" t="s">
        <v>22</v>
      </c>
      <c r="AD28" t="s">
        <v>268</v>
      </c>
      <c r="AE28">
        <v>3.9961661127941236E-3</v>
      </c>
      <c r="AG28" t="s">
        <v>99</v>
      </c>
      <c r="AH28" t="s">
        <v>268</v>
      </c>
      <c r="AI28">
        <v>9.82212681904302E-2</v>
      </c>
    </row>
    <row r="29" spans="3:35" x14ac:dyDescent="0.45">
      <c r="E29" t="s">
        <v>1328</v>
      </c>
      <c r="G29" t="s">
        <v>155</v>
      </c>
      <c r="I29" t="s">
        <v>249</v>
      </c>
      <c r="J29" t="s">
        <v>269</v>
      </c>
      <c r="K29">
        <v>4.9796343443622004E-3</v>
      </c>
      <c r="L29" t="s">
        <v>251</v>
      </c>
      <c r="N29" t="s">
        <v>419</v>
      </c>
      <c r="O29" t="s">
        <v>269</v>
      </c>
      <c r="P29">
        <v>3.9802360242095422E-3</v>
      </c>
      <c r="Q29" t="s">
        <v>251</v>
      </c>
      <c r="S29" t="s">
        <v>420</v>
      </c>
      <c r="T29" t="s">
        <v>269</v>
      </c>
      <c r="U29">
        <v>3.2577080412417832E-3</v>
      </c>
      <c r="V29" t="s">
        <v>251</v>
      </c>
      <c r="X29">
        <v>3.5388127853881279E-3</v>
      </c>
      <c r="Y29">
        <v>5.9087255218821738E-3</v>
      </c>
      <c r="Z29" t="s">
        <v>269</v>
      </c>
      <c r="AA29" t="s">
        <v>25</v>
      </c>
      <c r="AC29" t="s">
        <v>22</v>
      </c>
      <c r="AD29" t="s">
        <v>269</v>
      </c>
      <c r="AE29">
        <v>3.9885176288667074E-3</v>
      </c>
      <c r="AG29" t="s">
        <v>99</v>
      </c>
      <c r="AH29" t="s">
        <v>269</v>
      </c>
      <c r="AI29">
        <v>6.8143564656164113E-2</v>
      </c>
    </row>
    <row r="30" spans="3:35" x14ac:dyDescent="0.45">
      <c r="E30" t="s">
        <v>1329</v>
      </c>
      <c r="G30" t="s">
        <v>155</v>
      </c>
      <c r="I30" t="s">
        <v>249</v>
      </c>
      <c r="J30" t="s">
        <v>270</v>
      </c>
      <c r="K30">
        <v>5.1897645322585798E-2</v>
      </c>
      <c r="L30" t="s">
        <v>251</v>
      </c>
      <c r="N30" t="s">
        <v>419</v>
      </c>
      <c r="O30" t="s">
        <v>270</v>
      </c>
      <c r="P30">
        <v>1.8503689500717891E-2</v>
      </c>
      <c r="Q30" t="s">
        <v>251</v>
      </c>
      <c r="S30" t="s">
        <v>420</v>
      </c>
      <c r="T30" t="s">
        <v>270</v>
      </c>
      <c r="U30">
        <v>1.9330486528263999E-2</v>
      </c>
      <c r="V30" t="s">
        <v>251</v>
      </c>
      <c r="X30">
        <v>2.1232876712328767E-2</v>
      </c>
      <c r="Y30">
        <v>2.6758819580836844E-2</v>
      </c>
      <c r="Z30" t="s">
        <v>270</v>
      </c>
      <c r="AA30" t="s">
        <v>25</v>
      </c>
      <c r="AC30" t="s">
        <v>22</v>
      </c>
      <c r="AD30" t="s">
        <v>270</v>
      </c>
      <c r="AE30">
        <v>2.2135749263266054E-2</v>
      </c>
      <c r="AG30" t="s">
        <v>99</v>
      </c>
      <c r="AH30" t="s">
        <v>270</v>
      </c>
      <c r="AI30">
        <v>0.13173562310592568</v>
      </c>
    </row>
    <row r="31" spans="3:35" x14ac:dyDescent="0.45">
      <c r="E31" t="s">
        <v>1330</v>
      </c>
      <c r="G31" t="s">
        <v>155</v>
      </c>
      <c r="I31" t="s">
        <v>249</v>
      </c>
      <c r="J31" t="s">
        <v>271</v>
      </c>
      <c r="K31">
        <v>2.3890633137586399E-2</v>
      </c>
      <c r="L31" t="s">
        <v>251</v>
      </c>
      <c r="N31" t="s">
        <v>419</v>
      </c>
      <c r="O31" t="s">
        <v>271</v>
      </c>
      <c r="P31">
        <v>8.4908130991335727E-3</v>
      </c>
      <c r="Q31" t="s">
        <v>251</v>
      </c>
      <c r="S31" t="s">
        <v>420</v>
      </c>
      <c r="T31" t="s">
        <v>271</v>
      </c>
      <c r="U31">
        <v>9.3069590820403277E-3</v>
      </c>
      <c r="V31" t="s">
        <v>251</v>
      </c>
      <c r="X31">
        <v>1.0616438356164383E-2</v>
      </c>
      <c r="Y31">
        <v>1.6893816970390073E-2</v>
      </c>
      <c r="Z31" t="s">
        <v>271</v>
      </c>
      <c r="AA31" t="s">
        <v>25</v>
      </c>
      <c r="AC31" t="s">
        <v>22</v>
      </c>
      <c r="AD31" t="s">
        <v>271</v>
      </c>
      <c r="AE31">
        <v>8.0994765750551992E-3</v>
      </c>
      <c r="AG31" t="s">
        <v>99</v>
      </c>
      <c r="AH31" t="s">
        <v>271</v>
      </c>
      <c r="AI31">
        <v>8.4242662862822781E-2</v>
      </c>
    </row>
    <row r="32" spans="3:35" x14ac:dyDescent="0.45">
      <c r="E32" t="s">
        <v>1331</v>
      </c>
      <c r="G32" t="s">
        <v>155</v>
      </c>
      <c r="I32" t="s">
        <v>249</v>
      </c>
      <c r="J32" t="s">
        <v>272</v>
      </c>
      <c r="K32">
        <v>6.1164188379895998E-3</v>
      </c>
      <c r="L32" t="s">
        <v>251</v>
      </c>
      <c r="N32" t="s">
        <v>419</v>
      </c>
      <c r="O32" t="s">
        <v>272</v>
      </c>
      <c r="P32">
        <v>3.2255779984932246E-3</v>
      </c>
      <c r="Q32" t="s">
        <v>251</v>
      </c>
      <c r="S32" t="s">
        <v>420</v>
      </c>
      <c r="T32" t="s">
        <v>272</v>
      </c>
      <c r="U32">
        <v>3.1185031283167E-3</v>
      </c>
      <c r="V32" t="s">
        <v>251</v>
      </c>
      <c r="X32">
        <v>3.5388127853881279E-3</v>
      </c>
      <c r="Y32">
        <v>6.8849497385409693E-3</v>
      </c>
      <c r="Z32" t="s">
        <v>272</v>
      </c>
      <c r="AA32" t="s">
        <v>25</v>
      </c>
      <c r="AC32" t="s">
        <v>22</v>
      </c>
      <c r="AD32" t="s">
        <v>272</v>
      </c>
      <c r="AE32">
        <v>2.5503286394059593E-3</v>
      </c>
      <c r="AG32" t="s">
        <v>99</v>
      </c>
      <c r="AH32" t="s">
        <v>272</v>
      </c>
      <c r="AI32">
        <v>5.8054213283028178E-2</v>
      </c>
    </row>
    <row r="33" spans="5:35" x14ac:dyDescent="0.45">
      <c r="E33" t="s">
        <v>1332</v>
      </c>
      <c r="G33" t="s">
        <v>155</v>
      </c>
      <c r="I33" t="s">
        <v>249</v>
      </c>
      <c r="J33" t="s">
        <v>273</v>
      </c>
      <c r="K33">
        <v>3.7733047864497546E-3</v>
      </c>
      <c r="L33" t="s">
        <v>251</v>
      </c>
      <c r="N33" t="s">
        <v>419</v>
      </c>
      <c r="O33" t="s">
        <v>273</v>
      </c>
      <c r="P33">
        <v>3.419858473822849E-3</v>
      </c>
      <c r="Q33" t="s">
        <v>251</v>
      </c>
      <c r="S33" t="s">
        <v>420</v>
      </c>
      <c r="T33" t="s">
        <v>273</v>
      </c>
      <c r="U33">
        <v>3.1769901080109329E-3</v>
      </c>
      <c r="V33" t="s">
        <v>251</v>
      </c>
      <c r="X33">
        <v>3.5388127853881279E-3</v>
      </c>
      <c r="Y33">
        <v>5.3435430806586613E-3</v>
      </c>
      <c r="Z33" t="s">
        <v>273</v>
      </c>
      <c r="AA33" t="s">
        <v>25</v>
      </c>
      <c r="AC33" t="s">
        <v>22</v>
      </c>
      <c r="AD33" t="s">
        <v>273</v>
      </c>
      <c r="AE33">
        <v>2.5599130713679637E-3</v>
      </c>
      <c r="AG33" t="s">
        <v>99</v>
      </c>
      <c r="AH33" t="s">
        <v>273</v>
      </c>
      <c r="AI33">
        <v>4.435631490733738E-2</v>
      </c>
    </row>
    <row r="34" spans="5:35" x14ac:dyDescent="0.45">
      <c r="E34" t="s">
        <v>1333</v>
      </c>
      <c r="G34" t="s">
        <v>155</v>
      </c>
      <c r="I34" t="s">
        <v>249</v>
      </c>
      <c r="J34" t="s">
        <v>274</v>
      </c>
      <c r="K34">
        <v>5.3177883933484631E-5</v>
      </c>
      <c r="L34" t="s">
        <v>251</v>
      </c>
      <c r="N34" t="s">
        <v>419</v>
      </c>
      <c r="O34" t="s">
        <v>274</v>
      </c>
      <c r="P34">
        <v>2.3181079674091134E-2</v>
      </c>
      <c r="Q34" t="s">
        <v>251</v>
      </c>
      <c r="S34" t="s">
        <v>420</v>
      </c>
      <c r="T34" t="s">
        <v>274</v>
      </c>
      <c r="U34">
        <v>1.613114842353618E-2</v>
      </c>
      <c r="V34" t="s">
        <v>251</v>
      </c>
      <c r="X34">
        <v>1.7694063926940638E-2</v>
      </c>
      <c r="Y34">
        <v>1.3358857701646654E-2</v>
      </c>
      <c r="Z34" t="s">
        <v>274</v>
      </c>
      <c r="AA34" t="s">
        <v>25</v>
      </c>
      <c r="AC34" t="s">
        <v>22</v>
      </c>
      <c r="AD34" t="s">
        <v>274</v>
      </c>
      <c r="AE34">
        <v>1.7047916945675982E-2</v>
      </c>
      <c r="AG34" t="s">
        <v>99</v>
      </c>
      <c r="AH34" t="s">
        <v>274</v>
      </c>
      <c r="AI34">
        <v>0.15879766383465954</v>
      </c>
    </row>
    <row r="35" spans="5:35" x14ac:dyDescent="0.45">
      <c r="E35" t="s">
        <v>1334</v>
      </c>
      <c r="G35" t="s">
        <v>155</v>
      </c>
      <c r="I35" t="s">
        <v>249</v>
      </c>
      <c r="J35" t="s">
        <v>275</v>
      </c>
      <c r="K35">
        <v>0</v>
      </c>
      <c r="L35" t="s">
        <v>251</v>
      </c>
      <c r="N35" t="s">
        <v>419</v>
      </c>
      <c r="O35" t="s">
        <v>275</v>
      </c>
      <c r="P35">
        <v>2.0389424056945722E-2</v>
      </c>
      <c r="Q35" t="s">
        <v>251</v>
      </c>
      <c r="S35" t="s">
        <v>420</v>
      </c>
      <c r="T35" t="s">
        <v>275</v>
      </c>
      <c r="U35">
        <v>1.9415336490079316E-2</v>
      </c>
      <c r="V35" t="s">
        <v>251</v>
      </c>
      <c r="X35">
        <v>2.0547945205479451E-2</v>
      </c>
      <c r="Y35">
        <v>4.3954951147353507E-3</v>
      </c>
      <c r="Z35" t="s">
        <v>275</v>
      </c>
      <c r="AA35" t="s">
        <v>25</v>
      </c>
      <c r="AC35" t="s">
        <v>22</v>
      </c>
      <c r="AD35" t="s">
        <v>275</v>
      </c>
      <c r="AE35">
        <v>2.2301014114127767E-2</v>
      </c>
      <c r="AG35" t="s">
        <v>99</v>
      </c>
      <c r="AH35" t="s">
        <v>275</v>
      </c>
      <c r="AI35">
        <v>4.9626454518111318E-2</v>
      </c>
    </row>
    <row r="36" spans="5:35" x14ac:dyDescent="0.45">
      <c r="E36" t="s">
        <v>1335</v>
      </c>
      <c r="G36" t="s">
        <v>155</v>
      </c>
      <c r="I36" t="s">
        <v>249</v>
      </c>
      <c r="J36" t="s">
        <v>276</v>
      </c>
      <c r="K36">
        <v>2.0517109116268366E-6</v>
      </c>
      <c r="L36" t="s">
        <v>251</v>
      </c>
      <c r="N36" t="s">
        <v>419</v>
      </c>
      <c r="O36" t="s">
        <v>276</v>
      </c>
      <c r="P36">
        <v>3.1607267371689613E-3</v>
      </c>
      <c r="Q36" t="s">
        <v>251</v>
      </c>
      <c r="S36" t="s">
        <v>420</v>
      </c>
      <c r="T36" t="s">
        <v>276</v>
      </c>
      <c r="U36">
        <v>3.2289324244967454E-3</v>
      </c>
      <c r="V36" t="s">
        <v>251</v>
      </c>
      <c r="X36">
        <v>3.4246575342465752E-3</v>
      </c>
      <c r="Y36">
        <v>5.0717251323869452E-3</v>
      </c>
      <c r="Z36" t="s">
        <v>276</v>
      </c>
      <c r="AA36" t="s">
        <v>25</v>
      </c>
      <c r="AC36" t="s">
        <v>22</v>
      </c>
      <c r="AD36" t="s">
        <v>276</v>
      </c>
      <c r="AE36">
        <v>3.73658632681621E-3</v>
      </c>
      <c r="AG36" t="s">
        <v>99</v>
      </c>
      <c r="AH36" t="s">
        <v>276</v>
      </c>
      <c r="AI36">
        <v>4.0869223385679998E-2</v>
      </c>
    </row>
    <row r="37" spans="5:35" x14ac:dyDescent="0.45">
      <c r="E37" t="s">
        <v>1336</v>
      </c>
      <c r="G37" t="s">
        <v>155</v>
      </c>
      <c r="I37" t="s">
        <v>249</v>
      </c>
      <c r="J37" t="s">
        <v>277</v>
      </c>
      <c r="K37">
        <v>4.2034545150900051E-3</v>
      </c>
      <c r="L37" t="s">
        <v>251</v>
      </c>
      <c r="N37" t="s">
        <v>419</v>
      </c>
      <c r="O37" t="s">
        <v>277</v>
      </c>
      <c r="P37">
        <v>2.976389370092905E-3</v>
      </c>
      <c r="Q37" t="s">
        <v>251</v>
      </c>
      <c r="S37" t="s">
        <v>420</v>
      </c>
      <c r="T37" t="s">
        <v>277</v>
      </c>
      <c r="U37">
        <v>3.1787996386982288E-3</v>
      </c>
      <c r="V37" t="s">
        <v>251</v>
      </c>
      <c r="X37">
        <v>3.4246575342465752E-3</v>
      </c>
      <c r="Y37">
        <v>5.7181214727892006E-3</v>
      </c>
      <c r="Z37" t="s">
        <v>277</v>
      </c>
      <c r="AA37" t="s">
        <v>25</v>
      </c>
      <c r="AC37" t="s">
        <v>22</v>
      </c>
      <c r="AD37" t="s">
        <v>277</v>
      </c>
      <c r="AE37">
        <v>3.764362713540153E-3</v>
      </c>
      <c r="AG37" t="s">
        <v>99</v>
      </c>
      <c r="AH37" t="s">
        <v>277</v>
      </c>
      <c r="AI37">
        <v>3.5724129158097861E-2</v>
      </c>
    </row>
    <row r="38" spans="5:35" x14ac:dyDescent="0.45">
      <c r="E38" t="s">
        <v>1337</v>
      </c>
      <c r="G38" t="s">
        <v>155</v>
      </c>
      <c r="I38" t="s">
        <v>249</v>
      </c>
      <c r="J38" t="s">
        <v>278</v>
      </c>
      <c r="K38">
        <v>4.4356241580810703E-2</v>
      </c>
      <c r="L38" t="s">
        <v>251</v>
      </c>
      <c r="N38" t="s">
        <v>419</v>
      </c>
      <c r="O38" t="s">
        <v>278</v>
      </c>
      <c r="P38">
        <v>1.0653333459856721E-2</v>
      </c>
      <c r="Q38" t="s">
        <v>251</v>
      </c>
      <c r="S38" t="s">
        <v>420</v>
      </c>
      <c r="T38" t="s">
        <v>278</v>
      </c>
      <c r="U38">
        <v>1.8406815010020155E-2</v>
      </c>
      <c r="V38" t="s">
        <v>251</v>
      </c>
      <c r="X38">
        <v>2.0547945205479451E-2</v>
      </c>
      <c r="Y38">
        <v>2.5895631852422749E-2</v>
      </c>
      <c r="Z38" t="s">
        <v>278</v>
      </c>
      <c r="AA38" t="s">
        <v>25</v>
      </c>
      <c r="AC38" t="s">
        <v>22</v>
      </c>
      <c r="AD38" t="s">
        <v>278</v>
      </c>
      <c r="AE38">
        <v>2.1776342412938632E-2</v>
      </c>
      <c r="AG38" t="s">
        <v>99</v>
      </c>
      <c r="AH38" t="s">
        <v>278</v>
      </c>
      <c r="AI38">
        <v>6.7959091165817664E-2</v>
      </c>
    </row>
    <row r="39" spans="5:35" x14ac:dyDescent="0.45">
      <c r="E39" t="s">
        <v>1338</v>
      </c>
      <c r="G39" t="s">
        <v>155</v>
      </c>
      <c r="I39" t="s">
        <v>249</v>
      </c>
      <c r="J39" t="s">
        <v>279</v>
      </c>
      <c r="K39">
        <v>2.00173866079956E-2</v>
      </c>
      <c r="L39" t="s">
        <v>251</v>
      </c>
      <c r="N39" t="s">
        <v>419</v>
      </c>
      <c r="O39" t="s">
        <v>279</v>
      </c>
      <c r="P39">
        <v>4.6384492328032031E-3</v>
      </c>
      <c r="Q39" t="s">
        <v>251</v>
      </c>
      <c r="S39" t="s">
        <v>420</v>
      </c>
      <c r="T39" t="s">
        <v>279</v>
      </c>
      <c r="U39">
        <v>9.3006190060524845E-3</v>
      </c>
      <c r="V39" t="s">
        <v>251</v>
      </c>
      <c r="X39">
        <v>1.0273972602739725E-2</v>
      </c>
      <c r="Y39">
        <v>1.6348855132635558E-2</v>
      </c>
      <c r="Z39" t="s">
        <v>279</v>
      </c>
      <c r="AA39" t="s">
        <v>25</v>
      </c>
      <c r="AC39" t="s">
        <v>22</v>
      </c>
      <c r="AD39" t="s">
        <v>279</v>
      </c>
      <c r="AE39">
        <v>8.0391169002698298E-3</v>
      </c>
      <c r="AG39" t="s">
        <v>99</v>
      </c>
      <c r="AH39" t="s">
        <v>279</v>
      </c>
      <c r="AI39">
        <v>0.10474634976168629</v>
      </c>
    </row>
    <row r="40" spans="5:35" x14ac:dyDescent="0.45">
      <c r="E40" t="s">
        <v>1339</v>
      </c>
      <c r="G40" t="s">
        <v>155</v>
      </c>
      <c r="I40" t="s">
        <v>249</v>
      </c>
      <c r="J40" t="s">
        <v>280</v>
      </c>
      <c r="K40">
        <v>4.9464738077248001E-3</v>
      </c>
      <c r="L40" t="s">
        <v>251</v>
      </c>
      <c r="N40" t="s">
        <v>419</v>
      </c>
      <c r="O40" t="s">
        <v>280</v>
      </c>
      <c r="P40">
        <v>1.7672870015609293E-3</v>
      </c>
      <c r="Q40" t="s">
        <v>251</v>
      </c>
      <c r="S40" t="s">
        <v>420</v>
      </c>
      <c r="T40" t="s">
        <v>280</v>
      </c>
      <c r="U40">
        <v>3.1644740752954916E-3</v>
      </c>
      <c r="V40" t="s">
        <v>251</v>
      </c>
      <c r="X40">
        <v>3.4246575342465752E-3</v>
      </c>
      <c r="Y40">
        <v>6.662854585684809E-3</v>
      </c>
      <c r="Z40" t="s">
        <v>280</v>
      </c>
      <c r="AA40" t="s">
        <v>25</v>
      </c>
      <c r="AC40" t="s">
        <v>22</v>
      </c>
      <c r="AD40" t="s">
        <v>280</v>
      </c>
      <c r="AE40">
        <v>2.3604012853309128E-3</v>
      </c>
      <c r="AG40" t="s">
        <v>99</v>
      </c>
      <c r="AH40" t="s">
        <v>280</v>
      </c>
      <c r="AI40">
        <v>1.3512367730849295E-2</v>
      </c>
    </row>
    <row r="41" spans="5:35" x14ac:dyDescent="0.45">
      <c r="E41" t="s">
        <v>1340</v>
      </c>
      <c r="G41" t="s">
        <v>155</v>
      </c>
      <c r="I41" t="s">
        <v>249</v>
      </c>
      <c r="J41" t="s">
        <v>281</v>
      </c>
      <c r="K41">
        <v>2.0025868097443083E-3</v>
      </c>
      <c r="L41" t="s">
        <v>251</v>
      </c>
      <c r="N41" t="s">
        <v>419</v>
      </c>
      <c r="O41" t="s">
        <v>281</v>
      </c>
      <c r="P41">
        <v>2.0148571403143531E-3</v>
      </c>
      <c r="Q41" t="s">
        <v>251</v>
      </c>
      <c r="S41" t="s">
        <v>420</v>
      </c>
      <c r="T41" t="s">
        <v>281</v>
      </c>
      <c r="U41">
        <v>3.1611429117214063E-3</v>
      </c>
      <c r="V41" t="s">
        <v>251</v>
      </c>
      <c r="X41">
        <v>3.4246575342465752E-3</v>
      </c>
      <c r="Y41">
        <v>5.1711707232180593E-3</v>
      </c>
      <c r="Z41" t="s">
        <v>281</v>
      </c>
      <c r="AA41" t="s">
        <v>25</v>
      </c>
      <c r="AC41" t="s">
        <v>22</v>
      </c>
      <c r="AD41" t="s">
        <v>281</v>
      </c>
      <c r="AE41">
        <v>2.3763594538990973E-3</v>
      </c>
      <c r="AG41" t="s">
        <v>99</v>
      </c>
      <c r="AH41" t="s">
        <v>281</v>
      </c>
      <c r="AI41">
        <v>1.7165333712501507E-2</v>
      </c>
    </row>
    <row r="42" spans="5:35" x14ac:dyDescent="0.45">
      <c r="E42" t="s">
        <v>1341</v>
      </c>
      <c r="G42" t="s">
        <v>155</v>
      </c>
      <c r="I42" t="s">
        <v>249</v>
      </c>
      <c r="J42" t="s">
        <v>282</v>
      </c>
      <c r="K42">
        <v>0</v>
      </c>
      <c r="L42" t="s">
        <v>251</v>
      </c>
      <c r="N42" t="s">
        <v>419</v>
      </c>
      <c r="O42" t="s">
        <v>282</v>
      </c>
      <c r="P42">
        <v>1.4925971407484051E-2</v>
      </c>
      <c r="Q42" t="s">
        <v>251</v>
      </c>
      <c r="S42" t="s">
        <v>420</v>
      </c>
      <c r="T42" t="s">
        <v>282</v>
      </c>
      <c r="U42">
        <v>1.5948499659726105E-2</v>
      </c>
      <c r="V42" t="s">
        <v>251</v>
      </c>
      <c r="X42">
        <v>1.7123287671232876E-2</v>
      </c>
      <c r="Y42">
        <v>1.2927926808045149E-2</v>
      </c>
      <c r="Z42" t="s">
        <v>282</v>
      </c>
      <c r="AA42" t="s">
        <v>25</v>
      </c>
      <c r="AC42" t="s">
        <v>22</v>
      </c>
      <c r="AD42" t="s">
        <v>282</v>
      </c>
      <c r="AE42">
        <v>1.5578099873551859E-2</v>
      </c>
      <c r="AG42" t="s">
        <v>99</v>
      </c>
      <c r="AH42" t="s">
        <v>282</v>
      </c>
      <c r="AI42">
        <v>0.17748445228691057</v>
      </c>
    </row>
    <row r="43" spans="5:35" x14ac:dyDescent="0.45">
      <c r="E43" t="s">
        <v>1342</v>
      </c>
      <c r="G43" t="s">
        <v>155</v>
      </c>
      <c r="I43" t="s">
        <v>249</v>
      </c>
      <c r="J43" t="s">
        <v>283</v>
      </c>
      <c r="K43">
        <v>0</v>
      </c>
      <c r="L43" t="s">
        <v>251</v>
      </c>
      <c r="N43" t="s">
        <v>419</v>
      </c>
      <c r="O43" t="s">
        <v>283</v>
      </c>
      <c r="P43">
        <v>1.9452816991817064E-2</v>
      </c>
      <c r="Q43" t="s">
        <v>251</v>
      </c>
      <c r="S43" t="s">
        <v>420</v>
      </c>
      <c r="T43" t="s">
        <v>283</v>
      </c>
      <c r="U43">
        <v>1.3991670967335374E-2</v>
      </c>
      <c r="V43" t="s">
        <v>251</v>
      </c>
      <c r="X43">
        <v>1.643835616438356E-2</v>
      </c>
      <c r="Y43">
        <v>3.5163960917882816E-3</v>
      </c>
      <c r="Z43" t="s">
        <v>283</v>
      </c>
      <c r="AA43" t="s">
        <v>25</v>
      </c>
      <c r="AC43" t="s">
        <v>22</v>
      </c>
      <c r="AD43" t="s">
        <v>283</v>
      </c>
      <c r="AE43">
        <v>1.7952263081939455E-2</v>
      </c>
      <c r="AG43" t="s">
        <v>99</v>
      </c>
      <c r="AH43" t="s">
        <v>283</v>
      </c>
      <c r="AI43">
        <v>7.2489331777557897E-2</v>
      </c>
    </row>
    <row r="44" spans="5:35" x14ac:dyDescent="0.45">
      <c r="E44" t="s">
        <v>1343</v>
      </c>
      <c r="G44" t="s">
        <v>155</v>
      </c>
      <c r="I44" t="s">
        <v>249</v>
      </c>
      <c r="J44" t="s">
        <v>284</v>
      </c>
      <c r="K44">
        <v>0</v>
      </c>
      <c r="L44" t="s">
        <v>251</v>
      </c>
      <c r="N44" t="s">
        <v>419</v>
      </c>
      <c r="O44" t="s">
        <v>284</v>
      </c>
      <c r="P44">
        <v>3.1449990821093765E-3</v>
      </c>
      <c r="Q44" t="s">
        <v>251</v>
      </c>
      <c r="S44" t="s">
        <v>420</v>
      </c>
      <c r="T44" t="s">
        <v>284</v>
      </c>
      <c r="U44">
        <v>2.1541292449213999E-3</v>
      </c>
      <c r="V44" t="s">
        <v>251</v>
      </c>
      <c r="X44">
        <v>2.7397260273972603E-3</v>
      </c>
      <c r="Y44">
        <v>4.0573801059095556E-3</v>
      </c>
      <c r="Z44" t="s">
        <v>284</v>
      </c>
      <c r="AA44" t="s">
        <v>25</v>
      </c>
      <c r="AC44" t="s">
        <v>22</v>
      </c>
      <c r="AD44" t="s">
        <v>284</v>
      </c>
      <c r="AE44">
        <v>2.9903431911010641E-3</v>
      </c>
      <c r="AG44" t="s">
        <v>99</v>
      </c>
      <c r="AH44" t="s">
        <v>284</v>
      </c>
      <c r="AI44">
        <v>6.1358860238595492E-2</v>
      </c>
    </row>
    <row r="45" spans="5:35" x14ac:dyDescent="0.45">
      <c r="E45" t="s">
        <v>1344</v>
      </c>
      <c r="G45" t="s">
        <v>155</v>
      </c>
      <c r="I45" t="s">
        <v>249</v>
      </c>
      <c r="J45" t="s">
        <v>285</v>
      </c>
      <c r="K45">
        <v>1.560030814631772E-3</v>
      </c>
      <c r="L45" t="s">
        <v>251</v>
      </c>
      <c r="N45" t="s">
        <v>419</v>
      </c>
      <c r="O45" t="s">
        <v>285</v>
      </c>
      <c r="P45">
        <v>3.0580743838868577E-3</v>
      </c>
      <c r="Q45" t="s">
        <v>251</v>
      </c>
      <c r="S45" t="s">
        <v>420</v>
      </c>
      <c r="T45" t="s">
        <v>285</v>
      </c>
      <c r="U45">
        <v>2.1156886964398148E-3</v>
      </c>
      <c r="V45" t="s">
        <v>251</v>
      </c>
      <c r="X45">
        <v>2.7397260273972603E-3</v>
      </c>
      <c r="Y45">
        <v>4.5744971782313605E-3</v>
      </c>
      <c r="Z45" t="s">
        <v>285</v>
      </c>
      <c r="AA45" t="s">
        <v>25</v>
      </c>
      <c r="AC45" t="s">
        <v>22</v>
      </c>
      <c r="AD45" t="s">
        <v>285</v>
      </c>
      <c r="AE45">
        <v>3.0312959379865693E-3</v>
      </c>
      <c r="AG45" t="s">
        <v>99</v>
      </c>
      <c r="AH45" t="s">
        <v>285</v>
      </c>
      <c r="AI45">
        <v>5.0430936076825583E-2</v>
      </c>
    </row>
    <row r="46" spans="5:35" x14ac:dyDescent="0.45">
      <c r="E46" t="s">
        <v>1345</v>
      </c>
      <c r="G46" t="s">
        <v>155</v>
      </c>
      <c r="I46" t="s">
        <v>249</v>
      </c>
      <c r="J46" t="s">
        <v>286</v>
      </c>
      <c r="K46">
        <v>2.8068453761397171E-2</v>
      </c>
      <c r="L46" t="s">
        <v>251</v>
      </c>
      <c r="N46" t="s">
        <v>419</v>
      </c>
      <c r="O46" t="s">
        <v>286</v>
      </c>
      <c r="P46">
        <v>1.3718257208797248E-2</v>
      </c>
      <c r="Q46" t="s">
        <v>251</v>
      </c>
      <c r="S46" t="s">
        <v>420</v>
      </c>
      <c r="T46" t="s">
        <v>286</v>
      </c>
      <c r="U46">
        <v>1.2463216906813842E-2</v>
      </c>
      <c r="V46" t="s">
        <v>251</v>
      </c>
      <c r="X46">
        <v>1.643835616438356E-2</v>
      </c>
      <c r="Y46">
        <v>2.0716505481938197E-2</v>
      </c>
      <c r="Z46" t="s">
        <v>286</v>
      </c>
      <c r="AA46" t="s">
        <v>25</v>
      </c>
      <c r="AC46" t="s">
        <v>22</v>
      </c>
      <c r="AD46" t="s">
        <v>286</v>
      </c>
      <c r="AE46">
        <v>1.7872108876544349E-2</v>
      </c>
      <c r="AG46" t="s">
        <v>99</v>
      </c>
      <c r="AH46" t="s">
        <v>286</v>
      </c>
      <c r="AI46">
        <v>0.11364265032587295</v>
      </c>
    </row>
    <row r="47" spans="5:35" x14ac:dyDescent="0.45">
      <c r="E47" t="s">
        <v>1346</v>
      </c>
      <c r="G47" t="s">
        <v>155</v>
      </c>
      <c r="I47" t="s">
        <v>249</v>
      </c>
      <c r="J47" t="s">
        <v>287</v>
      </c>
      <c r="K47">
        <v>1.2248871437902655E-2</v>
      </c>
      <c r="L47" t="s">
        <v>251</v>
      </c>
      <c r="N47" t="s">
        <v>419</v>
      </c>
      <c r="O47" t="s">
        <v>287</v>
      </c>
      <c r="P47">
        <v>6.0185270605368144E-3</v>
      </c>
      <c r="Q47" t="s">
        <v>251</v>
      </c>
      <c r="S47" t="s">
        <v>420</v>
      </c>
      <c r="T47" t="s">
        <v>287</v>
      </c>
      <c r="U47">
        <v>6.289468962186455E-3</v>
      </c>
      <c r="V47" t="s">
        <v>251</v>
      </c>
      <c r="X47">
        <v>8.21917808219178E-3</v>
      </c>
      <c r="Y47">
        <v>1.3079084106108448E-2</v>
      </c>
      <c r="Z47" t="s">
        <v>287</v>
      </c>
      <c r="AA47" t="s">
        <v>25</v>
      </c>
      <c r="AC47" t="s">
        <v>22</v>
      </c>
      <c r="AD47" t="s">
        <v>287</v>
      </c>
      <c r="AE47">
        <v>6.6017865847590616E-3</v>
      </c>
      <c r="AG47" t="s">
        <v>99</v>
      </c>
      <c r="AH47" t="s">
        <v>287</v>
      </c>
      <c r="AI47">
        <v>9.2454642786674812E-2</v>
      </c>
    </row>
    <row r="48" spans="5:35" x14ac:dyDescent="0.45">
      <c r="E48" t="s">
        <v>1347</v>
      </c>
      <c r="G48" t="s">
        <v>155</v>
      </c>
      <c r="I48" t="s">
        <v>249</v>
      </c>
      <c r="J48" t="s">
        <v>288</v>
      </c>
      <c r="K48">
        <v>2.9156164249753386E-3</v>
      </c>
      <c r="L48" t="s">
        <v>251</v>
      </c>
      <c r="N48" t="s">
        <v>419</v>
      </c>
      <c r="O48" t="s">
        <v>288</v>
      </c>
      <c r="P48">
        <v>2.0704064576592871E-3</v>
      </c>
      <c r="Q48" t="s">
        <v>251</v>
      </c>
      <c r="S48" t="s">
        <v>420</v>
      </c>
      <c r="T48" t="s">
        <v>288</v>
      </c>
      <c r="U48">
        <v>2.2324988042672048E-3</v>
      </c>
      <c r="V48" t="s">
        <v>251</v>
      </c>
      <c r="X48">
        <v>2.7397260273972603E-3</v>
      </c>
      <c r="Y48">
        <v>5.3302836685478472E-3</v>
      </c>
      <c r="Z48" t="s">
        <v>288</v>
      </c>
      <c r="AA48" t="s">
        <v>25</v>
      </c>
      <c r="AC48" t="s">
        <v>22</v>
      </c>
      <c r="AD48" t="s">
        <v>288</v>
      </c>
      <c r="AE48">
        <v>1.902274871267858E-3</v>
      </c>
      <c r="AG48" t="s">
        <v>99</v>
      </c>
      <c r="AH48" t="s">
        <v>288</v>
      </c>
      <c r="AI48">
        <v>1.0374265486164935E-2</v>
      </c>
    </row>
    <row r="49" spans="5:35" x14ac:dyDescent="0.45">
      <c r="E49" t="s">
        <v>1348</v>
      </c>
      <c r="G49" t="s">
        <v>155</v>
      </c>
      <c r="I49" t="s">
        <v>249</v>
      </c>
      <c r="J49" t="s">
        <v>289</v>
      </c>
      <c r="K49">
        <v>4.4195169969677957E-4</v>
      </c>
      <c r="L49" t="s">
        <v>251</v>
      </c>
      <c r="N49" t="s">
        <v>419</v>
      </c>
      <c r="O49" t="s">
        <v>289</v>
      </c>
      <c r="P49">
        <v>2.3473613527375341E-3</v>
      </c>
      <c r="Q49" t="s">
        <v>251</v>
      </c>
      <c r="S49" t="s">
        <v>420</v>
      </c>
      <c r="T49" t="s">
        <v>289</v>
      </c>
      <c r="U49">
        <v>2.2829317771128543E-3</v>
      </c>
      <c r="V49" t="s">
        <v>251</v>
      </c>
      <c r="X49">
        <v>2.7397260273972603E-3</v>
      </c>
      <c r="Y49">
        <v>4.1369365785744487E-3</v>
      </c>
      <c r="Z49" t="s">
        <v>289</v>
      </c>
      <c r="AA49" t="s">
        <v>25</v>
      </c>
      <c r="AC49" t="s">
        <v>22</v>
      </c>
      <c r="AD49" t="s">
        <v>289</v>
      </c>
      <c r="AE49">
        <v>1.9222657685111677E-3</v>
      </c>
      <c r="AG49" t="s">
        <v>99</v>
      </c>
      <c r="AH49" t="s">
        <v>289</v>
      </c>
      <c r="AI49">
        <v>1.3007598116828722E-2</v>
      </c>
    </row>
    <row r="50" spans="5:35" x14ac:dyDescent="0.45">
      <c r="E50" t="s">
        <v>1349</v>
      </c>
      <c r="G50" t="s">
        <v>155</v>
      </c>
      <c r="I50" t="s">
        <v>249</v>
      </c>
      <c r="J50" t="s">
        <v>290</v>
      </c>
      <c r="K50">
        <v>0</v>
      </c>
      <c r="L50" t="s">
        <v>251</v>
      </c>
      <c r="N50" t="s">
        <v>419</v>
      </c>
      <c r="O50" t="s">
        <v>290</v>
      </c>
      <c r="P50">
        <v>1.5269179030948094E-2</v>
      </c>
      <c r="Q50" t="s">
        <v>251</v>
      </c>
      <c r="S50" t="s">
        <v>420</v>
      </c>
      <c r="T50" t="s">
        <v>290</v>
      </c>
      <c r="U50">
        <v>1.2041068772588962E-2</v>
      </c>
      <c r="V50" t="s">
        <v>251</v>
      </c>
      <c r="X50">
        <v>1.3698630136986301E-2</v>
      </c>
      <c r="Y50">
        <v>1.0342341446436119E-2</v>
      </c>
      <c r="Z50" t="s">
        <v>290</v>
      </c>
      <c r="AA50" t="s">
        <v>25</v>
      </c>
      <c r="AC50" t="s">
        <v>22</v>
      </c>
      <c r="AD50" t="s">
        <v>290</v>
      </c>
      <c r="AE50">
        <v>1.2521171917041373E-2</v>
      </c>
      <c r="AG50" t="s">
        <v>99</v>
      </c>
      <c r="AH50" t="s">
        <v>290</v>
      </c>
      <c r="AI50">
        <v>0.22286406535424685</v>
      </c>
    </row>
    <row r="51" spans="5:35" x14ac:dyDescent="0.45">
      <c r="E51" t="s">
        <v>1350</v>
      </c>
      <c r="G51" t="s">
        <v>155</v>
      </c>
      <c r="I51" t="s">
        <v>249</v>
      </c>
      <c r="J51" t="s">
        <v>1574</v>
      </c>
      <c r="K51">
        <v>0</v>
      </c>
      <c r="L51" t="s">
        <v>251</v>
      </c>
      <c r="N51" t="s">
        <v>419</v>
      </c>
      <c r="O51" t="s">
        <v>1574</v>
      </c>
      <c r="P51">
        <v>1.3420059583660001E-4</v>
      </c>
      <c r="Q51" t="s">
        <v>251</v>
      </c>
      <c r="S51" t="s">
        <v>420</v>
      </c>
      <c r="T51" t="s">
        <v>1574</v>
      </c>
      <c r="U51">
        <v>4.8924194221229866E-5</v>
      </c>
      <c r="V51" t="s">
        <v>251</v>
      </c>
      <c r="X51">
        <v>1.1415525114155251E-4</v>
      </c>
      <c r="Y51">
        <v>2.1546544680075254E-5</v>
      </c>
      <c r="Z51" t="s">
        <v>1574</v>
      </c>
      <c r="AA51" t="s">
        <v>25</v>
      </c>
      <c r="AC51" t="s">
        <v>22</v>
      </c>
      <c r="AD51" t="s">
        <v>1574</v>
      </c>
      <c r="AE51">
        <v>1.3529449044903831E-4</v>
      </c>
      <c r="AG51" t="s">
        <v>99</v>
      </c>
      <c r="AH51" t="s">
        <v>1574</v>
      </c>
      <c r="AI51">
        <v>0</v>
      </c>
    </row>
    <row r="52" spans="5:35" x14ac:dyDescent="0.45">
      <c r="E52" t="s">
        <v>1351</v>
      </c>
      <c r="G52" t="s">
        <v>155</v>
      </c>
      <c r="I52" t="s">
        <v>249</v>
      </c>
      <c r="J52" t="s">
        <v>1575</v>
      </c>
      <c r="K52">
        <v>0</v>
      </c>
      <c r="L52" t="s">
        <v>251</v>
      </c>
      <c r="N52" t="s">
        <v>419</v>
      </c>
      <c r="O52" t="s">
        <v>1575</v>
      </c>
      <c r="P52">
        <v>1.2411620958980001E-4</v>
      </c>
      <c r="Q52" t="s">
        <v>251</v>
      </c>
      <c r="S52" t="s">
        <v>420</v>
      </c>
      <c r="T52" t="s">
        <v>1575</v>
      </c>
      <c r="U52">
        <v>4.4478926062982202E-5</v>
      </c>
      <c r="V52" t="s">
        <v>251</v>
      </c>
      <c r="X52">
        <v>1.1415525114155251E-4</v>
      </c>
      <c r="Y52">
        <v>1.4916838624667481E-5</v>
      </c>
      <c r="Z52" t="s">
        <v>1575</v>
      </c>
      <c r="AA52" t="s">
        <v>25</v>
      </c>
      <c r="AC52" t="s">
        <v>22</v>
      </c>
      <c r="AD52" t="s">
        <v>1575</v>
      </c>
      <c r="AE52">
        <v>1.3192296248726437E-4</v>
      </c>
      <c r="AG52" t="s">
        <v>99</v>
      </c>
      <c r="AH52" t="s">
        <v>1575</v>
      </c>
      <c r="AI52">
        <v>0</v>
      </c>
    </row>
    <row r="53" spans="5:35" x14ac:dyDescent="0.45">
      <c r="E53" t="s">
        <v>1352</v>
      </c>
      <c r="G53" t="s">
        <v>155</v>
      </c>
      <c r="I53" t="s">
        <v>249</v>
      </c>
      <c r="J53" t="s">
        <v>1576</v>
      </c>
      <c r="K53">
        <v>0</v>
      </c>
      <c r="L53" t="s">
        <v>251</v>
      </c>
      <c r="N53" t="s">
        <v>419</v>
      </c>
      <c r="O53" t="s">
        <v>1576</v>
      </c>
      <c r="P53">
        <v>1.2021826847490001E-4</v>
      </c>
      <c r="Q53" t="s">
        <v>251</v>
      </c>
      <c r="S53" t="s">
        <v>420</v>
      </c>
      <c r="T53" t="s">
        <v>1576</v>
      </c>
      <c r="U53">
        <v>4.1429861928085213E-5</v>
      </c>
      <c r="V53" t="s">
        <v>251</v>
      </c>
      <c r="X53">
        <v>1.1415525114155251E-4</v>
      </c>
      <c r="Y53">
        <v>1.6574265138519424E-5</v>
      </c>
      <c r="Z53" t="s">
        <v>1576</v>
      </c>
      <c r="AA53" t="s">
        <v>25</v>
      </c>
      <c r="AC53" t="s">
        <v>22</v>
      </c>
      <c r="AD53" t="s">
        <v>1576</v>
      </c>
      <c r="AE53">
        <v>1.3152385935398013E-4</v>
      </c>
      <c r="AG53" t="s">
        <v>99</v>
      </c>
      <c r="AH53" t="s">
        <v>1576</v>
      </c>
      <c r="AI53">
        <v>0</v>
      </c>
    </row>
    <row r="54" spans="5:35" x14ac:dyDescent="0.45">
      <c r="E54" t="s">
        <v>1353</v>
      </c>
      <c r="G54" t="s">
        <v>155</v>
      </c>
      <c r="I54" t="s">
        <v>249</v>
      </c>
      <c r="J54" t="s">
        <v>1577</v>
      </c>
      <c r="K54">
        <v>0</v>
      </c>
      <c r="L54" t="s">
        <v>251</v>
      </c>
      <c r="N54" t="s">
        <v>419</v>
      </c>
      <c r="O54" t="s">
        <v>1577</v>
      </c>
      <c r="P54">
        <v>1.185117570853E-4</v>
      </c>
      <c r="Q54" t="s">
        <v>251</v>
      </c>
      <c r="S54" t="s">
        <v>420</v>
      </c>
      <c r="T54" t="s">
        <v>1577</v>
      </c>
      <c r="U54">
        <v>3.8780877339127432E-5</v>
      </c>
      <c r="V54" t="s">
        <v>251</v>
      </c>
      <c r="X54">
        <v>1.1415525114155251E-4</v>
      </c>
      <c r="Y54">
        <v>1.4585353321897093E-5</v>
      </c>
      <c r="Z54" t="s">
        <v>1577</v>
      </c>
      <c r="AA54" t="s">
        <v>25</v>
      </c>
      <c r="AC54" t="s">
        <v>22</v>
      </c>
      <c r="AD54" t="s">
        <v>1577</v>
      </c>
      <c r="AE54">
        <v>1.3152385935398013E-4</v>
      </c>
      <c r="AG54" t="s">
        <v>99</v>
      </c>
      <c r="AH54" t="s">
        <v>1577</v>
      </c>
      <c r="AI54">
        <v>0</v>
      </c>
    </row>
    <row r="55" spans="5:35" x14ac:dyDescent="0.45">
      <c r="E55" t="s">
        <v>1354</v>
      </c>
      <c r="G55" t="s">
        <v>155</v>
      </c>
      <c r="I55" t="s">
        <v>249</v>
      </c>
      <c r="J55" t="s">
        <v>1578</v>
      </c>
      <c r="K55">
        <v>0</v>
      </c>
      <c r="L55" t="s">
        <v>251</v>
      </c>
      <c r="N55" t="s">
        <v>419</v>
      </c>
      <c r="O55" t="s">
        <v>1578</v>
      </c>
      <c r="P55">
        <v>1.120770613935E-4</v>
      </c>
      <c r="Q55" t="s">
        <v>251</v>
      </c>
      <c r="S55" t="s">
        <v>420</v>
      </c>
      <c r="T55" t="s">
        <v>1578</v>
      </c>
      <c r="U55">
        <v>3.904615733143097E-5</v>
      </c>
      <c r="V55" t="s">
        <v>251</v>
      </c>
      <c r="X55">
        <v>1.1415525114155251E-4</v>
      </c>
      <c r="Y55">
        <v>2.1215059377304864E-5</v>
      </c>
      <c r="Z55" t="s">
        <v>1578</v>
      </c>
      <c r="AA55" t="s">
        <v>25</v>
      </c>
      <c r="AC55" t="s">
        <v>22</v>
      </c>
      <c r="AD55" t="s">
        <v>1578</v>
      </c>
      <c r="AE55">
        <v>1.3111879945751261E-4</v>
      </c>
      <c r="AG55" t="s">
        <v>99</v>
      </c>
      <c r="AH55" t="s">
        <v>1578</v>
      </c>
      <c r="AI55">
        <v>0</v>
      </c>
    </row>
    <row r="56" spans="5:35" x14ac:dyDescent="0.45">
      <c r="E56" t="s">
        <v>1355</v>
      </c>
      <c r="G56" t="s">
        <v>155</v>
      </c>
      <c r="I56" t="s">
        <v>249</v>
      </c>
      <c r="J56" t="s">
        <v>1579</v>
      </c>
      <c r="K56">
        <v>0</v>
      </c>
      <c r="L56" t="s">
        <v>251</v>
      </c>
      <c r="N56" t="s">
        <v>419</v>
      </c>
      <c r="O56" t="s">
        <v>1579</v>
      </c>
      <c r="P56">
        <v>1.049261064353E-4</v>
      </c>
      <c r="Q56" t="s">
        <v>251</v>
      </c>
      <c r="S56" t="s">
        <v>420</v>
      </c>
      <c r="T56" t="s">
        <v>1579</v>
      </c>
      <c r="U56">
        <v>4.0082788178570797E-5</v>
      </c>
      <c r="V56" t="s">
        <v>251</v>
      </c>
      <c r="X56">
        <v>1.1415525114155251E-4</v>
      </c>
      <c r="Y56">
        <v>5.7678442682047593E-5</v>
      </c>
      <c r="Z56" t="s">
        <v>1579</v>
      </c>
      <c r="AA56" t="s">
        <v>25</v>
      </c>
      <c r="AC56" t="s">
        <v>22</v>
      </c>
      <c r="AD56" t="s">
        <v>1579</v>
      </c>
      <c r="AE56">
        <v>1.3111879945751261E-4</v>
      </c>
      <c r="AG56" t="s">
        <v>99</v>
      </c>
      <c r="AH56" t="s">
        <v>1579</v>
      </c>
      <c r="AI56">
        <v>0</v>
      </c>
    </row>
    <row r="57" spans="5:35" x14ac:dyDescent="0.45">
      <c r="E57" t="s">
        <v>1356</v>
      </c>
      <c r="G57" t="s">
        <v>155</v>
      </c>
      <c r="I57" t="s">
        <v>249</v>
      </c>
      <c r="J57" t="s">
        <v>1580</v>
      </c>
      <c r="K57">
        <v>0</v>
      </c>
      <c r="L57" t="s">
        <v>251</v>
      </c>
      <c r="N57" t="s">
        <v>419</v>
      </c>
      <c r="O57" t="s">
        <v>1580</v>
      </c>
      <c r="P57">
        <v>1.001313538732E-4</v>
      </c>
      <c r="Q57" t="s">
        <v>251</v>
      </c>
      <c r="S57" t="s">
        <v>420</v>
      </c>
      <c r="T57" t="s">
        <v>1580</v>
      </c>
      <c r="U57">
        <v>3.3130698201370332E-5</v>
      </c>
      <c r="V57" t="s">
        <v>251</v>
      </c>
      <c r="X57">
        <v>1.1415525114155251E-4</v>
      </c>
      <c r="Y57">
        <v>1.6905750441289813E-4</v>
      </c>
      <c r="Z57" t="s">
        <v>1580</v>
      </c>
      <c r="AA57" t="s">
        <v>25</v>
      </c>
      <c r="AC57" t="s">
        <v>22</v>
      </c>
      <c r="AD57" t="s">
        <v>1580</v>
      </c>
      <c r="AE57">
        <v>1.3133324293211309E-4</v>
      </c>
      <c r="AG57" t="s">
        <v>99</v>
      </c>
      <c r="AH57" t="s">
        <v>1580</v>
      </c>
      <c r="AI57">
        <v>0</v>
      </c>
    </row>
    <row r="58" spans="5:35" x14ac:dyDescent="0.45">
      <c r="E58" t="s">
        <v>1357</v>
      </c>
      <c r="G58" t="s">
        <v>155</v>
      </c>
      <c r="I58" t="s">
        <v>249</v>
      </c>
      <c r="J58" t="s">
        <v>1581</v>
      </c>
      <c r="K58">
        <v>4.1086826431466202E-5</v>
      </c>
      <c r="L58" t="s">
        <v>251</v>
      </c>
      <c r="N58" t="s">
        <v>419</v>
      </c>
      <c r="O58" t="s">
        <v>1581</v>
      </c>
      <c r="P58">
        <v>9.9200945732793767E-5</v>
      </c>
      <c r="Q58" t="s">
        <v>251</v>
      </c>
      <c r="S58" t="s">
        <v>420</v>
      </c>
      <c r="T58" t="s">
        <v>1581</v>
      </c>
      <c r="U58">
        <v>2.2294458210501924E-5</v>
      </c>
      <c r="V58" t="s">
        <v>251</v>
      </c>
      <c r="X58">
        <v>1.1415525114155251E-4</v>
      </c>
      <c r="Y58">
        <v>1.9060404909297337E-4</v>
      </c>
      <c r="Z58" t="s">
        <v>1581</v>
      </c>
      <c r="AA58" t="s">
        <v>25</v>
      </c>
      <c r="AC58" t="s">
        <v>22</v>
      </c>
      <c r="AD58" t="s">
        <v>1581</v>
      </c>
      <c r="AE58">
        <v>1.3290582841251648E-4</v>
      </c>
      <c r="AG58" t="s">
        <v>99</v>
      </c>
      <c r="AH58" t="s">
        <v>1581</v>
      </c>
      <c r="AI58">
        <v>0</v>
      </c>
    </row>
    <row r="59" spans="5:35" x14ac:dyDescent="0.45">
      <c r="E59" t="s">
        <v>1358</v>
      </c>
      <c r="G59" t="s">
        <v>155</v>
      </c>
      <c r="I59" t="s">
        <v>249</v>
      </c>
      <c r="J59" t="s">
        <v>1582</v>
      </c>
      <c r="K59">
        <v>7.7933719821852732E-5</v>
      </c>
      <c r="L59" t="s">
        <v>251</v>
      </c>
      <c r="N59" t="s">
        <v>419</v>
      </c>
      <c r="O59" t="s">
        <v>1582</v>
      </c>
      <c r="P59">
        <v>8.194115153067945E-5</v>
      </c>
      <c r="Q59" t="s">
        <v>251</v>
      </c>
      <c r="S59" t="s">
        <v>420</v>
      </c>
      <c r="T59" t="s">
        <v>1582</v>
      </c>
      <c r="U59">
        <v>4.0264423536034043E-5</v>
      </c>
      <c r="V59" t="s">
        <v>251</v>
      </c>
      <c r="X59">
        <v>1.1415525114155251E-4</v>
      </c>
      <c r="Y59">
        <v>1.4585353321897094E-4</v>
      </c>
      <c r="Z59" t="s">
        <v>1582</v>
      </c>
      <c r="AA59" t="s">
        <v>25</v>
      </c>
      <c r="AC59" t="s">
        <v>22</v>
      </c>
      <c r="AD59" t="s">
        <v>1582</v>
      </c>
      <c r="AE59">
        <v>1.3322153686123384E-4</v>
      </c>
      <c r="AG59" t="s">
        <v>99</v>
      </c>
      <c r="AH59" t="s">
        <v>1582</v>
      </c>
      <c r="AI59">
        <v>0</v>
      </c>
    </row>
    <row r="60" spans="5:35" x14ac:dyDescent="0.45">
      <c r="E60" t="s">
        <v>1359</v>
      </c>
      <c r="G60" t="s">
        <v>155</v>
      </c>
      <c r="I60" t="s">
        <v>249</v>
      </c>
      <c r="J60" t="s">
        <v>1583</v>
      </c>
      <c r="K60">
        <v>8.8022255348996009E-5</v>
      </c>
      <c r="L60" t="s">
        <v>251</v>
      </c>
      <c r="N60" t="s">
        <v>419</v>
      </c>
      <c r="O60" t="s">
        <v>1583</v>
      </c>
      <c r="P60">
        <v>7.2133603447139299E-5</v>
      </c>
      <c r="Q60" t="s">
        <v>251</v>
      </c>
      <c r="S60" t="s">
        <v>420</v>
      </c>
      <c r="T60" t="s">
        <v>1583</v>
      </c>
      <c r="U60">
        <v>3.6526600836927197E-5</v>
      </c>
      <c r="V60" t="s">
        <v>251</v>
      </c>
      <c r="X60">
        <v>1.1415525114155251E-4</v>
      </c>
      <c r="Y60">
        <v>1.4452759200788939E-4</v>
      </c>
      <c r="Z60" t="s">
        <v>1583</v>
      </c>
      <c r="AA60" t="s">
        <v>25</v>
      </c>
      <c r="AC60" t="s">
        <v>22</v>
      </c>
      <c r="AD60" t="s">
        <v>1583</v>
      </c>
      <c r="AE60">
        <v>1.3415674868101919E-4</v>
      </c>
      <c r="AG60" t="s">
        <v>99</v>
      </c>
      <c r="AH60" t="s">
        <v>1583</v>
      </c>
      <c r="AI60">
        <v>0</v>
      </c>
    </row>
    <row r="61" spans="5:35" x14ac:dyDescent="0.45">
      <c r="E61" t="s">
        <v>1360</v>
      </c>
      <c r="G61" t="s">
        <v>155</v>
      </c>
      <c r="I61" t="s">
        <v>249</v>
      </c>
      <c r="J61" t="s">
        <v>1584</v>
      </c>
      <c r="K61">
        <v>9.4974760018876259E-5</v>
      </c>
      <c r="L61" t="s">
        <v>251</v>
      </c>
      <c r="N61" t="s">
        <v>419</v>
      </c>
      <c r="O61" t="s">
        <v>1584</v>
      </c>
      <c r="P61">
        <v>8.0052258723966457E-5</v>
      </c>
      <c r="Q61" t="s">
        <v>251</v>
      </c>
      <c r="S61" t="s">
        <v>420</v>
      </c>
      <c r="T61" t="s">
        <v>1584</v>
      </c>
      <c r="U61">
        <v>3.8045757916209542E-5</v>
      </c>
      <c r="V61" t="s">
        <v>251</v>
      </c>
      <c r="X61">
        <v>1.1415525114155251E-4</v>
      </c>
      <c r="Y61">
        <v>1.408812536774151E-4</v>
      </c>
      <c r="Z61" t="s">
        <v>1584</v>
      </c>
      <c r="AA61" t="s">
        <v>25</v>
      </c>
      <c r="AC61" t="s">
        <v>22</v>
      </c>
      <c r="AD61" t="s">
        <v>1584</v>
      </c>
      <c r="AE61">
        <v>1.3450224094565326E-4</v>
      </c>
      <c r="AG61" t="s">
        <v>99</v>
      </c>
      <c r="AH61" t="s">
        <v>1584</v>
      </c>
      <c r="AI61">
        <v>0</v>
      </c>
    </row>
    <row r="62" spans="5:35" x14ac:dyDescent="0.45">
      <c r="E62" t="s">
        <v>1361</v>
      </c>
      <c r="G62" t="s">
        <v>155</v>
      </c>
      <c r="I62" t="s">
        <v>249</v>
      </c>
      <c r="J62" t="s">
        <v>1585</v>
      </c>
      <c r="K62">
        <v>1.104999890349E-4</v>
      </c>
      <c r="L62" t="s">
        <v>251</v>
      </c>
      <c r="N62" t="s">
        <v>419</v>
      </c>
      <c r="O62" t="s">
        <v>1585</v>
      </c>
      <c r="P62">
        <v>8.3369624636098915E-5</v>
      </c>
      <c r="Q62" t="s">
        <v>251</v>
      </c>
      <c r="S62" t="s">
        <v>420</v>
      </c>
      <c r="T62" t="s">
        <v>1585</v>
      </c>
      <c r="U62">
        <v>3.9112958616467131E-5</v>
      </c>
      <c r="V62" t="s">
        <v>251</v>
      </c>
      <c r="X62">
        <v>1.1415525114155251E-4</v>
      </c>
      <c r="Y62">
        <v>1.4054976837464471E-4</v>
      </c>
      <c r="Z62" t="s">
        <v>1585</v>
      </c>
      <c r="AA62" t="s">
        <v>25</v>
      </c>
      <c r="AC62" t="s">
        <v>22</v>
      </c>
      <c r="AD62" t="s">
        <v>1585</v>
      </c>
      <c r="AE62">
        <v>1.3113666974706265E-4</v>
      </c>
      <c r="AG62" t="s">
        <v>99</v>
      </c>
      <c r="AH62" t="s">
        <v>1585</v>
      </c>
      <c r="AI62">
        <v>0</v>
      </c>
    </row>
    <row r="63" spans="5:35" x14ac:dyDescent="0.45">
      <c r="E63" t="s">
        <v>1362</v>
      </c>
      <c r="G63" t="s">
        <v>155</v>
      </c>
      <c r="I63" t="s">
        <v>249</v>
      </c>
      <c r="J63" t="s">
        <v>1586</v>
      </c>
      <c r="K63">
        <v>1.2860728100319999E-4</v>
      </c>
      <c r="L63" t="s">
        <v>251</v>
      </c>
      <c r="N63" t="s">
        <v>419</v>
      </c>
      <c r="O63" t="s">
        <v>1586</v>
      </c>
      <c r="P63">
        <v>7.7921692255875996E-5</v>
      </c>
      <c r="Q63" t="s">
        <v>251</v>
      </c>
      <c r="S63" t="s">
        <v>420</v>
      </c>
      <c r="T63" t="s">
        <v>1586</v>
      </c>
      <c r="U63">
        <v>4.7639175387781842E-5</v>
      </c>
      <c r="V63" t="s">
        <v>251</v>
      </c>
      <c r="X63">
        <v>1.1415525114155251E-4</v>
      </c>
      <c r="Y63">
        <v>1.4253868019126702E-4</v>
      </c>
      <c r="Z63" t="s">
        <v>1586</v>
      </c>
      <c r="AA63" t="s">
        <v>25</v>
      </c>
      <c r="AC63" t="s">
        <v>22</v>
      </c>
      <c r="AD63" t="s">
        <v>1586</v>
      </c>
      <c r="AE63">
        <v>1.2718137899332075E-4</v>
      </c>
      <c r="AG63" t="s">
        <v>99</v>
      </c>
      <c r="AH63" t="s">
        <v>1586</v>
      </c>
      <c r="AI63">
        <v>0</v>
      </c>
    </row>
    <row r="64" spans="5:35" x14ac:dyDescent="0.45">
      <c r="E64" t="s">
        <v>1363</v>
      </c>
      <c r="G64" t="s">
        <v>155</v>
      </c>
      <c r="I64" t="s">
        <v>249</v>
      </c>
      <c r="J64" t="s">
        <v>1587</v>
      </c>
      <c r="K64">
        <v>1.116923700687E-4</v>
      </c>
      <c r="L64" t="s">
        <v>251</v>
      </c>
      <c r="N64" t="s">
        <v>419</v>
      </c>
      <c r="O64" t="s">
        <v>1587</v>
      </c>
      <c r="P64">
        <v>7.1214221059411295E-5</v>
      </c>
      <c r="Q64" t="s">
        <v>251</v>
      </c>
      <c r="S64" t="s">
        <v>420</v>
      </c>
      <c r="T64" t="s">
        <v>1587</v>
      </c>
      <c r="U64">
        <v>5.9974156474087416E-5</v>
      </c>
      <c r="V64" t="s">
        <v>251</v>
      </c>
      <c r="X64">
        <v>1.1415525114155251E-4</v>
      </c>
      <c r="Y64">
        <v>1.4883690094390442E-4</v>
      </c>
      <c r="Z64" t="s">
        <v>1587</v>
      </c>
      <c r="AA64" t="s">
        <v>25</v>
      </c>
      <c r="AC64" t="s">
        <v>22</v>
      </c>
      <c r="AD64" t="s">
        <v>1587</v>
      </c>
      <c r="AE64">
        <v>1.1497001446746098E-4</v>
      </c>
      <c r="AG64" t="s">
        <v>99</v>
      </c>
      <c r="AH64" t="s">
        <v>1587</v>
      </c>
      <c r="AI64">
        <v>0</v>
      </c>
    </row>
    <row r="65" spans="5:35" x14ac:dyDescent="0.45">
      <c r="E65" t="s">
        <v>1364</v>
      </c>
      <c r="G65" t="s">
        <v>155</v>
      </c>
      <c r="I65" t="s">
        <v>249</v>
      </c>
      <c r="J65" t="s">
        <v>1588</v>
      </c>
      <c r="K65">
        <v>9.345096338755206E-5</v>
      </c>
      <c r="L65" t="s">
        <v>251</v>
      </c>
      <c r="N65" t="s">
        <v>419</v>
      </c>
      <c r="O65" t="s">
        <v>1588</v>
      </c>
      <c r="P65">
        <v>6.3506552384384475E-5</v>
      </c>
      <c r="Q65" t="s">
        <v>251</v>
      </c>
      <c r="S65" t="s">
        <v>420</v>
      </c>
      <c r="T65" t="s">
        <v>1588</v>
      </c>
      <c r="U65">
        <v>6.6537612781267626E-5</v>
      </c>
      <c r="V65" t="s">
        <v>251</v>
      </c>
      <c r="X65">
        <v>1.1415525114155251E-4</v>
      </c>
      <c r="Y65">
        <v>1.5049432745775637E-4</v>
      </c>
      <c r="Z65" t="s">
        <v>1588</v>
      </c>
      <c r="AA65" t="s">
        <v>25</v>
      </c>
      <c r="AC65" t="s">
        <v>22</v>
      </c>
      <c r="AD65" t="s">
        <v>1588</v>
      </c>
      <c r="AE65">
        <v>1.0452185184387167E-4</v>
      </c>
      <c r="AG65" t="s">
        <v>99</v>
      </c>
      <c r="AH65" t="s">
        <v>1588</v>
      </c>
      <c r="AI65">
        <v>0</v>
      </c>
    </row>
    <row r="66" spans="5:35" x14ac:dyDescent="0.45">
      <c r="E66" t="s">
        <v>1365</v>
      </c>
      <c r="G66" t="s">
        <v>155</v>
      </c>
      <c r="I66" t="s">
        <v>249</v>
      </c>
      <c r="J66" t="s">
        <v>1589</v>
      </c>
      <c r="K66">
        <v>8.1062763666634843E-5</v>
      </c>
      <c r="L66" t="s">
        <v>251</v>
      </c>
      <c r="N66" t="s">
        <v>419</v>
      </c>
      <c r="O66" t="s">
        <v>1589</v>
      </c>
      <c r="P66">
        <v>5.6255294304747601E-5</v>
      </c>
      <c r="Q66" t="s">
        <v>251</v>
      </c>
      <c r="S66" t="s">
        <v>420</v>
      </c>
      <c r="T66" t="s">
        <v>1589</v>
      </c>
      <c r="U66">
        <v>6.7610851821029699E-5</v>
      </c>
      <c r="V66" t="s">
        <v>251</v>
      </c>
      <c r="X66">
        <v>1.1415525114155251E-4</v>
      </c>
      <c r="Y66">
        <v>1.7237235744060203E-4</v>
      </c>
      <c r="Z66" t="s">
        <v>1589</v>
      </c>
      <c r="AA66" t="s">
        <v>25</v>
      </c>
      <c r="AC66" t="s">
        <v>22</v>
      </c>
      <c r="AD66" t="s">
        <v>1589</v>
      </c>
      <c r="AE66">
        <v>8.8575596802053833E-5</v>
      </c>
      <c r="AG66" t="s">
        <v>99</v>
      </c>
      <c r="AH66" t="s">
        <v>1589</v>
      </c>
      <c r="AI66">
        <v>0</v>
      </c>
    </row>
    <row r="67" spans="5:35" x14ac:dyDescent="0.45">
      <c r="E67" t="s">
        <v>1366</v>
      </c>
      <c r="G67" t="s">
        <v>155</v>
      </c>
      <c r="I67" t="s">
        <v>249</v>
      </c>
      <c r="J67" t="s">
        <v>1590</v>
      </c>
      <c r="K67">
        <v>6.4441857651801996E-5</v>
      </c>
      <c r="L67" t="s">
        <v>251</v>
      </c>
      <c r="N67" t="s">
        <v>419</v>
      </c>
      <c r="O67" t="s">
        <v>1590</v>
      </c>
      <c r="P67">
        <v>5.3123888011135917E-5</v>
      </c>
      <c r="Q67" t="s">
        <v>251</v>
      </c>
      <c r="S67" t="s">
        <v>420</v>
      </c>
      <c r="T67" t="s">
        <v>1590</v>
      </c>
      <c r="U67">
        <v>6.755957650368223E-5</v>
      </c>
      <c r="V67" t="s">
        <v>251</v>
      </c>
      <c r="X67">
        <v>1.1415525114155251E-4</v>
      </c>
      <c r="Y67">
        <v>2.2209515285616027E-4</v>
      </c>
      <c r="Z67" t="s">
        <v>1590</v>
      </c>
      <c r="AA67" t="s">
        <v>25</v>
      </c>
      <c r="AC67" t="s">
        <v>22</v>
      </c>
      <c r="AD67" t="s">
        <v>1590</v>
      </c>
      <c r="AE67">
        <v>8.4852619812462429E-5</v>
      </c>
      <c r="AG67" t="s">
        <v>99</v>
      </c>
      <c r="AH67" t="s">
        <v>1590</v>
      </c>
      <c r="AI67">
        <v>0</v>
      </c>
    </row>
    <row r="68" spans="5:35" x14ac:dyDescent="0.45">
      <c r="E68" t="s">
        <v>1367</v>
      </c>
      <c r="G68" t="s">
        <v>155</v>
      </c>
      <c r="I68" t="s">
        <v>249</v>
      </c>
      <c r="J68" t="s">
        <v>1591</v>
      </c>
      <c r="K68">
        <v>4.6046458258193625E-5</v>
      </c>
      <c r="L68" t="s">
        <v>251</v>
      </c>
      <c r="N68" t="s">
        <v>419</v>
      </c>
      <c r="O68" t="s">
        <v>1591</v>
      </c>
      <c r="P68">
        <v>5.1073654420206722E-5</v>
      </c>
      <c r="Q68" t="s">
        <v>251</v>
      </c>
      <c r="S68" t="s">
        <v>420</v>
      </c>
      <c r="T68" t="s">
        <v>1591</v>
      </c>
      <c r="U68">
        <v>7.1276362564081161E-5</v>
      </c>
      <c r="V68" t="s">
        <v>251</v>
      </c>
      <c r="X68">
        <v>1.1415525114155251E-4</v>
      </c>
      <c r="Y68">
        <v>2.2209515285616027E-4</v>
      </c>
      <c r="Z68" t="s">
        <v>1591</v>
      </c>
      <c r="AA68" t="s">
        <v>25</v>
      </c>
      <c r="AC68" t="s">
        <v>22</v>
      </c>
      <c r="AD68" t="s">
        <v>1591</v>
      </c>
      <c r="AE68">
        <v>8.0724582926403499E-5</v>
      </c>
      <c r="AG68" t="s">
        <v>99</v>
      </c>
      <c r="AH68" t="s">
        <v>1591</v>
      </c>
      <c r="AI68">
        <v>0</v>
      </c>
    </row>
    <row r="69" spans="5:35" x14ac:dyDescent="0.45">
      <c r="E69" t="s">
        <v>1368</v>
      </c>
      <c r="G69" t="s">
        <v>155</v>
      </c>
      <c r="I69" t="s">
        <v>249</v>
      </c>
      <c r="J69" t="s">
        <v>1592</v>
      </c>
      <c r="K69">
        <v>2.8910705715559888E-7</v>
      </c>
      <c r="L69" t="s">
        <v>251</v>
      </c>
      <c r="N69" t="s">
        <v>419</v>
      </c>
      <c r="O69" t="s">
        <v>1592</v>
      </c>
      <c r="P69">
        <v>4.8174405043128293E-5</v>
      </c>
      <c r="Q69" t="s">
        <v>251</v>
      </c>
      <c r="S69" t="s">
        <v>420</v>
      </c>
      <c r="T69" t="s">
        <v>1592</v>
      </c>
      <c r="U69">
        <v>8.7663263352618972E-5</v>
      </c>
      <c r="V69" t="s">
        <v>251</v>
      </c>
      <c r="X69">
        <v>1.1415525114155251E-4</v>
      </c>
      <c r="Y69">
        <v>1.7237235744060203E-4</v>
      </c>
      <c r="Z69" t="s">
        <v>1592</v>
      </c>
      <c r="AA69" t="s">
        <v>25</v>
      </c>
      <c r="AC69" t="s">
        <v>22</v>
      </c>
      <c r="AD69" t="s">
        <v>1592</v>
      </c>
      <c r="AE69">
        <v>8.1939762615806133E-5</v>
      </c>
      <c r="AG69" t="s">
        <v>99</v>
      </c>
      <c r="AH69" t="s">
        <v>1592</v>
      </c>
      <c r="AI69">
        <v>0</v>
      </c>
    </row>
    <row r="70" spans="5:35" x14ac:dyDescent="0.45">
      <c r="E70" t="s">
        <v>1369</v>
      </c>
      <c r="G70" t="s">
        <v>155</v>
      </c>
      <c r="I70" t="s">
        <v>249</v>
      </c>
      <c r="J70" t="s">
        <v>1593</v>
      </c>
      <c r="K70">
        <v>0</v>
      </c>
      <c r="L70" t="s">
        <v>251</v>
      </c>
      <c r="N70" t="s">
        <v>419</v>
      </c>
      <c r="O70" t="s">
        <v>1593</v>
      </c>
      <c r="P70">
        <v>5.8598265011704391E-5</v>
      </c>
      <c r="Q70" t="s">
        <v>251</v>
      </c>
      <c r="S70" t="s">
        <v>420</v>
      </c>
      <c r="T70" t="s">
        <v>1593</v>
      </c>
      <c r="U70">
        <v>9.81490010507776E-5</v>
      </c>
      <c r="V70" t="s">
        <v>251</v>
      </c>
      <c r="X70">
        <v>1.1415525114155251E-4</v>
      </c>
      <c r="Y70">
        <v>1.5579809230208258E-4</v>
      </c>
      <c r="Z70" t="s">
        <v>1593</v>
      </c>
      <c r="AA70" t="s">
        <v>25</v>
      </c>
      <c r="AC70" t="s">
        <v>22</v>
      </c>
      <c r="AD70" t="s">
        <v>1593</v>
      </c>
      <c r="AE70">
        <v>8.245800101275725E-5</v>
      </c>
      <c r="AG70" t="s">
        <v>99</v>
      </c>
      <c r="AH70" t="s">
        <v>1593</v>
      </c>
      <c r="AI70">
        <v>0</v>
      </c>
    </row>
    <row r="71" spans="5:35" x14ac:dyDescent="0.45">
      <c r="E71" t="s">
        <v>1370</v>
      </c>
      <c r="G71" t="s">
        <v>155</v>
      </c>
      <c r="I71" t="s">
        <v>249</v>
      </c>
      <c r="J71" t="s">
        <v>1594</v>
      </c>
      <c r="K71">
        <v>0</v>
      </c>
      <c r="L71" t="s">
        <v>251</v>
      </c>
      <c r="N71" t="s">
        <v>419</v>
      </c>
      <c r="O71" t="s">
        <v>1594</v>
      </c>
      <c r="P71">
        <v>6.3815346198383408E-5</v>
      </c>
      <c r="Q71" t="s">
        <v>251</v>
      </c>
      <c r="S71" t="s">
        <v>420</v>
      </c>
      <c r="T71" t="s">
        <v>1594</v>
      </c>
      <c r="U71">
        <v>8.4304684385002457E-5</v>
      </c>
      <c r="V71" t="s">
        <v>251</v>
      </c>
      <c r="X71">
        <v>1.1415525114155251E-4</v>
      </c>
      <c r="Y71">
        <v>1.093901499142282E-4</v>
      </c>
      <c r="Z71" t="s">
        <v>1594</v>
      </c>
      <c r="AA71" t="s">
        <v>25</v>
      </c>
      <c r="AC71" t="s">
        <v>22</v>
      </c>
      <c r="AD71" t="s">
        <v>1594</v>
      </c>
      <c r="AE71">
        <v>9.8702094213742403E-5</v>
      </c>
      <c r="AG71" t="s">
        <v>99</v>
      </c>
      <c r="AH71" t="s">
        <v>1594</v>
      </c>
      <c r="AI71">
        <v>0</v>
      </c>
    </row>
    <row r="72" spans="5:35" x14ac:dyDescent="0.45">
      <c r="E72" t="s">
        <v>1371</v>
      </c>
      <c r="G72" t="s">
        <v>155</v>
      </c>
      <c r="I72" t="s">
        <v>249</v>
      </c>
      <c r="J72" t="s">
        <v>1595</v>
      </c>
      <c r="K72">
        <v>0</v>
      </c>
      <c r="L72" t="s">
        <v>251</v>
      </c>
      <c r="N72" t="s">
        <v>419</v>
      </c>
      <c r="O72" t="s">
        <v>1595</v>
      </c>
      <c r="P72">
        <v>6.7457926404251896E-5</v>
      </c>
      <c r="Q72" t="s">
        <v>251</v>
      </c>
      <c r="S72" t="s">
        <v>420</v>
      </c>
      <c r="T72" t="s">
        <v>1595</v>
      </c>
      <c r="U72">
        <v>7.7166834536636396E-5</v>
      </c>
      <c r="V72" t="s">
        <v>251</v>
      </c>
      <c r="X72">
        <v>1.1415525114155251E-4</v>
      </c>
      <c r="Y72">
        <v>7.9556472664893237E-5</v>
      </c>
      <c r="Z72" t="s">
        <v>1595</v>
      </c>
      <c r="AA72" t="s">
        <v>25</v>
      </c>
      <c r="AC72" t="s">
        <v>22</v>
      </c>
      <c r="AD72" t="s">
        <v>1595</v>
      </c>
      <c r="AE72">
        <v>1.1467217630829366E-4</v>
      </c>
      <c r="AG72" t="s">
        <v>99</v>
      </c>
      <c r="AH72" t="s">
        <v>1595</v>
      </c>
      <c r="AI72">
        <v>0</v>
      </c>
    </row>
    <row r="73" spans="5:35" x14ac:dyDescent="0.45">
      <c r="E73" t="s">
        <v>1372</v>
      </c>
      <c r="G73" t="s">
        <v>155</v>
      </c>
      <c r="I73" t="s">
        <v>249</v>
      </c>
      <c r="J73" t="s">
        <v>1596</v>
      </c>
      <c r="K73">
        <v>0</v>
      </c>
      <c r="L73" t="s">
        <v>251</v>
      </c>
      <c r="N73" t="s">
        <v>419</v>
      </c>
      <c r="O73" t="s">
        <v>1596</v>
      </c>
      <c r="P73">
        <v>7.4155037093908996E-5</v>
      </c>
      <c r="Q73" t="s">
        <v>251</v>
      </c>
      <c r="S73" t="s">
        <v>420</v>
      </c>
      <c r="T73" t="s">
        <v>1596</v>
      </c>
      <c r="U73">
        <v>8.455438974672028E-5</v>
      </c>
      <c r="V73" t="s">
        <v>251</v>
      </c>
      <c r="X73">
        <v>1.1415525114155251E-4</v>
      </c>
      <c r="Y73">
        <v>5.6352501470966035E-5</v>
      </c>
      <c r="Z73" t="s">
        <v>1596</v>
      </c>
      <c r="AA73" t="s">
        <v>25</v>
      </c>
      <c r="AC73" t="s">
        <v>22</v>
      </c>
      <c r="AD73" t="s">
        <v>1596</v>
      </c>
      <c r="AE73">
        <v>1.2580536669796777E-4</v>
      </c>
      <c r="AG73" t="s">
        <v>99</v>
      </c>
      <c r="AH73" t="s">
        <v>1596</v>
      </c>
      <c r="AI73">
        <v>0</v>
      </c>
    </row>
    <row r="74" spans="5:35" x14ac:dyDescent="0.45">
      <c r="E74" t="s">
        <v>1373</v>
      </c>
      <c r="G74" t="s">
        <v>155</v>
      </c>
      <c r="I74" t="s">
        <v>249</v>
      </c>
      <c r="J74" t="s">
        <v>1597</v>
      </c>
      <c r="K74">
        <v>0</v>
      </c>
      <c r="L74" t="s">
        <v>251</v>
      </c>
      <c r="N74" t="s">
        <v>419</v>
      </c>
      <c r="O74" t="s">
        <v>1597</v>
      </c>
      <c r="P74">
        <v>8.1439934298499668E-5</v>
      </c>
      <c r="Q74" t="s">
        <v>251</v>
      </c>
      <c r="S74" t="s">
        <v>420</v>
      </c>
      <c r="T74" t="s">
        <v>1597</v>
      </c>
      <c r="U74">
        <v>9.5956765413074082E-5</v>
      </c>
      <c r="V74" t="s">
        <v>251</v>
      </c>
      <c r="X74">
        <v>1.1415525114155251E-4</v>
      </c>
      <c r="Y74">
        <v>2.9833677249334962E-5</v>
      </c>
      <c r="Z74" t="s">
        <v>1597</v>
      </c>
      <c r="AA74" t="s">
        <v>25</v>
      </c>
      <c r="AC74" t="s">
        <v>22</v>
      </c>
      <c r="AD74" t="s">
        <v>1597</v>
      </c>
      <c r="AE74">
        <v>1.3630118342702384E-4</v>
      </c>
      <c r="AG74" t="s">
        <v>99</v>
      </c>
      <c r="AH74" t="s">
        <v>1597</v>
      </c>
      <c r="AI74">
        <v>0</v>
      </c>
    </row>
    <row r="75" spans="5:35" x14ac:dyDescent="0.45">
      <c r="E75" t="s">
        <v>1374</v>
      </c>
      <c r="G75" t="s">
        <v>155</v>
      </c>
      <c r="I75" t="s">
        <v>249</v>
      </c>
      <c r="J75" t="s">
        <v>1598</v>
      </c>
      <c r="K75">
        <v>0</v>
      </c>
      <c r="L75" t="s">
        <v>251</v>
      </c>
      <c r="N75" t="s">
        <v>419</v>
      </c>
      <c r="O75" t="s">
        <v>1598</v>
      </c>
      <c r="P75">
        <v>8.4591746982718495E-5</v>
      </c>
      <c r="Q75" t="s">
        <v>251</v>
      </c>
      <c r="S75" t="s">
        <v>420</v>
      </c>
      <c r="T75" t="s">
        <v>1598</v>
      </c>
      <c r="U75">
        <v>1.020613004567E-4</v>
      </c>
      <c r="V75" t="s">
        <v>251</v>
      </c>
      <c r="X75">
        <v>1.1415525114155251E-4</v>
      </c>
      <c r="Y75">
        <v>2.1546544680075254E-5</v>
      </c>
      <c r="Z75" t="s">
        <v>1598</v>
      </c>
      <c r="AA75" t="s">
        <v>25</v>
      </c>
      <c r="AC75" t="s">
        <v>22</v>
      </c>
      <c r="AD75" t="s">
        <v>1598</v>
      </c>
      <c r="AE75">
        <v>1.3529449044903831E-4</v>
      </c>
      <c r="AG75" t="s">
        <v>99</v>
      </c>
      <c r="AH75" t="s">
        <v>1598</v>
      </c>
      <c r="AI75">
        <v>0</v>
      </c>
    </row>
    <row r="76" spans="5:35" x14ac:dyDescent="0.45">
      <c r="E76" t="s">
        <v>1375</v>
      </c>
      <c r="G76" t="s">
        <v>155</v>
      </c>
      <c r="I76" t="s">
        <v>249</v>
      </c>
      <c r="J76" t="s">
        <v>1599</v>
      </c>
      <c r="K76">
        <v>0</v>
      </c>
      <c r="L76" t="s">
        <v>251</v>
      </c>
      <c r="N76" t="s">
        <v>419</v>
      </c>
      <c r="O76" t="s">
        <v>1599</v>
      </c>
      <c r="P76">
        <v>8.5354458972413132E-5</v>
      </c>
      <c r="Q76" t="s">
        <v>251</v>
      </c>
      <c r="S76" t="s">
        <v>420</v>
      </c>
      <c r="T76" t="s">
        <v>1599</v>
      </c>
      <c r="U76">
        <v>1.030662208488E-4</v>
      </c>
      <c r="V76" t="s">
        <v>251</v>
      </c>
      <c r="X76">
        <v>1.1415525114155251E-4</v>
      </c>
      <c r="Y76">
        <v>1.4916838624667481E-5</v>
      </c>
      <c r="Z76" t="s">
        <v>1599</v>
      </c>
      <c r="AA76" t="s">
        <v>25</v>
      </c>
      <c r="AC76" t="s">
        <v>22</v>
      </c>
      <c r="AD76" t="s">
        <v>1599</v>
      </c>
      <c r="AE76">
        <v>1.3119028061571276E-4</v>
      </c>
      <c r="AG76" t="s">
        <v>99</v>
      </c>
      <c r="AH76" t="s">
        <v>1599</v>
      </c>
      <c r="AI76">
        <v>0</v>
      </c>
    </row>
    <row r="77" spans="5:35" x14ac:dyDescent="0.45">
      <c r="E77" t="s">
        <v>1376</v>
      </c>
      <c r="G77" t="s">
        <v>155</v>
      </c>
      <c r="I77" t="s">
        <v>249</v>
      </c>
      <c r="J77" t="s">
        <v>1600</v>
      </c>
      <c r="K77">
        <v>0</v>
      </c>
      <c r="L77" t="s">
        <v>251</v>
      </c>
      <c r="N77" t="s">
        <v>419</v>
      </c>
      <c r="O77" t="s">
        <v>1600</v>
      </c>
      <c r="P77">
        <v>8.4301250728656185E-5</v>
      </c>
      <c r="Q77" t="s">
        <v>251</v>
      </c>
      <c r="S77" t="s">
        <v>420</v>
      </c>
      <c r="T77" t="s">
        <v>1600</v>
      </c>
      <c r="U77">
        <v>1.095928135904E-4</v>
      </c>
      <c r="V77" t="s">
        <v>251</v>
      </c>
      <c r="X77">
        <v>1.1415525114155251E-4</v>
      </c>
      <c r="Y77">
        <v>1.6574265138519424E-5</v>
      </c>
      <c r="Z77" t="s">
        <v>1600</v>
      </c>
      <c r="AA77" t="s">
        <v>25</v>
      </c>
      <c r="AC77" t="s">
        <v>22</v>
      </c>
      <c r="AD77" t="s">
        <v>1600</v>
      </c>
      <c r="AE77">
        <v>1.3130941587937968E-4</v>
      </c>
      <c r="AG77" t="s">
        <v>99</v>
      </c>
      <c r="AH77" t="s">
        <v>1600</v>
      </c>
      <c r="AI77">
        <v>0</v>
      </c>
    </row>
    <row r="78" spans="5:35" x14ac:dyDescent="0.45">
      <c r="E78" t="s">
        <v>1377</v>
      </c>
      <c r="G78" t="s">
        <v>155</v>
      </c>
      <c r="I78" t="s">
        <v>249</v>
      </c>
      <c r="J78" t="s">
        <v>1601</v>
      </c>
      <c r="K78">
        <v>0</v>
      </c>
      <c r="L78" t="s">
        <v>251</v>
      </c>
      <c r="N78" t="s">
        <v>419</v>
      </c>
      <c r="O78" t="s">
        <v>1601</v>
      </c>
      <c r="P78">
        <v>8.2056265333692519E-5</v>
      </c>
      <c r="Q78" t="s">
        <v>251</v>
      </c>
      <c r="S78" t="s">
        <v>420</v>
      </c>
      <c r="T78" t="s">
        <v>1601</v>
      </c>
      <c r="U78">
        <v>1.2513336905320001E-4</v>
      </c>
      <c r="V78" t="s">
        <v>251</v>
      </c>
      <c r="X78">
        <v>1.1415525114155251E-4</v>
      </c>
      <c r="Y78">
        <v>1.4585353321897093E-5</v>
      </c>
      <c r="Z78" t="s">
        <v>1601</v>
      </c>
      <c r="AA78" t="s">
        <v>25</v>
      </c>
      <c r="AC78" t="s">
        <v>22</v>
      </c>
      <c r="AD78" t="s">
        <v>1601</v>
      </c>
      <c r="AE78">
        <v>1.3071373956104505E-4</v>
      </c>
      <c r="AG78" t="s">
        <v>99</v>
      </c>
      <c r="AH78" t="s">
        <v>1601</v>
      </c>
      <c r="AI78">
        <v>0</v>
      </c>
    </row>
    <row r="79" spans="5:35" x14ac:dyDescent="0.45">
      <c r="E79" t="s">
        <v>1378</v>
      </c>
      <c r="G79" t="s">
        <v>155</v>
      </c>
      <c r="I79" t="s">
        <v>249</v>
      </c>
      <c r="J79" t="s">
        <v>1602</v>
      </c>
      <c r="K79">
        <v>0</v>
      </c>
      <c r="L79" t="s">
        <v>251</v>
      </c>
      <c r="N79" t="s">
        <v>419</v>
      </c>
      <c r="O79" t="s">
        <v>1602</v>
      </c>
      <c r="P79">
        <v>7.804026469906588E-5</v>
      </c>
      <c r="Q79" t="s">
        <v>251</v>
      </c>
      <c r="S79" t="s">
        <v>420</v>
      </c>
      <c r="T79" t="s">
        <v>1602</v>
      </c>
      <c r="U79">
        <v>1.365733523982E-4</v>
      </c>
      <c r="V79" t="s">
        <v>251</v>
      </c>
      <c r="X79">
        <v>1.1415525114155251E-4</v>
      </c>
      <c r="Y79">
        <v>2.1215059377304864E-5</v>
      </c>
      <c r="Z79" t="s">
        <v>1602</v>
      </c>
      <c r="AA79" t="s">
        <v>25</v>
      </c>
      <c r="AC79" t="s">
        <v>22</v>
      </c>
      <c r="AD79" t="s">
        <v>1602</v>
      </c>
      <c r="AE79">
        <v>1.3052312313917796E-4</v>
      </c>
      <c r="AG79" t="s">
        <v>99</v>
      </c>
      <c r="AH79" t="s">
        <v>1602</v>
      </c>
      <c r="AI79">
        <v>0</v>
      </c>
    </row>
    <row r="80" spans="5:35" x14ac:dyDescent="0.45">
      <c r="E80" t="s">
        <v>1379</v>
      </c>
      <c r="G80" t="s">
        <v>155</v>
      </c>
      <c r="I80" t="s">
        <v>249</v>
      </c>
      <c r="J80" t="s">
        <v>1603</v>
      </c>
      <c r="K80">
        <v>0</v>
      </c>
      <c r="L80" t="s">
        <v>251</v>
      </c>
      <c r="N80" t="s">
        <v>419</v>
      </c>
      <c r="O80" t="s">
        <v>1603</v>
      </c>
      <c r="P80">
        <v>7.5091141046313412E-5</v>
      </c>
      <c r="Q80" t="s">
        <v>251</v>
      </c>
      <c r="S80" t="s">
        <v>420</v>
      </c>
      <c r="T80" t="s">
        <v>1603</v>
      </c>
      <c r="U80">
        <v>1.3985705931980001E-4</v>
      </c>
      <c r="V80" t="s">
        <v>251</v>
      </c>
      <c r="X80">
        <v>1.1415525114155251E-4</v>
      </c>
      <c r="Y80">
        <v>5.7678442682047593E-5</v>
      </c>
      <c r="Z80" t="s">
        <v>1603</v>
      </c>
      <c r="AA80" t="s">
        <v>25</v>
      </c>
      <c r="AC80" t="s">
        <v>22</v>
      </c>
      <c r="AD80" t="s">
        <v>1603</v>
      </c>
      <c r="AE80">
        <v>1.3052312313917796E-4</v>
      </c>
      <c r="AG80" t="s">
        <v>99</v>
      </c>
      <c r="AH80" t="s">
        <v>1603</v>
      </c>
      <c r="AI80">
        <v>0</v>
      </c>
    </row>
    <row r="81" spans="5:35" x14ac:dyDescent="0.45">
      <c r="E81" t="s">
        <v>1380</v>
      </c>
      <c r="G81" t="s">
        <v>155</v>
      </c>
      <c r="I81" t="s">
        <v>249</v>
      </c>
      <c r="J81" t="s">
        <v>1604</v>
      </c>
      <c r="K81">
        <v>0</v>
      </c>
      <c r="L81" t="s">
        <v>251</v>
      </c>
      <c r="N81" t="s">
        <v>419</v>
      </c>
      <c r="O81" t="s">
        <v>1604</v>
      </c>
      <c r="P81">
        <v>7.0398298958350072E-5</v>
      </c>
      <c r="Q81" t="s">
        <v>251</v>
      </c>
      <c r="S81" t="s">
        <v>420</v>
      </c>
      <c r="T81" t="s">
        <v>1604</v>
      </c>
      <c r="U81">
        <v>1.436574988834E-4</v>
      </c>
      <c r="V81" t="s">
        <v>251</v>
      </c>
      <c r="X81">
        <v>1.1415525114155251E-4</v>
      </c>
      <c r="Y81">
        <v>1.6905750441289813E-4</v>
      </c>
      <c r="Z81" t="s">
        <v>1604</v>
      </c>
      <c r="AA81" t="s">
        <v>25</v>
      </c>
      <c r="AC81" t="s">
        <v>22</v>
      </c>
      <c r="AD81" t="s">
        <v>1604</v>
      </c>
      <c r="AE81">
        <v>1.3073756661377846E-4</v>
      </c>
      <c r="AG81" t="s">
        <v>99</v>
      </c>
      <c r="AH81" t="s">
        <v>1604</v>
      </c>
      <c r="AI81">
        <v>0</v>
      </c>
    </row>
    <row r="82" spans="5:35" x14ac:dyDescent="0.45">
      <c r="E82" t="s">
        <v>1381</v>
      </c>
      <c r="G82" t="s">
        <v>155</v>
      </c>
      <c r="I82" t="s">
        <v>249</v>
      </c>
      <c r="J82" t="s">
        <v>1605</v>
      </c>
      <c r="K82">
        <v>3.7719530001832748E-5</v>
      </c>
      <c r="L82" t="s">
        <v>251</v>
      </c>
      <c r="N82" t="s">
        <v>419</v>
      </c>
      <c r="O82" t="s">
        <v>1605</v>
      </c>
      <c r="P82">
        <v>6.8320911903875094E-5</v>
      </c>
      <c r="Q82" t="s">
        <v>251</v>
      </c>
      <c r="S82" t="s">
        <v>420</v>
      </c>
      <c r="T82" t="s">
        <v>1605</v>
      </c>
      <c r="U82">
        <v>1.293732809581E-4</v>
      </c>
      <c r="V82" t="s">
        <v>251</v>
      </c>
      <c r="X82">
        <v>1.1415525114155251E-4</v>
      </c>
      <c r="Y82">
        <v>1.9060404909297337E-4</v>
      </c>
      <c r="Z82" t="s">
        <v>1605</v>
      </c>
      <c r="AA82" t="s">
        <v>25</v>
      </c>
      <c r="AC82" t="s">
        <v>22</v>
      </c>
      <c r="AD82" t="s">
        <v>1605</v>
      </c>
      <c r="AE82">
        <v>1.3239950354193203E-4</v>
      </c>
      <c r="AG82" t="s">
        <v>99</v>
      </c>
      <c r="AH82" t="s">
        <v>1605</v>
      </c>
      <c r="AI82">
        <v>0</v>
      </c>
    </row>
    <row r="83" spans="5:35" x14ac:dyDescent="0.45">
      <c r="E83" t="s">
        <v>1382</v>
      </c>
      <c r="G83" t="s">
        <v>155</v>
      </c>
      <c r="I83" t="s">
        <v>249</v>
      </c>
      <c r="J83" t="s">
        <v>1606</v>
      </c>
      <c r="K83">
        <v>1.2471788978149999E-4</v>
      </c>
      <c r="L83" t="s">
        <v>251</v>
      </c>
      <c r="N83" t="s">
        <v>419</v>
      </c>
      <c r="O83" t="s">
        <v>1606</v>
      </c>
      <c r="P83">
        <v>6.6925824008403449E-5</v>
      </c>
      <c r="Q83" t="s">
        <v>251</v>
      </c>
      <c r="S83" t="s">
        <v>420</v>
      </c>
      <c r="T83" t="s">
        <v>1606</v>
      </c>
      <c r="U83">
        <v>1.2974870022489999E-4</v>
      </c>
      <c r="V83" t="s">
        <v>251</v>
      </c>
      <c r="X83">
        <v>1.1415525114155251E-4</v>
      </c>
      <c r="Y83">
        <v>1.4585353321897094E-4</v>
      </c>
      <c r="Z83" t="s">
        <v>1606</v>
      </c>
      <c r="AA83" t="s">
        <v>25</v>
      </c>
      <c r="AC83" t="s">
        <v>22</v>
      </c>
      <c r="AD83" t="s">
        <v>1606</v>
      </c>
      <c r="AE83">
        <v>1.3322153686123382E-4</v>
      </c>
      <c r="AG83" t="s">
        <v>99</v>
      </c>
      <c r="AH83" t="s">
        <v>1606</v>
      </c>
      <c r="AI83">
        <v>0</v>
      </c>
    </row>
    <row r="84" spans="5:35" x14ac:dyDescent="0.45">
      <c r="E84" t="s">
        <v>1383</v>
      </c>
      <c r="G84" t="s">
        <v>155</v>
      </c>
      <c r="I84" t="s">
        <v>249</v>
      </c>
      <c r="J84" t="s">
        <v>1607</v>
      </c>
      <c r="K84">
        <v>1.6471406420730001E-4</v>
      </c>
      <c r="L84" t="s">
        <v>251</v>
      </c>
      <c r="N84" t="s">
        <v>419</v>
      </c>
      <c r="O84" t="s">
        <v>1607</v>
      </c>
      <c r="P84">
        <v>6.0450058917603427E-5</v>
      </c>
      <c r="Q84" t="s">
        <v>251</v>
      </c>
      <c r="S84" t="s">
        <v>420</v>
      </c>
      <c r="T84" t="s">
        <v>1607</v>
      </c>
      <c r="U84">
        <v>1.287598121901E-4</v>
      </c>
      <c r="V84" t="s">
        <v>251</v>
      </c>
      <c r="X84">
        <v>1.1415525114155251E-4</v>
      </c>
      <c r="Y84">
        <v>1.4452759200788939E-4</v>
      </c>
      <c r="Z84" t="s">
        <v>1607</v>
      </c>
      <c r="AA84" t="s">
        <v>25</v>
      </c>
      <c r="AC84" t="s">
        <v>22</v>
      </c>
      <c r="AD84" t="s">
        <v>1607</v>
      </c>
      <c r="AE84">
        <v>1.3415674868101919E-4</v>
      </c>
      <c r="AG84" t="s">
        <v>99</v>
      </c>
      <c r="AH84" t="s">
        <v>1607</v>
      </c>
      <c r="AI84">
        <v>0</v>
      </c>
    </row>
    <row r="85" spans="5:35" x14ac:dyDescent="0.45">
      <c r="E85" t="s">
        <v>1384</v>
      </c>
      <c r="G85" t="s">
        <v>155</v>
      </c>
      <c r="I85" t="s">
        <v>249</v>
      </c>
      <c r="J85" t="s">
        <v>1608</v>
      </c>
      <c r="K85">
        <v>1.8327755395779999E-4</v>
      </c>
      <c r="L85" t="s">
        <v>251</v>
      </c>
      <c r="N85" t="s">
        <v>419</v>
      </c>
      <c r="O85" t="s">
        <v>1608</v>
      </c>
      <c r="P85">
        <v>6.1223250677341779E-5</v>
      </c>
      <c r="Q85" t="s">
        <v>251</v>
      </c>
      <c r="S85" t="s">
        <v>420</v>
      </c>
      <c r="T85" t="s">
        <v>1608</v>
      </c>
      <c r="U85">
        <v>1.286129220589E-4</v>
      </c>
      <c r="V85" t="s">
        <v>251</v>
      </c>
      <c r="X85">
        <v>1.1415525114155251E-4</v>
      </c>
      <c r="Y85">
        <v>1.408812536774151E-4</v>
      </c>
      <c r="Z85" t="s">
        <v>1608</v>
      </c>
      <c r="AA85" t="s">
        <v>25</v>
      </c>
      <c r="AC85" t="s">
        <v>22</v>
      </c>
      <c r="AD85" t="s">
        <v>1608</v>
      </c>
      <c r="AE85">
        <v>1.3419248926011925E-4</v>
      </c>
      <c r="AG85" t="s">
        <v>99</v>
      </c>
      <c r="AH85" t="s">
        <v>1608</v>
      </c>
      <c r="AI85">
        <v>0</v>
      </c>
    </row>
    <row r="86" spans="5:35" x14ac:dyDescent="0.45">
      <c r="E86" t="s">
        <v>1385</v>
      </c>
      <c r="G86" t="s">
        <v>155</v>
      </c>
      <c r="I86" t="s">
        <v>249</v>
      </c>
      <c r="J86" t="s">
        <v>1609</v>
      </c>
      <c r="K86">
        <v>2.054213492138E-4</v>
      </c>
      <c r="L86" t="s">
        <v>251</v>
      </c>
      <c r="N86" t="s">
        <v>419</v>
      </c>
      <c r="O86" t="s">
        <v>1609</v>
      </c>
      <c r="P86">
        <v>5.5399503665923322E-5</v>
      </c>
      <c r="Q86" t="s">
        <v>251</v>
      </c>
      <c r="S86" t="s">
        <v>420</v>
      </c>
      <c r="T86" t="s">
        <v>1609</v>
      </c>
      <c r="U86">
        <v>1.274002152005E-4</v>
      </c>
      <c r="V86" t="s">
        <v>251</v>
      </c>
      <c r="X86">
        <v>1.1415525114155251E-4</v>
      </c>
      <c r="Y86">
        <v>1.4054976837464471E-4</v>
      </c>
      <c r="Z86" t="s">
        <v>1609</v>
      </c>
      <c r="AA86" t="s">
        <v>25</v>
      </c>
      <c r="AC86" t="s">
        <v>22</v>
      </c>
      <c r="AD86" t="s">
        <v>1609</v>
      </c>
      <c r="AE86">
        <v>1.2959386808257599E-4</v>
      </c>
      <c r="AG86" t="s">
        <v>99</v>
      </c>
      <c r="AH86" t="s">
        <v>1609</v>
      </c>
      <c r="AI86">
        <v>0</v>
      </c>
    </row>
    <row r="87" spans="5:35" x14ac:dyDescent="0.45">
      <c r="E87" t="s">
        <v>1386</v>
      </c>
      <c r="G87" t="s">
        <v>155</v>
      </c>
      <c r="I87" t="s">
        <v>249</v>
      </c>
      <c r="J87" t="s">
        <v>1610</v>
      </c>
      <c r="K87">
        <v>2.2511805379700001E-4</v>
      </c>
      <c r="L87" t="s">
        <v>251</v>
      </c>
      <c r="N87" t="s">
        <v>419</v>
      </c>
      <c r="O87" t="s">
        <v>1610</v>
      </c>
      <c r="P87">
        <v>5.1277334599274642E-5</v>
      </c>
      <c r="Q87" t="s">
        <v>251</v>
      </c>
      <c r="S87" t="s">
        <v>420</v>
      </c>
      <c r="T87" t="s">
        <v>1610</v>
      </c>
      <c r="U87">
        <v>1.2467737785880001E-4</v>
      </c>
      <c r="V87" t="s">
        <v>251</v>
      </c>
      <c r="X87">
        <v>1.1415525114155251E-4</v>
      </c>
      <c r="Y87">
        <v>1.4253868019126702E-4</v>
      </c>
      <c r="Z87" t="s">
        <v>1610</v>
      </c>
      <c r="AA87" t="s">
        <v>25</v>
      </c>
      <c r="AC87" t="s">
        <v>22</v>
      </c>
      <c r="AD87" t="s">
        <v>1610</v>
      </c>
      <c r="AE87">
        <v>1.2478080343043219E-4</v>
      </c>
      <c r="AG87" t="s">
        <v>99</v>
      </c>
      <c r="AH87" t="s">
        <v>1610</v>
      </c>
      <c r="AI87">
        <v>0</v>
      </c>
    </row>
    <row r="88" spans="5:35" x14ac:dyDescent="0.45">
      <c r="E88" t="s">
        <v>1387</v>
      </c>
      <c r="G88" t="s">
        <v>155</v>
      </c>
      <c r="I88" t="s">
        <v>249</v>
      </c>
      <c r="J88" t="s">
        <v>1611</v>
      </c>
      <c r="K88">
        <v>2.039233413466E-4</v>
      </c>
      <c r="L88" t="s">
        <v>251</v>
      </c>
      <c r="N88" t="s">
        <v>419</v>
      </c>
      <c r="O88" t="s">
        <v>1611</v>
      </c>
      <c r="P88">
        <v>5.1199697935738048E-5</v>
      </c>
      <c r="Q88" t="s">
        <v>251</v>
      </c>
      <c r="S88" t="s">
        <v>420</v>
      </c>
      <c r="T88" t="s">
        <v>1611</v>
      </c>
      <c r="U88">
        <v>1.142143752056E-4</v>
      </c>
      <c r="V88" t="s">
        <v>251</v>
      </c>
      <c r="X88">
        <v>1.1415525114155251E-4</v>
      </c>
      <c r="Y88">
        <v>1.4883690094390442E-4</v>
      </c>
      <c r="Z88" t="s">
        <v>1611</v>
      </c>
      <c r="AA88" t="s">
        <v>25</v>
      </c>
      <c r="AC88" t="s">
        <v>22</v>
      </c>
      <c r="AD88" t="s">
        <v>1611</v>
      </c>
      <c r="AE88">
        <v>1.1424924612227607E-4</v>
      </c>
      <c r="AG88" t="s">
        <v>99</v>
      </c>
      <c r="AH88" t="s">
        <v>1611</v>
      </c>
      <c r="AI88">
        <v>0</v>
      </c>
    </row>
    <row r="89" spans="5:35" x14ac:dyDescent="0.45">
      <c r="E89" t="s">
        <v>1388</v>
      </c>
      <c r="G89" t="s">
        <v>155</v>
      </c>
      <c r="I89" t="s">
        <v>249</v>
      </c>
      <c r="J89" t="s">
        <v>1612</v>
      </c>
      <c r="K89">
        <v>1.603000405667E-4</v>
      </c>
      <c r="L89" t="s">
        <v>251</v>
      </c>
      <c r="N89" t="s">
        <v>419</v>
      </c>
      <c r="O89" t="s">
        <v>1612</v>
      </c>
      <c r="P89">
        <v>5.2350332430711802E-5</v>
      </c>
      <c r="Q89" t="s">
        <v>251</v>
      </c>
      <c r="S89" t="s">
        <v>420</v>
      </c>
      <c r="T89" t="s">
        <v>1612</v>
      </c>
      <c r="U89">
        <v>9.4866116432974206E-5</v>
      </c>
      <c r="V89" t="s">
        <v>251</v>
      </c>
      <c r="X89">
        <v>1.1415525114155251E-4</v>
      </c>
      <c r="Y89">
        <v>1.5049432745775637E-4</v>
      </c>
      <c r="Z89" t="s">
        <v>1612</v>
      </c>
      <c r="AA89" t="s">
        <v>25</v>
      </c>
      <c r="AC89" t="s">
        <v>22</v>
      </c>
      <c r="AD89" t="s">
        <v>1612</v>
      </c>
      <c r="AE89">
        <v>1.0452185184387167E-4</v>
      </c>
      <c r="AG89" t="s">
        <v>99</v>
      </c>
      <c r="AH89" t="s">
        <v>1612</v>
      </c>
      <c r="AI89">
        <v>0</v>
      </c>
    </row>
    <row r="90" spans="5:35" x14ac:dyDescent="0.45">
      <c r="E90" t="s">
        <v>1389</v>
      </c>
      <c r="G90" t="s">
        <v>155</v>
      </c>
      <c r="I90" t="s">
        <v>249</v>
      </c>
      <c r="J90" t="s">
        <v>1613</v>
      </c>
      <c r="K90">
        <v>1.0946199966639999E-4</v>
      </c>
      <c r="L90" t="s">
        <v>251</v>
      </c>
      <c r="N90" t="s">
        <v>419</v>
      </c>
      <c r="O90" t="s">
        <v>1613</v>
      </c>
      <c r="P90">
        <v>5.161894575269316E-5</v>
      </c>
      <c r="Q90" t="s">
        <v>251</v>
      </c>
      <c r="S90" t="s">
        <v>420</v>
      </c>
      <c r="T90" t="s">
        <v>1613</v>
      </c>
      <c r="U90">
        <v>7.1432361882847923E-5</v>
      </c>
      <c r="V90" t="s">
        <v>251</v>
      </c>
      <c r="X90">
        <v>1.1415525114155251E-4</v>
      </c>
      <c r="Y90">
        <v>1.7237235744060203E-4</v>
      </c>
      <c r="Z90" t="s">
        <v>1613</v>
      </c>
      <c r="AA90" t="s">
        <v>25</v>
      </c>
      <c r="AC90" t="s">
        <v>22</v>
      </c>
      <c r="AD90" t="s">
        <v>1613</v>
      </c>
      <c r="AE90">
        <v>8.8575596802053833E-5</v>
      </c>
      <c r="AG90" t="s">
        <v>99</v>
      </c>
      <c r="AH90" t="s">
        <v>1613</v>
      </c>
      <c r="AI90">
        <v>0</v>
      </c>
    </row>
    <row r="91" spans="5:35" x14ac:dyDescent="0.45">
      <c r="E91" t="s">
        <v>1390</v>
      </c>
      <c r="G91" t="s">
        <v>155</v>
      </c>
      <c r="I91" t="s">
        <v>249</v>
      </c>
      <c r="J91" t="s">
        <v>1614</v>
      </c>
      <c r="K91">
        <v>7.6474711857025407E-5</v>
      </c>
      <c r="L91" t="s">
        <v>251</v>
      </c>
      <c r="N91" t="s">
        <v>419</v>
      </c>
      <c r="O91" t="s">
        <v>1614</v>
      </c>
      <c r="P91">
        <v>4.8457245364980416E-5</v>
      </c>
      <c r="Q91" t="s">
        <v>251</v>
      </c>
      <c r="S91" t="s">
        <v>420</v>
      </c>
      <c r="T91" t="s">
        <v>1614</v>
      </c>
      <c r="U91">
        <v>6.5093456740108538E-5</v>
      </c>
      <c r="V91" t="s">
        <v>251</v>
      </c>
      <c r="X91">
        <v>1.1415525114155251E-4</v>
      </c>
      <c r="Y91">
        <v>2.2209515285616027E-4</v>
      </c>
      <c r="Z91" t="s">
        <v>1614</v>
      </c>
      <c r="AA91" t="s">
        <v>25</v>
      </c>
      <c r="AC91" t="s">
        <v>22</v>
      </c>
      <c r="AD91" t="s">
        <v>1614</v>
      </c>
      <c r="AE91">
        <v>8.4602435758761893E-5</v>
      </c>
      <c r="AG91" t="s">
        <v>99</v>
      </c>
      <c r="AH91" t="s">
        <v>1614</v>
      </c>
      <c r="AI91">
        <v>0</v>
      </c>
    </row>
    <row r="92" spans="5:35" x14ac:dyDescent="0.45">
      <c r="E92" t="s">
        <v>1391</v>
      </c>
      <c r="G92" t="s">
        <v>155</v>
      </c>
      <c r="I92" t="s">
        <v>249</v>
      </c>
      <c r="J92" t="s">
        <v>1615</v>
      </c>
      <c r="K92">
        <v>4.9681083132115599E-5</v>
      </c>
      <c r="L92" t="s">
        <v>251</v>
      </c>
      <c r="N92" t="s">
        <v>419</v>
      </c>
      <c r="O92" t="s">
        <v>1615</v>
      </c>
      <c r="P92">
        <v>4.4723952920225365E-5</v>
      </c>
      <c r="Q92" t="s">
        <v>251</v>
      </c>
      <c r="S92" t="s">
        <v>420</v>
      </c>
      <c r="T92" t="s">
        <v>1615</v>
      </c>
      <c r="U92">
        <v>6.6899248619340174E-5</v>
      </c>
      <c r="V92" t="s">
        <v>251</v>
      </c>
      <c r="X92">
        <v>1.1415525114155251E-4</v>
      </c>
      <c r="Y92">
        <v>2.2209515285616027E-4</v>
      </c>
      <c r="Z92" t="s">
        <v>1615</v>
      </c>
      <c r="AA92" t="s">
        <v>25</v>
      </c>
      <c r="AC92" t="s">
        <v>22</v>
      </c>
      <c r="AD92" t="s">
        <v>1615</v>
      </c>
      <c r="AE92">
        <v>8.0474398872702949E-5</v>
      </c>
      <c r="AG92" t="s">
        <v>99</v>
      </c>
      <c r="AH92" t="s">
        <v>1615</v>
      </c>
      <c r="AI92">
        <v>0</v>
      </c>
    </row>
    <row r="93" spans="5:35" x14ac:dyDescent="0.45">
      <c r="E93" t="s">
        <v>1392</v>
      </c>
      <c r="G93" t="s">
        <v>155</v>
      </c>
      <c r="I93" t="s">
        <v>249</v>
      </c>
      <c r="J93" t="s">
        <v>1616</v>
      </c>
      <c r="K93">
        <v>6.8817619354509523E-6</v>
      </c>
      <c r="L93" t="s">
        <v>251</v>
      </c>
      <c r="N93" t="s">
        <v>419</v>
      </c>
      <c r="O93" t="s">
        <v>1616</v>
      </c>
      <c r="P93">
        <v>4.63360250174881E-5</v>
      </c>
      <c r="Q93" t="s">
        <v>251</v>
      </c>
      <c r="S93" t="s">
        <v>420</v>
      </c>
      <c r="T93" t="s">
        <v>1616</v>
      </c>
      <c r="U93">
        <v>7.2370008240825584E-5</v>
      </c>
      <c r="V93" t="s">
        <v>251</v>
      </c>
      <c r="X93">
        <v>1.1415525114155251E-4</v>
      </c>
      <c r="Y93">
        <v>1.7237235744060203E-4</v>
      </c>
      <c r="Z93" t="s">
        <v>1616</v>
      </c>
      <c r="AA93" t="s">
        <v>25</v>
      </c>
      <c r="AC93" t="s">
        <v>22</v>
      </c>
      <c r="AD93" t="s">
        <v>1616</v>
      </c>
      <c r="AE93">
        <v>8.1689578562105583E-5</v>
      </c>
      <c r="AG93" t="s">
        <v>99</v>
      </c>
      <c r="AH93" t="s">
        <v>1616</v>
      </c>
      <c r="AI93">
        <v>0</v>
      </c>
    </row>
    <row r="94" spans="5:35" x14ac:dyDescent="0.45">
      <c r="E94" t="s">
        <v>1393</v>
      </c>
      <c r="G94" t="s">
        <v>155</v>
      </c>
      <c r="I94" t="s">
        <v>249</v>
      </c>
      <c r="J94" t="s">
        <v>1617</v>
      </c>
      <c r="K94">
        <v>0</v>
      </c>
      <c r="L94" t="s">
        <v>251</v>
      </c>
      <c r="N94" t="s">
        <v>419</v>
      </c>
      <c r="O94" t="s">
        <v>1617</v>
      </c>
      <c r="P94">
        <v>5.8593703682625651E-5</v>
      </c>
      <c r="Q94" t="s">
        <v>251</v>
      </c>
      <c r="S94" t="s">
        <v>420</v>
      </c>
      <c r="T94" t="s">
        <v>1617</v>
      </c>
      <c r="U94">
        <v>7.1318324523793957E-5</v>
      </c>
      <c r="V94" t="s">
        <v>251</v>
      </c>
      <c r="X94">
        <v>1.1415525114155251E-4</v>
      </c>
      <c r="Y94">
        <v>1.5579809230208258E-4</v>
      </c>
      <c r="Z94" t="s">
        <v>1617</v>
      </c>
      <c r="AA94" t="s">
        <v>25</v>
      </c>
      <c r="AC94" t="s">
        <v>22</v>
      </c>
      <c r="AD94" t="s">
        <v>1617</v>
      </c>
      <c r="AE94">
        <v>8.2416303670473822E-5</v>
      </c>
      <c r="AG94" t="s">
        <v>99</v>
      </c>
      <c r="AH94" t="s">
        <v>1617</v>
      </c>
      <c r="AI94">
        <v>0</v>
      </c>
    </row>
    <row r="95" spans="5:35" x14ac:dyDescent="0.45">
      <c r="E95" t="s">
        <v>1394</v>
      </c>
      <c r="G95" t="s">
        <v>155</v>
      </c>
      <c r="I95" t="s">
        <v>249</v>
      </c>
      <c r="J95" t="s">
        <v>1618</v>
      </c>
      <c r="K95">
        <v>0</v>
      </c>
      <c r="L95" t="s">
        <v>251</v>
      </c>
      <c r="N95" t="s">
        <v>419</v>
      </c>
      <c r="O95" t="s">
        <v>1618</v>
      </c>
      <c r="P95">
        <v>6.4773122512772779E-5</v>
      </c>
      <c r="Q95" t="s">
        <v>251</v>
      </c>
      <c r="S95" t="s">
        <v>420</v>
      </c>
      <c r="T95" t="s">
        <v>1618</v>
      </c>
      <c r="U95">
        <v>6.208347677254608E-5</v>
      </c>
      <c r="V95" t="s">
        <v>251</v>
      </c>
      <c r="X95">
        <v>1.1415525114155251E-4</v>
      </c>
      <c r="Y95">
        <v>1.093901499142282E-4</v>
      </c>
      <c r="Z95" t="s">
        <v>1618</v>
      </c>
      <c r="AA95" t="s">
        <v>25</v>
      </c>
      <c r="AC95" t="s">
        <v>22</v>
      </c>
      <c r="AD95" t="s">
        <v>1618</v>
      </c>
      <c r="AE95">
        <v>9.8702094213742417E-5</v>
      </c>
      <c r="AG95" t="s">
        <v>99</v>
      </c>
      <c r="AH95" t="s">
        <v>1618</v>
      </c>
      <c r="AI95">
        <v>0</v>
      </c>
    </row>
    <row r="96" spans="5:35" x14ac:dyDescent="0.45">
      <c r="E96" t="s">
        <v>1395</v>
      </c>
      <c r="G96" t="s">
        <v>155</v>
      </c>
      <c r="I96" t="s">
        <v>249</v>
      </c>
      <c r="J96" t="s">
        <v>1619</v>
      </c>
      <c r="K96">
        <v>0</v>
      </c>
      <c r="L96" t="s">
        <v>251</v>
      </c>
      <c r="N96" t="s">
        <v>419</v>
      </c>
      <c r="O96" t="s">
        <v>1619</v>
      </c>
      <c r="P96">
        <v>7.0911466690124411E-5</v>
      </c>
      <c r="Q96" t="s">
        <v>251</v>
      </c>
      <c r="S96" t="s">
        <v>420</v>
      </c>
      <c r="T96" t="s">
        <v>1619</v>
      </c>
      <c r="U96">
        <v>6.9473414799902899E-5</v>
      </c>
      <c r="V96" t="s">
        <v>251</v>
      </c>
      <c r="X96">
        <v>1.1415525114155251E-4</v>
      </c>
      <c r="Y96">
        <v>7.9556472664893237E-5</v>
      </c>
      <c r="Z96" t="s">
        <v>1619</v>
      </c>
      <c r="AA96" t="s">
        <v>25</v>
      </c>
      <c r="AC96" t="s">
        <v>22</v>
      </c>
      <c r="AD96" t="s">
        <v>1619</v>
      </c>
      <c r="AE96">
        <v>1.1121725366195284E-4</v>
      </c>
      <c r="AG96" t="s">
        <v>99</v>
      </c>
      <c r="AH96" t="s">
        <v>1619</v>
      </c>
      <c r="AI96">
        <v>0</v>
      </c>
    </row>
    <row r="97" spans="5:35" x14ac:dyDescent="0.45">
      <c r="E97" t="s">
        <v>1396</v>
      </c>
      <c r="G97" t="s">
        <v>155</v>
      </c>
      <c r="I97" t="s">
        <v>249</v>
      </c>
      <c r="J97" t="s">
        <v>1620</v>
      </c>
      <c r="K97">
        <v>0</v>
      </c>
      <c r="L97" t="s">
        <v>251</v>
      </c>
      <c r="N97" t="s">
        <v>419</v>
      </c>
      <c r="O97" t="s">
        <v>1620</v>
      </c>
      <c r="P97">
        <v>7.8868498594165864E-5</v>
      </c>
      <c r="Q97" t="s">
        <v>251</v>
      </c>
      <c r="S97" t="s">
        <v>420</v>
      </c>
      <c r="T97" t="s">
        <v>1620</v>
      </c>
      <c r="U97">
        <v>7.2162379536874617E-5</v>
      </c>
      <c r="V97" t="s">
        <v>251</v>
      </c>
      <c r="X97">
        <v>1.1415525114155251E-4</v>
      </c>
      <c r="Y97">
        <v>5.6352501470966035E-5</v>
      </c>
      <c r="Z97" t="s">
        <v>1620</v>
      </c>
      <c r="AA97" t="s">
        <v>25</v>
      </c>
      <c r="AC97" t="s">
        <v>22</v>
      </c>
      <c r="AD97" t="s">
        <v>1620</v>
      </c>
      <c r="AE97">
        <v>1.2396472687431376E-4</v>
      </c>
      <c r="AG97" t="s">
        <v>99</v>
      </c>
      <c r="AH97" t="s">
        <v>1620</v>
      </c>
      <c r="AI97">
        <v>0</v>
      </c>
    </row>
    <row r="98" spans="5:35" x14ac:dyDescent="0.45">
      <c r="E98" t="s">
        <v>1397</v>
      </c>
      <c r="G98" t="s">
        <v>155</v>
      </c>
      <c r="I98" t="s">
        <v>249</v>
      </c>
      <c r="J98" t="s">
        <v>1621</v>
      </c>
      <c r="K98">
        <v>0</v>
      </c>
      <c r="L98" t="s">
        <v>251</v>
      </c>
      <c r="N98" t="s">
        <v>419</v>
      </c>
      <c r="O98" t="s">
        <v>1621</v>
      </c>
      <c r="P98">
        <v>8.4408131202496684E-5</v>
      </c>
      <c r="Q98" t="s">
        <v>251</v>
      </c>
      <c r="S98" t="s">
        <v>420</v>
      </c>
      <c r="T98" t="s">
        <v>1621</v>
      </c>
      <c r="U98">
        <v>7.2872432483313474E-5</v>
      </c>
      <c r="V98" t="s">
        <v>251</v>
      </c>
      <c r="X98">
        <v>1.1415525114155251E-4</v>
      </c>
      <c r="Y98">
        <v>2.9833677249334962E-5</v>
      </c>
      <c r="Z98" t="s">
        <v>1621</v>
      </c>
      <c r="AA98" t="s">
        <v>25</v>
      </c>
      <c r="AC98" t="s">
        <v>22</v>
      </c>
      <c r="AD98" t="s">
        <v>1621</v>
      </c>
      <c r="AE98">
        <v>1.3446650036655317E-4</v>
      </c>
      <c r="AG98" t="s">
        <v>99</v>
      </c>
      <c r="AH98" t="s">
        <v>1621</v>
      </c>
      <c r="AI98">
        <v>0</v>
      </c>
    </row>
    <row r="99" spans="5:35" x14ac:dyDescent="0.45">
      <c r="E99" t="s">
        <v>1398</v>
      </c>
      <c r="G99" t="s">
        <v>155</v>
      </c>
      <c r="I99" t="s">
        <v>249</v>
      </c>
      <c r="J99" t="s">
        <v>1622</v>
      </c>
      <c r="K99">
        <v>0</v>
      </c>
      <c r="L99" t="s">
        <v>251</v>
      </c>
      <c r="N99" t="s">
        <v>419</v>
      </c>
      <c r="O99" t="s">
        <v>1622</v>
      </c>
      <c r="P99">
        <v>9.0967224012667423E-5</v>
      </c>
      <c r="Q99" t="s">
        <v>251</v>
      </c>
      <c r="S99" t="s">
        <v>420</v>
      </c>
      <c r="T99" t="s">
        <v>1622</v>
      </c>
      <c r="U99">
        <v>7.4491717708956314E-5</v>
      </c>
      <c r="V99" t="s">
        <v>251</v>
      </c>
      <c r="X99">
        <v>1.1415525114155251E-4</v>
      </c>
      <c r="Y99">
        <v>2.1546544680075254E-5</v>
      </c>
      <c r="Z99" t="s">
        <v>1622</v>
      </c>
      <c r="AA99" t="s">
        <v>25</v>
      </c>
      <c r="AC99" t="s">
        <v>22</v>
      </c>
      <c r="AD99" t="s">
        <v>1622</v>
      </c>
      <c r="AE99">
        <v>1.3431758128696955E-4</v>
      </c>
      <c r="AG99" t="s">
        <v>99</v>
      </c>
      <c r="AH99" t="s">
        <v>1622</v>
      </c>
      <c r="AI99">
        <v>0</v>
      </c>
    </row>
    <row r="100" spans="5:35" x14ac:dyDescent="0.45">
      <c r="E100" t="s">
        <v>1399</v>
      </c>
      <c r="G100" t="s">
        <v>155</v>
      </c>
      <c r="I100" t="s">
        <v>249</v>
      </c>
      <c r="J100" t="s">
        <v>1623</v>
      </c>
      <c r="K100">
        <v>0</v>
      </c>
      <c r="L100" t="s">
        <v>251</v>
      </c>
      <c r="N100" t="s">
        <v>419</v>
      </c>
      <c r="O100" t="s">
        <v>1623</v>
      </c>
      <c r="P100">
        <v>9.4799666463841618E-5</v>
      </c>
      <c r="Q100" t="s">
        <v>251</v>
      </c>
      <c r="S100" t="s">
        <v>420</v>
      </c>
      <c r="T100" t="s">
        <v>1623</v>
      </c>
      <c r="U100">
        <v>7.7538581106970799E-5</v>
      </c>
      <c r="V100" t="s">
        <v>251</v>
      </c>
      <c r="X100">
        <v>1.1415525114155251E-4</v>
      </c>
      <c r="Y100">
        <v>1.4916838624667481E-5</v>
      </c>
      <c r="Z100" t="s">
        <v>1623</v>
      </c>
      <c r="AA100" t="s">
        <v>25</v>
      </c>
      <c r="AC100" t="s">
        <v>22</v>
      </c>
      <c r="AD100" t="s">
        <v>1623</v>
      </c>
      <c r="AE100">
        <v>1.3119028061571276E-4</v>
      </c>
      <c r="AG100" t="s">
        <v>99</v>
      </c>
      <c r="AH100" t="s">
        <v>1623</v>
      </c>
      <c r="AI100">
        <v>0</v>
      </c>
    </row>
    <row r="101" spans="5:35" x14ac:dyDescent="0.45">
      <c r="E101" t="s">
        <v>1400</v>
      </c>
      <c r="G101" t="s">
        <v>155</v>
      </c>
      <c r="I101" t="s">
        <v>249</v>
      </c>
      <c r="J101" t="s">
        <v>1624</v>
      </c>
      <c r="K101">
        <v>0</v>
      </c>
      <c r="L101" t="s">
        <v>251</v>
      </c>
      <c r="N101" t="s">
        <v>419</v>
      </c>
      <c r="O101" t="s">
        <v>1624</v>
      </c>
      <c r="P101">
        <v>9.562885457547748E-5</v>
      </c>
      <c r="Q101" t="s">
        <v>251</v>
      </c>
      <c r="S101" t="s">
        <v>420</v>
      </c>
      <c r="T101" t="s">
        <v>1624</v>
      </c>
      <c r="U101">
        <v>8.2912196655312553E-5</v>
      </c>
      <c r="V101" t="s">
        <v>251</v>
      </c>
      <c r="X101">
        <v>1.1415525114155251E-4</v>
      </c>
      <c r="Y101">
        <v>1.6574265138519424E-5</v>
      </c>
      <c r="Z101" t="s">
        <v>1624</v>
      </c>
      <c r="AA101" t="s">
        <v>25</v>
      </c>
      <c r="AC101" t="s">
        <v>22</v>
      </c>
      <c r="AD101" t="s">
        <v>1624</v>
      </c>
      <c r="AE101">
        <v>1.3152385935398013E-4</v>
      </c>
      <c r="AG101" t="s">
        <v>99</v>
      </c>
      <c r="AH101" t="s">
        <v>1624</v>
      </c>
      <c r="AI101">
        <v>0</v>
      </c>
    </row>
    <row r="102" spans="5:35" x14ac:dyDescent="0.45">
      <c r="E102" t="s">
        <v>1401</v>
      </c>
      <c r="G102" t="s">
        <v>155</v>
      </c>
      <c r="I102" t="s">
        <v>249</v>
      </c>
      <c r="J102" t="s">
        <v>1625</v>
      </c>
      <c r="K102">
        <v>0</v>
      </c>
      <c r="L102" t="s">
        <v>251</v>
      </c>
      <c r="N102" t="s">
        <v>419</v>
      </c>
      <c r="O102" t="s">
        <v>1625</v>
      </c>
      <c r="P102">
        <v>9.5974150405982441E-5</v>
      </c>
      <c r="Q102" t="s">
        <v>251</v>
      </c>
      <c r="S102" t="s">
        <v>420</v>
      </c>
      <c r="T102" t="s">
        <v>1625</v>
      </c>
      <c r="U102">
        <v>9.1366529470875556E-5</v>
      </c>
      <c r="V102" t="s">
        <v>251</v>
      </c>
      <c r="X102">
        <v>1.1415525114155251E-4</v>
      </c>
      <c r="Y102">
        <v>1.4585353321897093E-5</v>
      </c>
      <c r="Z102" t="s">
        <v>1625</v>
      </c>
      <c r="AA102" t="s">
        <v>25</v>
      </c>
      <c r="AC102" t="s">
        <v>22</v>
      </c>
      <c r="AD102" t="s">
        <v>1625</v>
      </c>
      <c r="AE102">
        <v>1.3152385935398013E-4</v>
      </c>
      <c r="AG102" t="s">
        <v>99</v>
      </c>
      <c r="AH102" t="s">
        <v>1625</v>
      </c>
      <c r="AI102">
        <v>0</v>
      </c>
    </row>
    <row r="103" spans="5:35" x14ac:dyDescent="0.45">
      <c r="E103" t="s">
        <v>1402</v>
      </c>
      <c r="G103" t="s">
        <v>155</v>
      </c>
      <c r="I103" t="s">
        <v>249</v>
      </c>
      <c r="J103" t="s">
        <v>1626</v>
      </c>
      <c r="K103">
        <v>0</v>
      </c>
      <c r="L103" t="s">
        <v>251</v>
      </c>
      <c r="N103" t="s">
        <v>419</v>
      </c>
      <c r="O103" t="s">
        <v>1626</v>
      </c>
      <c r="P103">
        <v>9.2886360884807557E-5</v>
      </c>
      <c r="Q103" t="s">
        <v>251</v>
      </c>
      <c r="S103" t="s">
        <v>420</v>
      </c>
      <c r="T103" t="s">
        <v>1626</v>
      </c>
      <c r="U103">
        <v>9.5415458857715937E-5</v>
      </c>
      <c r="V103" t="s">
        <v>251</v>
      </c>
      <c r="X103">
        <v>1.1415525114155251E-4</v>
      </c>
      <c r="Y103">
        <v>2.1215059377304864E-5</v>
      </c>
      <c r="Z103" t="s">
        <v>1626</v>
      </c>
      <c r="AA103" t="s">
        <v>25</v>
      </c>
      <c r="AC103" t="s">
        <v>22</v>
      </c>
      <c r="AD103" t="s">
        <v>1626</v>
      </c>
      <c r="AE103">
        <v>1.3133919969529644E-4</v>
      </c>
      <c r="AG103" t="s">
        <v>99</v>
      </c>
      <c r="AH103" t="s">
        <v>1626</v>
      </c>
      <c r="AI103">
        <v>0</v>
      </c>
    </row>
    <row r="104" spans="5:35" x14ac:dyDescent="0.45">
      <c r="E104" t="s">
        <v>1403</v>
      </c>
      <c r="G104" t="s">
        <v>155</v>
      </c>
      <c r="I104" t="s">
        <v>249</v>
      </c>
      <c r="J104" t="s">
        <v>1627</v>
      </c>
      <c r="K104">
        <v>0</v>
      </c>
      <c r="L104" t="s">
        <v>251</v>
      </c>
      <c r="N104" t="s">
        <v>419</v>
      </c>
      <c r="O104" t="s">
        <v>1627</v>
      </c>
      <c r="P104">
        <v>8.7550445109481323E-5</v>
      </c>
      <c r="Q104" t="s">
        <v>251</v>
      </c>
      <c r="S104" t="s">
        <v>420</v>
      </c>
      <c r="T104" t="s">
        <v>1627</v>
      </c>
      <c r="U104">
        <v>9.6500650150446881E-5</v>
      </c>
      <c r="V104" t="s">
        <v>251</v>
      </c>
      <c r="X104">
        <v>1.1415525114155251E-4</v>
      </c>
      <c r="Y104">
        <v>5.7678442682047593E-5</v>
      </c>
      <c r="Z104" t="s">
        <v>1627</v>
      </c>
      <c r="AA104" t="s">
        <v>25</v>
      </c>
      <c r="AC104" t="s">
        <v>22</v>
      </c>
      <c r="AD104" t="s">
        <v>1627</v>
      </c>
      <c r="AE104">
        <v>1.3156555669626357E-4</v>
      </c>
      <c r="AG104" t="s">
        <v>99</v>
      </c>
      <c r="AH104" t="s">
        <v>1627</v>
      </c>
      <c r="AI104">
        <v>0</v>
      </c>
    </row>
    <row r="105" spans="5:35" x14ac:dyDescent="0.45">
      <c r="E105" t="s">
        <v>1404</v>
      </c>
      <c r="G105" t="s">
        <v>155</v>
      </c>
      <c r="I105" t="s">
        <v>249</v>
      </c>
      <c r="J105" t="s">
        <v>1628</v>
      </c>
      <c r="K105">
        <v>0</v>
      </c>
      <c r="L105" t="s">
        <v>251</v>
      </c>
      <c r="N105" t="s">
        <v>419</v>
      </c>
      <c r="O105" t="s">
        <v>1628</v>
      </c>
      <c r="P105">
        <v>8.0911342550916545E-5</v>
      </c>
      <c r="Q105" t="s">
        <v>251</v>
      </c>
      <c r="S105" t="s">
        <v>420</v>
      </c>
      <c r="T105" t="s">
        <v>1628</v>
      </c>
      <c r="U105">
        <v>1.0310363293340001E-4</v>
      </c>
      <c r="V105" t="s">
        <v>251</v>
      </c>
      <c r="X105">
        <v>1.1415525114155251E-4</v>
      </c>
      <c r="Y105">
        <v>1.6905750441289813E-4</v>
      </c>
      <c r="Z105" t="s">
        <v>1628</v>
      </c>
      <c r="AA105" t="s">
        <v>25</v>
      </c>
      <c r="AC105" t="s">
        <v>22</v>
      </c>
      <c r="AD105" t="s">
        <v>1628</v>
      </c>
      <c r="AE105">
        <v>1.3178000017086402E-4</v>
      </c>
      <c r="AG105" t="s">
        <v>99</v>
      </c>
      <c r="AH105" t="s">
        <v>1628</v>
      </c>
      <c r="AI105">
        <v>0</v>
      </c>
    </row>
    <row r="106" spans="5:35" x14ac:dyDescent="0.45">
      <c r="E106" t="s">
        <v>1405</v>
      </c>
      <c r="G106" t="s">
        <v>155</v>
      </c>
      <c r="I106" t="s">
        <v>249</v>
      </c>
      <c r="J106" t="s">
        <v>1629</v>
      </c>
      <c r="K106">
        <v>6.1087071718284828E-5</v>
      </c>
      <c r="L106" t="s">
        <v>251</v>
      </c>
      <c r="N106" t="s">
        <v>419</v>
      </c>
      <c r="O106" t="s">
        <v>1629</v>
      </c>
      <c r="P106">
        <v>8.2527897622204069E-5</v>
      </c>
      <c r="Q106" t="s">
        <v>251</v>
      </c>
      <c r="S106" t="s">
        <v>420</v>
      </c>
      <c r="T106" t="s">
        <v>1629</v>
      </c>
      <c r="U106">
        <v>1.1578520279760001E-4</v>
      </c>
      <c r="V106" t="s">
        <v>251</v>
      </c>
      <c r="X106">
        <v>1.1415525114155251E-4</v>
      </c>
      <c r="Y106">
        <v>1.9060404909297337E-4</v>
      </c>
      <c r="Z106" t="s">
        <v>1629</v>
      </c>
      <c r="AA106" t="s">
        <v>25</v>
      </c>
      <c r="AC106" t="s">
        <v>22</v>
      </c>
      <c r="AD106" t="s">
        <v>1629</v>
      </c>
      <c r="AE106">
        <v>1.3313218541348364E-4</v>
      </c>
      <c r="AG106" t="s">
        <v>99</v>
      </c>
      <c r="AH106" t="s">
        <v>1629</v>
      </c>
      <c r="AI106">
        <v>0</v>
      </c>
    </row>
    <row r="107" spans="5:35" x14ac:dyDescent="0.45">
      <c r="E107" t="s">
        <v>798</v>
      </c>
      <c r="G107" t="s">
        <v>155</v>
      </c>
      <c r="I107" t="s">
        <v>249</v>
      </c>
      <c r="J107" t="s">
        <v>1630</v>
      </c>
      <c r="K107">
        <v>1.702350852404E-4</v>
      </c>
      <c r="L107" t="s">
        <v>251</v>
      </c>
      <c r="N107" t="s">
        <v>419</v>
      </c>
      <c r="O107" t="s">
        <v>1630</v>
      </c>
      <c r="P107">
        <v>7.1511634934751111E-5</v>
      </c>
      <c r="Q107" t="s">
        <v>251</v>
      </c>
      <c r="S107" t="s">
        <v>420</v>
      </c>
      <c r="T107" t="s">
        <v>1630</v>
      </c>
      <c r="U107">
        <v>1.285154704749E-4</v>
      </c>
      <c r="V107" t="s">
        <v>251</v>
      </c>
      <c r="X107">
        <v>1.1415525114155251E-4</v>
      </c>
      <c r="Y107">
        <v>1.4585353321897094E-4</v>
      </c>
      <c r="Z107" t="s">
        <v>1630</v>
      </c>
      <c r="AA107" t="s">
        <v>25</v>
      </c>
      <c r="AC107" t="s">
        <v>22</v>
      </c>
      <c r="AD107" t="s">
        <v>1630</v>
      </c>
      <c r="AE107">
        <v>1.3432353805015287E-4</v>
      </c>
      <c r="AG107" t="s">
        <v>99</v>
      </c>
      <c r="AH107" t="s">
        <v>1630</v>
      </c>
      <c r="AI107">
        <v>0</v>
      </c>
    </row>
    <row r="108" spans="5:35" x14ac:dyDescent="0.45">
      <c r="E108" t="s">
        <v>799</v>
      </c>
      <c r="G108" t="s">
        <v>155</v>
      </c>
      <c r="I108" t="s">
        <v>249</v>
      </c>
      <c r="J108" t="s">
        <v>1631</v>
      </c>
      <c r="K108">
        <v>1.9914069007289999E-4</v>
      </c>
      <c r="L108" t="s">
        <v>251</v>
      </c>
      <c r="N108" t="s">
        <v>419</v>
      </c>
      <c r="O108" t="s">
        <v>1631</v>
      </c>
      <c r="P108">
        <v>5.1544709698343794E-5</v>
      </c>
      <c r="Q108" t="s">
        <v>251</v>
      </c>
      <c r="S108" t="s">
        <v>420</v>
      </c>
      <c r="T108" t="s">
        <v>1631</v>
      </c>
      <c r="U108">
        <v>1.22176636002E-4</v>
      </c>
      <c r="V108" t="s">
        <v>251</v>
      </c>
      <c r="X108">
        <v>1.1415525114155251E-4</v>
      </c>
      <c r="Y108">
        <v>1.4452759200788939E-4</v>
      </c>
      <c r="Z108" t="s">
        <v>1631</v>
      </c>
      <c r="AA108" t="s">
        <v>25</v>
      </c>
      <c r="AC108" t="s">
        <v>22</v>
      </c>
      <c r="AD108" t="s">
        <v>1631</v>
      </c>
      <c r="AE108">
        <v>1.3615226434744018E-4</v>
      </c>
      <c r="AG108" t="s">
        <v>99</v>
      </c>
      <c r="AH108" t="s">
        <v>1631</v>
      </c>
      <c r="AI108">
        <v>0</v>
      </c>
    </row>
    <row r="109" spans="5:35" x14ac:dyDescent="0.45">
      <c r="E109" t="s">
        <v>800</v>
      </c>
      <c r="G109" t="s">
        <v>155</v>
      </c>
      <c r="I109" t="s">
        <v>249</v>
      </c>
      <c r="J109" t="s">
        <v>1632</v>
      </c>
      <c r="K109">
        <v>2.0559882890259999E-4</v>
      </c>
      <c r="L109" t="s">
        <v>251</v>
      </c>
      <c r="N109" t="s">
        <v>419</v>
      </c>
      <c r="O109" t="s">
        <v>1632</v>
      </c>
      <c r="P109">
        <v>5.4122810937324691E-5</v>
      </c>
      <c r="Q109" t="s">
        <v>251</v>
      </c>
      <c r="S109" t="s">
        <v>420</v>
      </c>
      <c r="T109" t="s">
        <v>1632</v>
      </c>
      <c r="U109">
        <v>1.15005494477E-4</v>
      </c>
      <c r="V109" t="s">
        <v>251</v>
      </c>
      <c r="X109">
        <v>1.1415525114155251E-4</v>
      </c>
      <c r="Y109">
        <v>1.408812536774151E-4</v>
      </c>
      <c r="Z109" t="s">
        <v>1632</v>
      </c>
      <c r="AA109" t="s">
        <v>25</v>
      </c>
      <c r="AC109" t="s">
        <v>22</v>
      </c>
      <c r="AD109" t="s">
        <v>1632</v>
      </c>
      <c r="AE109">
        <v>1.3814778001386118E-4</v>
      </c>
      <c r="AG109" t="s">
        <v>99</v>
      </c>
      <c r="AH109" t="s">
        <v>1632</v>
      </c>
      <c r="AI109">
        <v>0</v>
      </c>
    </row>
    <row r="110" spans="5:35" x14ac:dyDescent="0.45">
      <c r="E110" t="s">
        <v>801</v>
      </c>
      <c r="G110" t="s">
        <v>155</v>
      </c>
      <c r="I110" t="s">
        <v>249</v>
      </c>
      <c r="J110" t="s">
        <v>1633</v>
      </c>
      <c r="K110">
        <v>2.2839128121120001E-4</v>
      </c>
      <c r="L110" t="s">
        <v>251</v>
      </c>
      <c r="N110" t="s">
        <v>419</v>
      </c>
      <c r="O110" t="s">
        <v>1633</v>
      </c>
      <c r="P110">
        <v>5.7546455490596312E-5</v>
      </c>
      <c r="Q110" t="s">
        <v>251</v>
      </c>
      <c r="S110" t="s">
        <v>420</v>
      </c>
      <c r="T110" t="s">
        <v>1633</v>
      </c>
      <c r="U110">
        <v>1.170063279292E-4</v>
      </c>
      <c r="V110" t="s">
        <v>251</v>
      </c>
      <c r="X110">
        <v>1.1415525114155251E-4</v>
      </c>
      <c r="Y110">
        <v>1.4054976837464471E-4</v>
      </c>
      <c r="Z110" t="s">
        <v>1633</v>
      </c>
      <c r="AA110" t="s">
        <v>25</v>
      </c>
      <c r="AC110" t="s">
        <v>22</v>
      </c>
      <c r="AD110" t="s">
        <v>1633</v>
      </c>
      <c r="AE110">
        <v>1.3354915883631788E-4</v>
      </c>
      <c r="AG110" t="s">
        <v>99</v>
      </c>
      <c r="AH110" t="s">
        <v>1633</v>
      </c>
      <c r="AI110">
        <v>0</v>
      </c>
    </row>
    <row r="111" spans="5:35" x14ac:dyDescent="0.45">
      <c r="E111" t="s">
        <v>802</v>
      </c>
      <c r="G111" t="s">
        <v>155</v>
      </c>
      <c r="I111" t="s">
        <v>249</v>
      </c>
      <c r="J111" t="s">
        <v>1634</v>
      </c>
      <c r="K111">
        <v>2.5608047913440002E-4</v>
      </c>
      <c r="L111" t="s">
        <v>251</v>
      </c>
      <c r="N111" t="s">
        <v>419</v>
      </c>
      <c r="O111" t="s">
        <v>1634</v>
      </c>
      <c r="P111">
        <v>5.7783894940804879E-5</v>
      </c>
      <c r="Q111" t="s">
        <v>251</v>
      </c>
      <c r="S111" t="s">
        <v>420</v>
      </c>
      <c r="T111" t="s">
        <v>1634</v>
      </c>
      <c r="U111">
        <v>1.258754335899E-4</v>
      </c>
      <c r="V111" t="s">
        <v>251</v>
      </c>
      <c r="X111">
        <v>1.1415525114155251E-4</v>
      </c>
      <c r="Y111">
        <v>1.4253868019126702E-4</v>
      </c>
      <c r="Z111" t="s">
        <v>1634</v>
      </c>
      <c r="AA111" t="s">
        <v>25</v>
      </c>
      <c r="AC111" t="s">
        <v>22</v>
      </c>
      <c r="AD111" t="s">
        <v>1634</v>
      </c>
      <c r="AE111">
        <v>1.2871822389462408E-4</v>
      </c>
      <c r="AG111" t="s">
        <v>99</v>
      </c>
      <c r="AH111" t="s">
        <v>1634</v>
      </c>
      <c r="AI111">
        <v>0</v>
      </c>
    </row>
    <row r="112" spans="5:35" x14ac:dyDescent="0.45">
      <c r="E112" t="s">
        <v>803</v>
      </c>
      <c r="G112" t="s">
        <v>155</v>
      </c>
      <c r="I112" t="s">
        <v>249</v>
      </c>
      <c r="J112" t="s">
        <v>1635</v>
      </c>
      <c r="K112">
        <v>2.3165676394450001E-4</v>
      </c>
      <c r="L112" t="s">
        <v>251</v>
      </c>
      <c r="N112" t="s">
        <v>419</v>
      </c>
      <c r="O112" t="s">
        <v>1635</v>
      </c>
      <c r="P112">
        <v>5.49068729101472E-5</v>
      </c>
      <c r="Q112" t="s">
        <v>251</v>
      </c>
      <c r="S112" t="s">
        <v>420</v>
      </c>
      <c r="T112" t="s">
        <v>1635</v>
      </c>
      <c r="U112">
        <v>1.342982654103E-4</v>
      </c>
      <c r="V112" t="s">
        <v>251</v>
      </c>
      <c r="X112">
        <v>1.1415525114155251E-4</v>
      </c>
      <c r="Y112">
        <v>1.4883690094390442E-4</v>
      </c>
      <c r="Z112" t="s">
        <v>1635</v>
      </c>
      <c r="AA112" t="s">
        <v>25</v>
      </c>
      <c r="AC112" t="s">
        <v>22</v>
      </c>
      <c r="AD112" t="s">
        <v>1635</v>
      </c>
      <c r="AE112">
        <v>1.1497001446746098E-4</v>
      </c>
      <c r="AG112" t="s">
        <v>99</v>
      </c>
      <c r="AH112" t="s">
        <v>1635</v>
      </c>
      <c r="AI112">
        <v>0</v>
      </c>
    </row>
    <row r="113" spans="5:35" x14ac:dyDescent="0.45">
      <c r="E113" t="s">
        <v>804</v>
      </c>
      <c r="G113" t="s">
        <v>155</v>
      </c>
      <c r="I113" t="s">
        <v>249</v>
      </c>
      <c r="J113" t="s">
        <v>1636</v>
      </c>
      <c r="K113">
        <v>1.934231905467E-4</v>
      </c>
      <c r="L113" t="s">
        <v>251</v>
      </c>
      <c r="N113" t="s">
        <v>419</v>
      </c>
      <c r="O113" t="s">
        <v>1636</v>
      </c>
      <c r="P113">
        <v>5.1814125059375455E-5</v>
      </c>
      <c r="Q113" t="s">
        <v>251</v>
      </c>
      <c r="S113" t="s">
        <v>420</v>
      </c>
      <c r="T113" t="s">
        <v>1636</v>
      </c>
      <c r="U113">
        <v>1.3801620392959999E-4</v>
      </c>
      <c r="V113" t="s">
        <v>251</v>
      </c>
      <c r="X113">
        <v>1.1415525114155251E-4</v>
      </c>
      <c r="Y113">
        <v>1.5049432745775637E-4</v>
      </c>
      <c r="Z113" t="s">
        <v>1636</v>
      </c>
      <c r="AA113" t="s">
        <v>25</v>
      </c>
      <c r="AC113" t="s">
        <v>22</v>
      </c>
      <c r="AD113" t="s">
        <v>1636</v>
      </c>
      <c r="AE113">
        <v>1.0465885739708866E-4</v>
      </c>
      <c r="AG113" t="s">
        <v>99</v>
      </c>
      <c r="AH113" t="s">
        <v>1636</v>
      </c>
      <c r="AI113">
        <v>0</v>
      </c>
    </row>
    <row r="114" spans="5:35" x14ac:dyDescent="0.45">
      <c r="E114" t="s">
        <v>805</v>
      </c>
      <c r="G114" t="s">
        <v>155</v>
      </c>
      <c r="I114" t="s">
        <v>249</v>
      </c>
      <c r="J114" t="s">
        <v>1637</v>
      </c>
      <c r="K114">
        <v>1.7401671274050001E-4</v>
      </c>
      <c r="L114" t="s">
        <v>251</v>
      </c>
      <c r="N114" t="s">
        <v>419</v>
      </c>
      <c r="O114" t="s">
        <v>1637</v>
      </c>
      <c r="P114">
        <v>4.9933290656431172E-5</v>
      </c>
      <c r="Q114" t="s">
        <v>251</v>
      </c>
      <c r="S114" t="s">
        <v>420</v>
      </c>
      <c r="T114" t="s">
        <v>1637</v>
      </c>
      <c r="U114">
        <v>1.4485420840359999E-4</v>
      </c>
      <c r="V114" t="s">
        <v>251</v>
      </c>
      <c r="X114">
        <v>1.1415525114155251E-4</v>
      </c>
      <c r="Y114">
        <v>1.7237235744060203E-4</v>
      </c>
      <c r="Z114" t="s">
        <v>1637</v>
      </c>
      <c r="AA114" t="s">
        <v>25</v>
      </c>
      <c r="AC114" t="s">
        <v>22</v>
      </c>
      <c r="AD114" t="s">
        <v>1637</v>
      </c>
      <c r="AE114">
        <v>8.8575596802053833E-5</v>
      </c>
      <c r="AG114" t="s">
        <v>99</v>
      </c>
      <c r="AH114" t="s">
        <v>1637</v>
      </c>
      <c r="AI114">
        <v>0</v>
      </c>
    </row>
    <row r="115" spans="5:35" x14ac:dyDescent="0.45">
      <c r="E115" t="s">
        <v>806</v>
      </c>
      <c r="G115" t="s">
        <v>155</v>
      </c>
      <c r="I115" t="s">
        <v>249</v>
      </c>
      <c r="J115" t="s">
        <v>1638</v>
      </c>
      <c r="K115">
        <v>1.3449141950460001E-4</v>
      </c>
      <c r="L115" t="s">
        <v>251</v>
      </c>
      <c r="N115" t="s">
        <v>419</v>
      </c>
      <c r="O115" t="s">
        <v>1638</v>
      </c>
      <c r="P115">
        <v>4.7541153019788353E-5</v>
      </c>
      <c r="Q115" t="s">
        <v>251</v>
      </c>
      <c r="S115" t="s">
        <v>420</v>
      </c>
      <c r="T115" t="s">
        <v>1638</v>
      </c>
      <c r="U115">
        <v>1.567071587575E-4</v>
      </c>
      <c r="V115" t="s">
        <v>251</v>
      </c>
      <c r="X115">
        <v>1.1415525114155251E-4</v>
      </c>
      <c r="Y115">
        <v>2.2209515285616027E-4</v>
      </c>
      <c r="Z115" t="s">
        <v>1638</v>
      </c>
      <c r="AA115" t="s">
        <v>25</v>
      </c>
      <c r="AC115" t="s">
        <v>22</v>
      </c>
      <c r="AD115" t="s">
        <v>1638</v>
      </c>
      <c r="AE115">
        <v>8.4852619812462429E-5</v>
      </c>
      <c r="AG115" t="s">
        <v>99</v>
      </c>
      <c r="AH115" t="s">
        <v>1638</v>
      </c>
      <c r="AI115">
        <v>0</v>
      </c>
    </row>
    <row r="116" spans="5:35" x14ac:dyDescent="0.45">
      <c r="E116" t="s">
        <v>807</v>
      </c>
      <c r="G116" t="s">
        <v>155</v>
      </c>
      <c r="I116" t="s">
        <v>249</v>
      </c>
      <c r="J116" t="s">
        <v>1639</v>
      </c>
      <c r="K116">
        <v>1.0400235417990001E-4</v>
      </c>
      <c r="L116" t="s">
        <v>251</v>
      </c>
      <c r="N116" t="s">
        <v>419</v>
      </c>
      <c r="O116" t="s">
        <v>1639</v>
      </c>
      <c r="P116">
        <v>4.2590932846143637E-5</v>
      </c>
      <c r="Q116" t="s">
        <v>251</v>
      </c>
      <c r="S116" t="s">
        <v>420</v>
      </c>
      <c r="T116" t="s">
        <v>1639</v>
      </c>
      <c r="U116">
        <v>1.718937282485E-4</v>
      </c>
      <c r="V116" t="s">
        <v>251</v>
      </c>
      <c r="X116">
        <v>1.1415525114155251E-4</v>
      </c>
      <c r="Y116">
        <v>2.2209515285616027E-4</v>
      </c>
      <c r="Z116" t="s">
        <v>1639</v>
      </c>
      <c r="AA116" t="s">
        <v>25</v>
      </c>
      <c r="AC116" t="s">
        <v>22</v>
      </c>
      <c r="AD116" t="s">
        <v>1639</v>
      </c>
      <c r="AE116">
        <v>8.0724582926403499E-5</v>
      </c>
      <c r="AG116" t="s">
        <v>99</v>
      </c>
      <c r="AH116" t="s">
        <v>1639</v>
      </c>
      <c r="AI116">
        <v>0</v>
      </c>
    </row>
    <row r="117" spans="5:35" x14ac:dyDescent="0.45">
      <c r="E117" t="s">
        <v>809</v>
      </c>
      <c r="G117" t="s">
        <v>155</v>
      </c>
      <c r="I117" t="s">
        <v>249</v>
      </c>
      <c r="J117" t="s">
        <v>1640</v>
      </c>
      <c r="K117">
        <v>1.9244258400209769E-5</v>
      </c>
      <c r="L117" t="s">
        <v>251</v>
      </c>
      <c r="N117" t="s">
        <v>419</v>
      </c>
      <c r="O117" t="s">
        <v>1640</v>
      </c>
      <c r="P117">
        <v>4.3889820399829227E-5</v>
      </c>
      <c r="Q117" t="s">
        <v>251</v>
      </c>
      <c r="S117" t="s">
        <v>420</v>
      </c>
      <c r="T117" t="s">
        <v>1640</v>
      </c>
      <c r="U117">
        <v>1.7541035646439999E-4</v>
      </c>
      <c r="V117" t="s">
        <v>251</v>
      </c>
      <c r="X117">
        <v>1.1415525114155251E-4</v>
      </c>
      <c r="Y117">
        <v>1.7237235744060203E-4</v>
      </c>
      <c r="Z117" t="s">
        <v>1640</v>
      </c>
      <c r="AA117" t="s">
        <v>25</v>
      </c>
      <c r="AC117" t="s">
        <v>22</v>
      </c>
      <c r="AD117" t="s">
        <v>1640</v>
      </c>
      <c r="AE117">
        <v>8.1939762615806133E-5</v>
      </c>
      <c r="AG117" t="s">
        <v>99</v>
      </c>
      <c r="AH117" t="s">
        <v>1640</v>
      </c>
      <c r="AI117">
        <v>0</v>
      </c>
    </row>
    <row r="118" spans="5:35" x14ac:dyDescent="0.45">
      <c r="E118" t="s">
        <v>811</v>
      </c>
      <c r="G118" t="s">
        <v>155</v>
      </c>
      <c r="I118" t="s">
        <v>249</v>
      </c>
      <c r="J118" t="s">
        <v>1641</v>
      </c>
      <c r="K118">
        <v>0</v>
      </c>
      <c r="L118" t="s">
        <v>251</v>
      </c>
      <c r="N118" t="s">
        <v>419</v>
      </c>
      <c r="O118" t="s">
        <v>1641</v>
      </c>
      <c r="P118">
        <v>5.5466257148273772E-5</v>
      </c>
      <c r="Q118" t="s">
        <v>251</v>
      </c>
      <c r="S118" t="s">
        <v>420</v>
      </c>
      <c r="T118" t="s">
        <v>1641</v>
      </c>
      <c r="U118">
        <v>1.722976554464E-4</v>
      </c>
      <c r="V118" t="s">
        <v>251</v>
      </c>
      <c r="X118">
        <v>1.1415525114155251E-4</v>
      </c>
      <c r="Y118">
        <v>1.5579809230208258E-4</v>
      </c>
      <c r="Z118" t="s">
        <v>1641</v>
      </c>
      <c r="AA118" t="s">
        <v>25</v>
      </c>
      <c r="AC118" t="s">
        <v>22</v>
      </c>
      <c r="AD118" t="s">
        <v>1641</v>
      </c>
      <c r="AE118">
        <v>8.245800101275725E-5</v>
      </c>
      <c r="AG118" t="s">
        <v>99</v>
      </c>
      <c r="AH118" t="s">
        <v>1641</v>
      </c>
      <c r="AI118">
        <v>0</v>
      </c>
    </row>
    <row r="119" spans="5:35" x14ac:dyDescent="0.45">
      <c r="E119" t="s">
        <v>813</v>
      </c>
      <c r="G119" t="s">
        <v>155</v>
      </c>
      <c r="I119" t="s">
        <v>249</v>
      </c>
      <c r="J119" t="s">
        <v>1642</v>
      </c>
      <c r="K119">
        <v>0</v>
      </c>
      <c r="L119" t="s">
        <v>251</v>
      </c>
      <c r="N119" t="s">
        <v>419</v>
      </c>
      <c r="O119" t="s">
        <v>1642</v>
      </c>
      <c r="P119">
        <v>6.8496769926369177E-5</v>
      </c>
      <c r="Q119" t="s">
        <v>251</v>
      </c>
      <c r="S119" t="s">
        <v>420</v>
      </c>
      <c r="T119" t="s">
        <v>1642</v>
      </c>
      <c r="U119">
        <v>1.7144896044789999E-4</v>
      </c>
      <c r="V119" t="s">
        <v>251</v>
      </c>
      <c r="X119">
        <v>1.1415525114155251E-4</v>
      </c>
      <c r="Y119">
        <v>1.093901499142282E-4</v>
      </c>
      <c r="Z119" t="s">
        <v>1642</v>
      </c>
      <c r="AA119" t="s">
        <v>25</v>
      </c>
      <c r="AC119" t="s">
        <v>22</v>
      </c>
      <c r="AD119" t="s">
        <v>1642</v>
      </c>
      <c r="AE119">
        <v>9.8702094213742403E-5</v>
      </c>
      <c r="AG119" t="s">
        <v>99</v>
      </c>
      <c r="AH119" t="s">
        <v>1642</v>
      </c>
      <c r="AI119">
        <v>0</v>
      </c>
    </row>
    <row r="120" spans="5:35" x14ac:dyDescent="0.45">
      <c r="E120" t="s">
        <v>815</v>
      </c>
      <c r="G120" t="s">
        <v>155</v>
      </c>
      <c r="I120" t="s">
        <v>249</v>
      </c>
      <c r="J120" t="s">
        <v>1643</v>
      </c>
      <c r="K120">
        <v>0</v>
      </c>
      <c r="L120" t="s">
        <v>251</v>
      </c>
      <c r="N120" t="s">
        <v>419</v>
      </c>
      <c r="O120" t="s">
        <v>1643</v>
      </c>
      <c r="P120">
        <v>8.2530672691559802E-5</v>
      </c>
      <c r="Q120" t="s">
        <v>251</v>
      </c>
      <c r="S120" t="s">
        <v>420</v>
      </c>
      <c r="T120" t="s">
        <v>1643</v>
      </c>
      <c r="U120">
        <v>1.691028084236E-4</v>
      </c>
      <c r="V120" t="s">
        <v>251</v>
      </c>
      <c r="X120">
        <v>1.1415525114155251E-4</v>
      </c>
      <c r="Y120">
        <v>7.9556472664893237E-5</v>
      </c>
      <c r="Z120" t="s">
        <v>1643</v>
      </c>
      <c r="AA120" t="s">
        <v>25</v>
      </c>
      <c r="AC120" t="s">
        <v>22</v>
      </c>
      <c r="AD120" t="s">
        <v>1643</v>
      </c>
      <c r="AE120">
        <v>1.1346891014525771E-4</v>
      </c>
      <c r="AG120" t="s">
        <v>99</v>
      </c>
      <c r="AH120" t="s">
        <v>1643</v>
      </c>
      <c r="AI120">
        <v>0</v>
      </c>
    </row>
    <row r="121" spans="5:35" x14ac:dyDescent="0.45">
      <c r="E121" t="s">
        <v>817</v>
      </c>
      <c r="G121" t="s">
        <v>155</v>
      </c>
      <c r="I121" t="s">
        <v>249</v>
      </c>
      <c r="J121" t="s">
        <v>1644</v>
      </c>
      <c r="K121">
        <v>0</v>
      </c>
      <c r="L121" t="s">
        <v>251</v>
      </c>
      <c r="N121" t="s">
        <v>419</v>
      </c>
      <c r="O121" t="s">
        <v>1644</v>
      </c>
      <c r="P121">
        <v>9.2829434083474096E-5</v>
      </c>
      <c r="Q121" t="s">
        <v>251</v>
      </c>
      <c r="S121" t="s">
        <v>420</v>
      </c>
      <c r="T121" t="s">
        <v>1644</v>
      </c>
      <c r="U121">
        <v>1.6824541041649999E-4</v>
      </c>
      <c r="V121" t="s">
        <v>251</v>
      </c>
      <c r="X121">
        <v>1.1415525114155251E-4</v>
      </c>
      <c r="Y121">
        <v>5.6352501470966035E-5</v>
      </c>
      <c r="Z121" t="s">
        <v>1644</v>
      </c>
      <c r="AA121" t="s">
        <v>25</v>
      </c>
      <c r="AC121" t="s">
        <v>22</v>
      </c>
      <c r="AD121" t="s">
        <v>1644</v>
      </c>
      <c r="AE121">
        <v>1.2396472687431376E-4</v>
      </c>
      <c r="AG121" t="s">
        <v>99</v>
      </c>
      <c r="AH121" t="s">
        <v>1644</v>
      </c>
      <c r="AI121">
        <v>0</v>
      </c>
    </row>
    <row r="122" spans="5:35" x14ac:dyDescent="0.45">
      <c r="E122" t="s">
        <v>819</v>
      </c>
      <c r="G122" t="s">
        <v>155</v>
      </c>
      <c r="I122" t="s">
        <v>249</v>
      </c>
      <c r="J122" t="s">
        <v>1645</v>
      </c>
      <c r="K122">
        <v>0</v>
      </c>
      <c r="L122" t="s">
        <v>251</v>
      </c>
      <c r="N122" t="s">
        <v>419</v>
      </c>
      <c r="O122" t="s">
        <v>1645</v>
      </c>
      <c r="P122">
        <v>9.6778832420483862E-5</v>
      </c>
      <c r="Q122" t="s">
        <v>251</v>
      </c>
      <c r="S122" t="s">
        <v>420</v>
      </c>
      <c r="T122" t="s">
        <v>1645</v>
      </c>
      <c r="U122">
        <v>1.695122272828E-4</v>
      </c>
      <c r="V122" t="s">
        <v>251</v>
      </c>
      <c r="X122">
        <v>1.1415525114155251E-4</v>
      </c>
      <c r="Y122">
        <v>2.9833677249334962E-5</v>
      </c>
      <c r="Z122" t="s">
        <v>1645</v>
      </c>
      <c r="AA122" t="s">
        <v>25</v>
      </c>
      <c r="AC122" t="s">
        <v>22</v>
      </c>
      <c r="AD122" t="s">
        <v>1645</v>
      </c>
      <c r="AE122">
        <v>1.3446650036655317E-4</v>
      </c>
      <c r="AG122" t="s">
        <v>99</v>
      </c>
      <c r="AH122" t="s">
        <v>1645</v>
      </c>
      <c r="AI122">
        <v>0</v>
      </c>
    </row>
    <row r="123" spans="5:35" x14ac:dyDescent="0.45">
      <c r="E123" t="s">
        <v>820</v>
      </c>
      <c r="G123" t="s">
        <v>155</v>
      </c>
      <c r="I123" t="s">
        <v>249</v>
      </c>
      <c r="J123" t="s">
        <v>1646</v>
      </c>
      <c r="K123">
        <v>0</v>
      </c>
      <c r="L123" t="s">
        <v>251</v>
      </c>
      <c r="N123" t="s">
        <v>419</v>
      </c>
      <c r="O123" t="s">
        <v>1646</v>
      </c>
      <c r="P123">
        <v>9.4944946802331961E-5</v>
      </c>
      <c r="Q123" t="s">
        <v>251</v>
      </c>
      <c r="S123" t="s">
        <v>420</v>
      </c>
      <c r="T123" t="s">
        <v>1646</v>
      </c>
      <c r="U123">
        <v>1.7154251443920001E-4</v>
      </c>
      <c r="V123" t="s">
        <v>251</v>
      </c>
      <c r="X123">
        <v>1.1415525114155251E-4</v>
      </c>
      <c r="Y123">
        <v>2.1546544680075254E-5</v>
      </c>
      <c r="Z123" t="s">
        <v>1646</v>
      </c>
      <c r="AA123" t="s">
        <v>25</v>
      </c>
      <c r="AC123" t="s">
        <v>22</v>
      </c>
      <c r="AD123" t="s">
        <v>1646</v>
      </c>
      <c r="AE123">
        <v>1.3459159239340347E-4</v>
      </c>
      <c r="AG123" t="s">
        <v>99</v>
      </c>
      <c r="AH123" t="s">
        <v>1646</v>
      </c>
      <c r="AI123">
        <v>0</v>
      </c>
    </row>
    <row r="124" spans="5:35" x14ac:dyDescent="0.45">
      <c r="E124" t="s">
        <v>821</v>
      </c>
      <c r="G124" t="s">
        <v>155</v>
      </c>
      <c r="I124" t="s">
        <v>249</v>
      </c>
      <c r="J124" t="s">
        <v>1647</v>
      </c>
      <c r="K124">
        <v>0</v>
      </c>
      <c r="L124" t="s">
        <v>251</v>
      </c>
      <c r="N124" t="s">
        <v>419</v>
      </c>
      <c r="O124" t="s">
        <v>1647</v>
      </c>
      <c r="P124">
        <v>8.9441498779680345E-5</v>
      </c>
      <c r="Q124" t="s">
        <v>251</v>
      </c>
      <c r="S124" t="s">
        <v>420</v>
      </c>
      <c r="T124" t="s">
        <v>1647</v>
      </c>
      <c r="U124">
        <v>1.7235534504789999E-4</v>
      </c>
      <c r="V124" t="s">
        <v>251</v>
      </c>
      <c r="X124">
        <v>1.1415525114155251E-4</v>
      </c>
      <c r="Y124">
        <v>1.4916838624667481E-5</v>
      </c>
      <c r="Z124" t="s">
        <v>1647</v>
      </c>
      <c r="AA124" t="s">
        <v>25</v>
      </c>
      <c r="AC124" t="s">
        <v>22</v>
      </c>
      <c r="AD124" t="s">
        <v>1647</v>
      </c>
      <c r="AE124">
        <v>1.3119028061571276E-4</v>
      </c>
      <c r="AG124" t="s">
        <v>99</v>
      </c>
      <c r="AH124" t="s">
        <v>1647</v>
      </c>
      <c r="AI124">
        <v>0</v>
      </c>
    </row>
    <row r="125" spans="5:35" x14ac:dyDescent="0.45">
      <c r="E125" t="s">
        <v>822</v>
      </c>
      <c r="G125" t="s">
        <v>155</v>
      </c>
      <c r="I125" t="s">
        <v>249</v>
      </c>
      <c r="J125" t="s">
        <v>1648</v>
      </c>
      <c r="K125">
        <v>0</v>
      </c>
      <c r="L125" t="s">
        <v>251</v>
      </c>
      <c r="N125" t="s">
        <v>419</v>
      </c>
      <c r="O125" t="s">
        <v>1648</v>
      </c>
      <c r="P125">
        <v>8.3608038019311701E-5</v>
      </c>
      <c r="Q125" t="s">
        <v>251</v>
      </c>
      <c r="S125" t="s">
        <v>420</v>
      </c>
      <c r="T125" t="s">
        <v>1648</v>
      </c>
      <c r="U125">
        <v>1.7267593417440001E-4</v>
      </c>
      <c r="V125" t="s">
        <v>251</v>
      </c>
      <c r="X125">
        <v>1.1415525114155251E-4</v>
      </c>
      <c r="Y125">
        <v>1.6574265138519424E-5</v>
      </c>
      <c r="Z125" t="s">
        <v>1648</v>
      </c>
      <c r="AA125" t="s">
        <v>25</v>
      </c>
      <c r="AC125" t="s">
        <v>22</v>
      </c>
      <c r="AD125" t="s">
        <v>1648</v>
      </c>
      <c r="AE125">
        <v>1.3130941587937968E-4</v>
      </c>
      <c r="AG125" t="s">
        <v>99</v>
      </c>
      <c r="AH125" t="s">
        <v>1648</v>
      </c>
      <c r="AI125">
        <v>0</v>
      </c>
    </row>
    <row r="126" spans="5:35" x14ac:dyDescent="0.45">
      <c r="E126" t="s">
        <v>823</v>
      </c>
      <c r="G126" t="s">
        <v>155</v>
      </c>
      <c r="I126" t="s">
        <v>249</v>
      </c>
      <c r="J126" t="s">
        <v>1649</v>
      </c>
      <c r="K126">
        <v>0</v>
      </c>
      <c r="L126" t="s">
        <v>251</v>
      </c>
      <c r="N126" t="s">
        <v>419</v>
      </c>
      <c r="O126" t="s">
        <v>1649</v>
      </c>
      <c r="P126">
        <v>8.0616150887182538E-5</v>
      </c>
      <c r="Q126" t="s">
        <v>251</v>
      </c>
      <c r="S126" t="s">
        <v>420</v>
      </c>
      <c r="T126" t="s">
        <v>1649</v>
      </c>
      <c r="U126">
        <v>1.7208006451000001E-4</v>
      </c>
      <c r="V126" t="s">
        <v>251</v>
      </c>
      <c r="X126">
        <v>1.1415525114155251E-4</v>
      </c>
      <c r="Y126">
        <v>1.4585353321897093E-5</v>
      </c>
      <c r="Z126" t="s">
        <v>1649</v>
      </c>
      <c r="AA126" t="s">
        <v>25</v>
      </c>
      <c r="AC126" t="s">
        <v>22</v>
      </c>
      <c r="AD126" t="s">
        <v>1649</v>
      </c>
      <c r="AE126">
        <v>1.3130941587937968E-4</v>
      </c>
      <c r="AG126" t="s">
        <v>99</v>
      </c>
      <c r="AH126" t="s">
        <v>1649</v>
      </c>
      <c r="AI126">
        <v>0</v>
      </c>
    </row>
    <row r="127" spans="5:35" x14ac:dyDescent="0.45">
      <c r="E127" t="s">
        <v>824</v>
      </c>
      <c r="G127" t="s">
        <v>155</v>
      </c>
      <c r="I127" t="s">
        <v>249</v>
      </c>
      <c r="J127" t="s">
        <v>1650</v>
      </c>
      <c r="K127">
        <v>0</v>
      </c>
      <c r="L127" t="s">
        <v>251</v>
      </c>
      <c r="N127" t="s">
        <v>419</v>
      </c>
      <c r="O127" t="s">
        <v>1650</v>
      </c>
      <c r="P127">
        <v>7.6350420151922164E-5</v>
      </c>
      <c r="Q127" t="s">
        <v>251</v>
      </c>
      <c r="S127" t="s">
        <v>420</v>
      </c>
      <c r="T127" t="s">
        <v>1650</v>
      </c>
      <c r="U127">
        <v>1.6929719134119999E-4</v>
      </c>
      <c r="V127" t="s">
        <v>251</v>
      </c>
      <c r="X127">
        <v>1.1415525114155251E-4</v>
      </c>
      <c r="Y127">
        <v>2.1215059377304864E-5</v>
      </c>
      <c r="Z127" t="s">
        <v>1650</v>
      </c>
      <c r="AA127" t="s">
        <v>25</v>
      </c>
      <c r="AC127" t="s">
        <v>22</v>
      </c>
      <c r="AD127" t="s">
        <v>1650</v>
      </c>
      <c r="AE127">
        <v>1.3052312313917796E-4</v>
      </c>
      <c r="AG127" t="s">
        <v>99</v>
      </c>
      <c r="AH127" t="s">
        <v>1650</v>
      </c>
      <c r="AI127">
        <v>0</v>
      </c>
    </row>
    <row r="128" spans="5:35" x14ac:dyDescent="0.45">
      <c r="E128" t="s">
        <v>825</v>
      </c>
      <c r="G128" t="s">
        <v>155</v>
      </c>
      <c r="I128" t="s">
        <v>249</v>
      </c>
      <c r="J128" t="s">
        <v>1651</v>
      </c>
      <c r="K128">
        <v>0</v>
      </c>
      <c r="L128" t="s">
        <v>251</v>
      </c>
      <c r="N128" t="s">
        <v>419</v>
      </c>
      <c r="O128" t="s">
        <v>1651</v>
      </c>
      <c r="P128">
        <v>7.0944590432636624E-5</v>
      </c>
      <c r="Q128" t="s">
        <v>251</v>
      </c>
      <c r="S128" t="s">
        <v>420</v>
      </c>
      <c r="T128" t="s">
        <v>1651</v>
      </c>
      <c r="U128">
        <v>1.6520473847989999E-4</v>
      </c>
      <c r="V128" t="s">
        <v>251</v>
      </c>
      <c r="X128">
        <v>1.1415525114155251E-4</v>
      </c>
      <c r="Y128">
        <v>5.7678442682047593E-5</v>
      </c>
      <c r="Z128" t="s">
        <v>1651</v>
      </c>
      <c r="AA128" t="s">
        <v>25</v>
      </c>
      <c r="AC128" t="s">
        <v>22</v>
      </c>
      <c r="AD128" t="s">
        <v>1651</v>
      </c>
      <c r="AE128">
        <v>1.3052312313917796E-4</v>
      </c>
      <c r="AG128" t="s">
        <v>99</v>
      </c>
      <c r="AH128" t="s">
        <v>1651</v>
      </c>
      <c r="AI128">
        <v>0</v>
      </c>
    </row>
    <row r="129" spans="5:35" x14ac:dyDescent="0.45">
      <c r="E129" t="s">
        <v>826</v>
      </c>
      <c r="G129" t="s">
        <v>155</v>
      </c>
      <c r="I129" t="s">
        <v>249</v>
      </c>
      <c r="J129" t="s">
        <v>1652</v>
      </c>
      <c r="K129">
        <v>0</v>
      </c>
      <c r="L129" t="s">
        <v>251</v>
      </c>
      <c r="N129" t="s">
        <v>419</v>
      </c>
      <c r="O129" t="s">
        <v>1652</v>
      </c>
      <c r="P129">
        <v>6.5323680600242544E-5</v>
      </c>
      <c r="Q129" t="s">
        <v>251</v>
      </c>
      <c r="S129" t="s">
        <v>420</v>
      </c>
      <c r="T129" t="s">
        <v>1652</v>
      </c>
      <c r="U129">
        <v>1.6258383329920001E-4</v>
      </c>
      <c r="V129" t="s">
        <v>251</v>
      </c>
      <c r="X129">
        <v>1.1415525114155251E-4</v>
      </c>
      <c r="Y129">
        <v>1.6905750441289813E-4</v>
      </c>
      <c r="Z129" t="s">
        <v>1652</v>
      </c>
      <c r="AA129" t="s">
        <v>25</v>
      </c>
      <c r="AC129" t="s">
        <v>22</v>
      </c>
      <c r="AD129" t="s">
        <v>1652</v>
      </c>
      <c r="AE129">
        <v>1.3073756661377843E-4</v>
      </c>
      <c r="AG129" t="s">
        <v>99</v>
      </c>
      <c r="AH129" t="s">
        <v>1652</v>
      </c>
      <c r="AI129">
        <v>0</v>
      </c>
    </row>
    <row r="130" spans="5:35" x14ac:dyDescent="0.45">
      <c r="E130" t="s">
        <v>827</v>
      </c>
      <c r="G130" t="s">
        <v>155</v>
      </c>
      <c r="I130" t="s">
        <v>249</v>
      </c>
      <c r="J130" t="s">
        <v>1653</v>
      </c>
      <c r="K130">
        <v>6.6741201874671063E-5</v>
      </c>
      <c r="L130" t="s">
        <v>251</v>
      </c>
      <c r="N130" t="s">
        <v>419</v>
      </c>
      <c r="O130" t="s">
        <v>1653</v>
      </c>
      <c r="P130">
        <v>6.1880610723128655E-5</v>
      </c>
      <c r="Q130" t="s">
        <v>251</v>
      </c>
      <c r="S130" t="s">
        <v>420</v>
      </c>
      <c r="T130" t="s">
        <v>1653</v>
      </c>
      <c r="U130">
        <v>1.5982346909199999E-4</v>
      </c>
      <c r="V130" t="s">
        <v>251</v>
      </c>
      <c r="X130">
        <v>1.1415525114155251E-4</v>
      </c>
      <c r="Y130">
        <v>1.9060404909297337E-4</v>
      </c>
      <c r="Z130" t="s">
        <v>1653</v>
      </c>
      <c r="AA130" t="s">
        <v>25</v>
      </c>
      <c r="AC130" t="s">
        <v>22</v>
      </c>
      <c r="AD130" t="s">
        <v>1653</v>
      </c>
      <c r="AE130">
        <v>1.3313218541348364E-4</v>
      </c>
      <c r="AG130" t="s">
        <v>99</v>
      </c>
      <c r="AH130" t="s">
        <v>1653</v>
      </c>
      <c r="AI130">
        <v>0</v>
      </c>
    </row>
    <row r="131" spans="5:35" x14ac:dyDescent="0.45">
      <c r="E131" t="s">
        <v>1406</v>
      </c>
      <c r="G131" t="s">
        <v>155</v>
      </c>
      <c r="I131" t="s">
        <v>249</v>
      </c>
      <c r="J131" t="s">
        <v>1654</v>
      </c>
      <c r="K131">
        <v>1.6865393098629999E-4</v>
      </c>
      <c r="L131" t="s">
        <v>251</v>
      </c>
      <c r="N131" t="s">
        <v>419</v>
      </c>
      <c r="O131" t="s">
        <v>1654</v>
      </c>
      <c r="P131">
        <v>4.8939720276442772E-5</v>
      </c>
      <c r="Q131" t="s">
        <v>251</v>
      </c>
      <c r="S131" t="s">
        <v>420</v>
      </c>
      <c r="T131" t="s">
        <v>1654</v>
      </c>
      <c r="U131">
        <v>1.5591598333599999E-4</v>
      </c>
      <c r="V131" t="s">
        <v>251</v>
      </c>
      <c r="X131">
        <v>1.1415525114155251E-4</v>
      </c>
      <c r="Y131">
        <v>1.4585353321897094E-4</v>
      </c>
      <c r="Z131" t="s">
        <v>1654</v>
      </c>
      <c r="AA131" t="s">
        <v>25</v>
      </c>
      <c r="AC131" t="s">
        <v>22</v>
      </c>
      <c r="AD131" t="s">
        <v>1654</v>
      </c>
      <c r="AE131">
        <v>1.3322153686123382E-4</v>
      </c>
      <c r="AG131" t="s">
        <v>99</v>
      </c>
      <c r="AH131" t="s">
        <v>1654</v>
      </c>
      <c r="AI131">
        <v>0</v>
      </c>
    </row>
    <row r="132" spans="5:35" x14ac:dyDescent="0.45">
      <c r="E132" t="s">
        <v>1407</v>
      </c>
      <c r="G132" t="s">
        <v>155</v>
      </c>
      <c r="I132" t="s">
        <v>249</v>
      </c>
      <c r="J132" t="s">
        <v>1655</v>
      </c>
      <c r="K132">
        <v>1.914175469429E-4</v>
      </c>
      <c r="L132" t="s">
        <v>251</v>
      </c>
      <c r="N132" t="s">
        <v>419</v>
      </c>
      <c r="O132" t="s">
        <v>1655</v>
      </c>
      <c r="P132">
        <v>3.4853058726580321E-5</v>
      </c>
      <c r="Q132" t="s">
        <v>251</v>
      </c>
      <c r="S132" t="s">
        <v>420</v>
      </c>
      <c r="T132" t="s">
        <v>1655</v>
      </c>
      <c r="U132">
        <v>1.5572977979480001E-4</v>
      </c>
      <c r="V132" t="s">
        <v>251</v>
      </c>
      <c r="X132">
        <v>1.1415525114155251E-4</v>
      </c>
      <c r="Y132">
        <v>1.4452759200788939E-4</v>
      </c>
      <c r="Z132" t="s">
        <v>1655</v>
      </c>
      <c r="AA132" t="s">
        <v>25</v>
      </c>
      <c r="AC132" t="s">
        <v>22</v>
      </c>
      <c r="AD132" t="s">
        <v>1655</v>
      </c>
      <c r="AE132">
        <v>1.3525874986993822E-4</v>
      </c>
      <c r="AG132" t="s">
        <v>99</v>
      </c>
      <c r="AH132" t="s">
        <v>1655</v>
      </c>
      <c r="AI132">
        <v>0</v>
      </c>
    </row>
    <row r="133" spans="5:35" x14ac:dyDescent="0.45">
      <c r="E133" t="s">
        <v>1408</v>
      </c>
      <c r="G133" t="s">
        <v>155</v>
      </c>
      <c r="I133" t="s">
        <v>249</v>
      </c>
      <c r="J133" t="s">
        <v>1656</v>
      </c>
      <c r="K133">
        <v>2.0079971591820001E-4</v>
      </c>
      <c r="L133" t="s">
        <v>251</v>
      </c>
      <c r="N133" t="s">
        <v>419</v>
      </c>
      <c r="O133" t="s">
        <v>1656</v>
      </c>
      <c r="P133">
        <v>3.538774938039173E-5</v>
      </c>
      <c r="Q133" t="s">
        <v>251</v>
      </c>
      <c r="S133" t="s">
        <v>420</v>
      </c>
      <c r="T133" t="s">
        <v>1656</v>
      </c>
      <c r="U133">
        <v>1.501750529376E-4</v>
      </c>
      <c r="V133" t="s">
        <v>251</v>
      </c>
      <c r="X133">
        <v>1.1415525114155251E-4</v>
      </c>
      <c r="Y133">
        <v>1.408812536774151E-4</v>
      </c>
      <c r="Z133" t="s">
        <v>1656</v>
      </c>
      <c r="AA133" t="s">
        <v>25</v>
      </c>
      <c r="AC133" t="s">
        <v>22</v>
      </c>
      <c r="AD133" t="s">
        <v>1656</v>
      </c>
      <c r="AE133">
        <v>1.3814778001386118E-4</v>
      </c>
      <c r="AG133" t="s">
        <v>99</v>
      </c>
      <c r="AH133" t="s">
        <v>1656</v>
      </c>
      <c r="AI133">
        <v>0</v>
      </c>
    </row>
    <row r="134" spans="5:35" x14ac:dyDescent="0.45">
      <c r="E134" t="s">
        <v>1409</v>
      </c>
      <c r="G134" t="s">
        <v>155</v>
      </c>
      <c r="I134" t="s">
        <v>249</v>
      </c>
      <c r="J134" t="s">
        <v>1657</v>
      </c>
      <c r="K134">
        <v>2.186102766769E-4</v>
      </c>
      <c r="L134" t="s">
        <v>251</v>
      </c>
      <c r="N134" t="s">
        <v>419</v>
      </c>
      <c r="O134" t="s">
        <v>1657</v>
      </c>
      <c r="P134">
        <v>3.0454773736167883E-5</v>
      </c>
      <c r="Q134" t="s">
        <v>251</v>
      </c>
      <c r="S134" t="s">
        <v>420</v>
      </c>
      <c r="T134" t="s">
        <v>1657</v>
      </c>
      <c r="U134">
        <v>1.4236778099959999E-4</v>
      </c>
      <c r="V134" t="s">
        <v>251</v>
      </c>
      <c r="X134">
        <v>1.1415525114155251E-4</v>
      </c>
      <c r="Y134">
        <v>1.4054976837464471E-4</v>
      </c>
      <c r="Z134" t="s">
        <v>1657</v>
      </c>
      <c r="AA134" t="s">
        <v>25</v>
      </c>
      <c r="AC134" t="s">
        <v>22</v>
      </c>
      <c r="AD134" t="s">
        <v>1657</v>
      </c>
      <c r="AE134">
        <v>1.3354915883631788E-4</v>
      </c>
      <c r="AG134" t="s">
        <v>99</v>
      </c>
      <c r="AH134" t="s">
        <v>1657</v>
      </c>
      <c r="AI134">
        <v>0</v>
      </c>
    </row>
    <row r="135" spans="5:35" x14ac:dyDescent="0.45">
      <c r="E135" t="s">
        <v>1410</v>
      </c>
      <c r="G135" t="s">
        <v>155</v>
      </c>
      <c r="I135" t="s">
        <v>249</v>
      </c>
      <c r="J135" t="s">
        <v>1658</v>
      </c>
      <c r="K135">
        <v>2.5307261172480001E-4</v>
      </c>
      <c r="L135" t="s">
        <v>251</v>
      </c>
      <c r="N135" t="s">
        <v>419</v>
      </c>
      <c r="O135" t="s">
        <v>1658</v>
      </c>
      <c r="P135">
        <v>2.5297554173903637E-5</v>
      </c>
      <c r="Q135" t="s">
        <v>251</v>
      </c>
      <c r="S135" t="s">
        <v>420</v>
      </c>
      <c r="T135" t="s">
        <v>1658</v>
      </c>
      <c r="U135">
        <v>1.388525837786E-4</v>
      </c>
      <c r="V135" t="s">
        <v>251</v>
      </c>
      <c r="X135">
        <v>1.1415525114155251E-4</v>
      </c>
      <c r="Y135">
        <v>1.4253868019126702E-4</v>
      </c>
      <c r="Z135" t="s">
        <v>1658</v>
      </c>
      <c r="AA135" t="s">
        <v>25</v>
      </c>
      <c r="AC135" t="s">
        <v>22</v>
      </c>
      <c r="AD135" t="s">
        <v>1658</v>
      </c>
      <c r="AE135">
        <v>1.2871822389462408E-4</v>
      </c>
      <c r="AG135" t="s">
        <v>99</v>
      </c>
      <c r="AH135" t="s">
        <v>1658</v>
      </c>
      <c r="AI135">
        <v>0</v>
      </c>
    </row>
    <row r="136" spans="5:35" x14ac:dyDescent="0.45">
      <c r="E136" t="s">
        <v>1411</v>
      </c>
      <c r="G136" t="s">
        <v>155</v>
      </c>
      <c r="I136" t="s">
        <v>249</v>
      </c>
      <c r="J136" t="s">
        <v>1659</v>
      </c>
      <c r="K136">
        <v>2.3475587379159999E-4</v>
      </c>
      <c r="L136" t="s">
        <v>251</v>
      </c>
      <c r="N136" t="s">
        <v>419</v>
      </c>
      <c r="O136" t="s">
        <v>1659</v>
      </c>
      <c r="P136">
        <v>2.4045467478262072E-5</v>
      </c>
      <c r="Q136" t="s">
        <v>251</v>
      </c>
      <c r="S136" t="s">
        <v>420</v>
      </c>
      <c r="T136" t="s">
        <v>1659</v>
      </c>
      <c r="U136">
        <v>1.404052179807E-4</v>
      </c>
      <c r="V136" t="s">
        <v>251</v>
      </c>
      <c r="X136">
        <v>1.1415525114155251E-4</v>
      </c>
      <c r="Y136">
        <v>1.4883690094390442E-4</v>
      </c>
      <c r="Z136" t="s">
        <v>1659</v>
      </c>
      <c r="AA136" t="s">
        <v>25</v>
      </c>
      <c r="AC136" t="s">
        <v>22</v>
      </c>
      <c r="AD136" t="s">
        <v>1659</v>
      </c>
      <c r="AE136">
        <v>1.1748376853083308E-4</v>
      </c>
      <c r="AG136" t="s">
        <v>99</v>
      </c>
      <c r="AH136" t="s">
        <v>1659</v>
      </c>
      <c r="AI136">
        <v>0</v>
      </c>
    </row>
    <row r="137" spans="5:35" x14ac:dyDescent="0.45">
      <c r="E137" t="s">
        <v>1412</v>
      </c>
      <c r="G137" t="s">
        <v>155</v>
      </c>
      <c r="I137" t="s">
        <v>249</v>
      </c>
      <c r="J137" t="s">
        <v>1660</v>
      </c>
      <c r="K137">
        <v>2.046229544084E-4</v>
      </c>
      <c r="L137" t="s">
        <v>251</v>
      </c>
      <c r="N137" t="s">
        <v>419</v>
      </c>
      <c r="O137" t="s">
        <v>1660</v>
      </c>
      <c r="P137">
        <v>2.450288280498885E-5</v>
      </c>
      <c r="Q137" t="s">
        <v>251</v>
      </c>
      <c r="S137" t="s">
        <v>420</v>
      </c>
      <c r="T137" t="s">
        <v>1660</v>
      </c>
      <c r="U137">
        <v>1.4226813202070001E-4</v>
      </c>
      <c r="V137" t="s">
        <v>251</v>
      </c>
      <c r="X137">
        <v>1.1415525114155251E-4</v>
      </c>
      <c r="Y137">
        <v>1.5049432745775637E-4</v>
      </c>
      <c r="Z137" t="s">
        <v>1660</v>
      </c>
      <c r="AA137" t="s">
        <v>25</v>
      </c>
      <c r="AC137" t="s">
        <v>22</v>
      </c>
      <c r="AD137" t="s">
        <v>1660</v>
      </c>
      <c r="AE137">
        <v>1.0563576655915741E-4</v>
      </c>
      <c r="AG137" t="s">
        <v>99</v>
      </c>
      <c r="AH137" t="s">
        <v>1660</v>
      </c>
      <c r="AI137">
        <v>0</v>
      </c>
    </row>
    <row r="138" spans="5:35" x14ac:dyDescent="0.45">
      <c r="E138" t="s">
        <v>1413</v>
      </c>
      <c r="G138" t="s">
        <v>155</v>
      </c>
      <c r="I138" t="s">
        <v>249</v>
      </c>
      <c r="J138" t="s">
        <v>1661</v>
      </c>
      <c r="K138">
        <v>1.8270861918079999E-4</v>
      </c>
      <c r="L138" t="s">
        <v>251</v>
      </c>
      <c r="N138" t="s">
        <v>419</v>
      </c>
      <c r="O138" t="s">
        <v>1661</v>
      </c>
      <c r="P138">
        <v>2.4827614674863097E-5</v>
      </c>
      <c r="Q138" t="s">
        <v>251</v>
      </c>
      <c r="S138" t="s">
        <v>420</v>
      </c>
      <c r="T138" t="s">
        <v>1661</v>
      </c>
      <c r="U138">
        <v>1.420928414045E-4</v>
      </c>
      <c r="V138" t="s">
        <v>251</v>
      </c>
      <c r="X138">
        <v>1.1415525114155251E-4</v>
      </c>
      <c r="Y138">
        <v>1.7237235744060203E-4</v>
      </c>
      <c r="Z138" t="s">
        <v>1661</v>
      </c>
      <c r="AA138" t="s">
        <v>25</v>
      </c>
      <c r="AC138" t="s">
        <v>22</v>
      </c>
      <c r="AD138" t="s">
        <v>1661</v>
      </c>
      <c r="AE138">
        <v>8.6395421476949101E-5</v>
      </c>
      <c r="AG138" t="s">
        <v>99</v>
      </c>
      <c r="AH138" t="s">
        <v>1661</v>
      </c>
      <c r="AI138">
        <v>0</v>
      </c>
    </row>
    <row r="139" spans="5:35" x14ac:dyDescent="0.45">
      <c r="E139" t="s">
        <v>1414</v>
      </c>
      <c r="G139" t="s">
        <v>155</v>
      </c>
      <c r="I139" t="s">
        <v>249</v>
      </c>
      <c r="J139" t="s">
        <v>1662</v>
      </c>
      <c r="K139">
        <v>1.8316138876139999E-4</v>
      </c>
      <c r="L139" t="s">
        <v>251</v>
      </c>
      <c r="N139" t="s">
        <v>419</v>
      </c>
      <c r="O139" t="s">
        <v>1662</v>
      </c>
      <c r="P139">
        <v>2.5757817154608615E-5</v>
      </c>
      <c r="Q139" t="s">
        <v>251</v>
      </c>
      <c r="S139" t="s">
        <v>420</v>
      </c>
      <c r="T139" t="s">
        <v>1662</v>
      </c>
      <c r="U139">
        <v>1.4251313011260001E-4</v>
      </c>
      <c r="V139" t="s">
        <v>251</v>
      </c>
      <c r="X139">
        <v>1.1415525114155251E-4</v>
      </c>
      <c r="Y139">
        <v>2.2209515285616027E-4</v>
      </c>
      <c r="Z139" t="s">
        <v>1662</v>
      </c>
      <c r="AA139" t="s">
        <v>25</v>
      </c>
      <c r="AC139" t="s">
        <v>22</v>
      </c>
      <c r="AD139" t="s">
        <v>1662</v>
      </c>
      <c r="AE139">
        <v>8.1689578562105583E-5</v>
      </c>
      <c r="AG139" t="s">
        <v>99</v>
      </c>
      <c r="AH139" t="s">
        <v>1662</v>
      </c>
      <c r="AI139">
        <v>0</v>
      </c>
    </row>
    <row r="140" spans="5:35" x14ac:dyDescent="0.45">
      <c r="E140" t="s">
        <v>1415</v>
      </c>
      <c r="G140" t="s">
        <v>155</v>
      </c>
      <c r="I140" t="s">
        <v>249</v>
      </c>
      <c r="J140" t="s">
        <v>1663</v>
      </c>
      <c r="K140">
        <v>1.4659920867729999E-4</v>
      </c>
      <c r="L140" t="s">
        <v>251</v>
      </c>
      <c r="N140" t="s">
        <v>419</v>
      </c>
      <c r="O140" t="s">
        <v>1663</v>
      </c>
      <c r="P140">
        <v>2.8711927899084324E-5</v>
      </c>
      <c r="Q140" t="s">
        <v>251</v>
      </c>
      <c r="S140" t="s">
        <v>420</v>
      </c>
      <c r="T140" t="s">
        <v>1663</v>
      </c>
      <c r="U140">
        <v>1.4330111164690001E-4</v>
      </c>
      <c r="V140" t="s">
        <v>251</v>
      </c>
      <c r="X140">
        <v>1.1415525114155251E-4</v>
      </c>
      <c r="Y140">
        <v>2.2209515285616027E-4</v>
      </c>
      <c r="Z140" t="s">
        <v>1663</v>
      </c>
      <c r="AA140" t="s">
        <v>25</v>
      </c>
      <c r="AC140" t="s">
        <v>22</v>
      </c>
      <c r="AD140" t="s">
        <v>1663</v>
      </c>
      <c r="AE140">
        <v>7.636423227619405E-5</v>
      </c>
      <c r="AG140" t="s">
        <v>99</v>
      </c>
      <c r="AH140" t="s">
        <v>1663</v>
      </c>
      <c r="AI140">
        <v>0</v>
      </c>
    </row>
    <row r="141" spans="5:35" x14ac:dyDescent="0.45">
      <c r="E141" t="s">
        <v>1416</v>
      </c>
      <c r="G141" t="s">
        <v>155</v>
      </c>
      <c r="I141" t="s">
        <v>249</v>
      </c>
      <c r="J141" t="s">
        <v>1664</v>
      </c>
      <c r="K141">
        <v>1.4540994823847699E-5</v>
      </c>
      <c r="L141" t="s">
        <v>251</v>
      </c>
      <c r="N141" t="s">
        <v>419</v>
      </c>
      <c r="O141" t="s">
        <v>1664</v>
      </c>
      <c r="P141">
        <v>3.3146005027523629E-5</v>
      </c>
      <c r="Q141" t="s">
        <v>251</v>
      </c>
      <c r="S141" t="s">
        <v>420</v>
      </c>
      <c r="T141" t="s">
        <v>1664</v>
      </c>
      <c r="U141">
        <v>1.434754799571E-4</v>
      </c>
      <c r="V141" t="s">
        <v>251</v>
      </c>
      <c r="X141">
        <v>1.1415525114155251E-4</v>
      </c>
      <c r="Y141">
        <v>1.7237235744060203E-4</v>
      </c>
      <c r="Z141" t="s">
        <v>1664</v>
      </c>
      <c r="AA141" t="s">
        <v>25</v>
      </c>
      <c r="AC141" t="s">
        <v>22</v>
      </c>
      <c r="AD141" t="s">
        <v>1664</v>
      </c>
      <c r="AE141">
        <v>7.5804296536959492E-5</v>
      </c>
      <c r="AG141" t="s">
        <v>99</v>
      </c>
      <c r="AH141" t="s">
        <v>1664</v>
      </c>
      <c r="AI141">
        <v>0</v>
      </c>
    </row>
    <row r="142" spans="5:35" x14ac:dyDescent="0.45">
      <c r="E142" t="s">
        <v>1417</v>
      </c>
      <c r="G142" t="s">
        <v>155</v>
      </c>
      <c r="I142" t="s">
        <v>249</v>
      </c>
      <c r="J142" t="s">
        <v>1665</v>
      </c>
      <c r="K142">
        <v>0</v>
      </c>
      <c r="L142" t="s">
        <v>251</v>
      </c>
      <c r="N142" t="s">
        <v>419</v>
      </c>
      <c r="O142" t="s">
        <v>1665</v>
      </c>
      <c r="P142">
        <v>3.4782072116346911E-5</v>
      </c>
      <c r="Q142" t="s">
        <v>251</v>
      </c>
      <c r="S142" t="s">
        <v>420</v>
      </c>
      <c r="T142" t="s">
        <v>1665</v>
      </c>
      <c r="U142">
        <v>1.495056030935E-4</v>
      </c>
      <c r="V142" t="s">
        <v>251</v>
      </c>
      <c r="X142">
        <v>1.1415525114155251E-4</v>
      </c>
      <c r="Y142">
        <v>1.5579809230208258E-4</v>
      </c>
      <c r="Z142" t="s">
        <v>1665</v>
      </c>
      <c r="AA142" t="s">
        <v>25</v>
      </c>
      <c r="AC142" t="s">
        <v>22</v>
      </c>
      <c r="AD142" t="s">
        <v>1665</v>
      </c>
      <c r="AE142">
        <v>7.6322534933910636E-5</v>
      </c>
      <c r="AG142" t="s">
        <v>99</v>
      </c>
      <c r="AH142" t="s">
        <v>1665</v>
      </c>
      <c r="AI142">
        <v>0</v>
      </c>
    </row>
    <row r="143" spans="5:35" x14ac:dyDescent="0.45">
      <c r="E143" t="s">
        <v>1418</v>
      </c>
      <c r="G143" t="s">
        <v>155</v>
      </c>
      <c r="I143" t="s">
        <v>249</v>
      </c>
      <c r="J143" t="s">
        <v>1666</v>
      </c>
      <c r="K143">
        <v>0</v>
      </c>
      <c r="L143" t="s">
        <v>251</v>
      </c>
      <c r="N143" t="s">
        <v>419</v>
      </c>
      <c r="O143" t="s">
        <v>1666</v>
      </c>
      <c r="P143">
        <v>3.6455884357805928E-5</v>
      </c>
      <c r="Q143" t="s">
        <v>251</v>
      </c>
      <c r="S143" t="s">
        <v>420</v>
      </c>
      <c r="T143" t="s">
        <v>1666</v>
      </c>
      <c r="U143">
        <v>1.4783828158450001E-4</v>
      </c>
      <c r="V143" t="s">
        <v>251</v>
      </c>
      <c r="X143">
        <v>1.1415525114155251E-4</v>
      </c>
      <c r="Y143">
        <v>1.093901499142282E-4</v>
      </c>
      <c r="Z143" t="s">
        <v>1666</v>
      </c>
      <c r="AA143" t="s">
        <v>25</v>
      </c>
      <c r="AC143" t="s">
        <v>22</v>
      </c>
      <c r="AD143" t="s">
        <v>1666</v>
      </c>
      <c r="AE143">
        <v>8.2058897879473035E-5</v>
      </c>
      <c r="AG143" t="s">
        <v>99</v>
      </c>
      <c r="AH143" t="s">
        <v>1666</v>
      </c>
      <c r="AI143">
        <v>0</v>
      </c>
    </row>
    <row r="144" spans="5:35" x14ac:dyDescent="0.45">
      <c r="E144" t="s">
        <v>1419</v>
      </c>
      <c r="G144" t="s">
        <v>155</v>
      </c>
      <c r="I144" t="s">
        <v>249</v>
      </c>
      <c r="J144" t="s">
        <v>1667</v>
      </c>
      <c r="K144">
        <v>0</v>
      </c>
      <c r="L144" t="s">
        <v>251</v>
      </c>
      <c r="N144" t="s">
        <v>419</v>
      </c>
      <c r="O144" t="s">
        <v>1667</v>
      </c>
      <c r="P144">
        <v>3.8182398104001243E-5</v>
      </c>
      <c r="Q144" t="s">
        <v>251</v>
      </c>
      <c r="S144" t="s">
        <v>420</v>
      </c>
      <c r="T144" t="s">
        <v>1667</v>
      </c>
      <c r="U144">
        <v>1.4189020334580001E-4</v>
      </c>
      <c r="V144" t="s">
        <v>251</v>
      </c>
      <c r="X144">
        <v>1.1415525114155251E-4</v>
      </c>
      <c r="Y144">
        <v>7.9556472664893237E-5</v>
      </c>
      <c r="Z144" t="s">
        <v>1667</v>
      </c>
      <c r="AA144" t="s">
        <v>25</v>
      </c>
      <c r="AC144" t="s">
        <v>22</v>
      </c>
      <c r="AD144" t="s">
        <v>1667</v>
      </c>
      <c r="AE144">
        <v>8.8128839563302838E-5</v>
      </c>
      <c r="AG144" t="s">
        <v>99</v>
      </c>
      <c r="AH144" t="s">
        <v>1667</v>
      </c>
      <c r="AI144">
        <v>0</v>
      </c>
    </row>
    <row r="145" spans="5:35" x14ac:dyDescent="0.45">
      <c r="E145" t="s">
        <v>1420</v>
      </c>
      <c r="G145" t="s">
        <v>155</v>
      </c>
      <c r="I145" t="s">
        <v>249</v>
      </c>
      <c r="J145" t="s">
        <v>1668</v>
      </c>
      <c r="K145">
        <v>0</v>
      </c>
      <c r="L145" t="s">
        <v>251</v>
      </c>
      <c r="N145" t="s">
        <v>419</v>
      </c>
      <c r="O145" t="s">
        <v>1668</v>
      </c>
      <c r="P145">
        <v>3.8831548744476421E-5</v>
      </c>
      <c r="Q145" t="s">
        <v>251</v>
      </c>
      <c r="S145" t="s">
        <v>420</v>
      </c>
      <c r="T145" t="s">
        <v>1668</v>
      </c>
      <c r="U145">
        <v>1.345582641022E-4</v>
      </c>
      <c r="V145" t="s">
        <v>251</v>
      </c>
      <c r="X145">
        <v>1.1415525114155251E-4</v>
      </c>
      <c r="Y145">
        <v>5.6352501470966035E-5</v>
      </c>
      <c r="Z145" t="s">
        <v>1668</v>
      </c>
      <c r="AA145" t="s">
        <v>25</v>
      </c>
      <c r="AC145" t="s">
        <v>22</v>
      </c>
      <c r="AD145" t="s">
        <v>1668</v>
      </c>
      <c r="AE145">
        <v>9.7248643997005938E-5</v>
      </c>
      <c r="AG145" t="s">
        <v>99</v>
      </c>
      <c r="AH145" t="s">
        <v>1668</v>
      </c>
      <c r="AI145">
        <v>0</v>
      </c>
    </row>
    <row r="146" spans="5:35" x14ac:dyDescent="0.45">
      <c r="E146" t="s">
        <v>1421</v>
      </c>
      <c r="G146" t="s">
        <v>155</v>
      </c>
      <c r="I146" t="s">
        <v>249</v>
      </c>
      <c r="J146" t="s">
        <v>1669</v>
      </c>
      <c r="K146">
        <v>0</v>
      </c>
      <c r="L146" t="s">
        <v>251</v>
      </c>
      <c r="N146" t="s">
        <v>419</v>
      </c>
      <c r="O146" t="s">
        <v>1669</v>
      </c>
      <c r="P146">
        <v>3.8050145998557824E-5</v>
      </c>
      <c r="Q146" t="s">
        <v>251</v>
      </c>
      <c r="S146" t="s">
        <v>420</v>
      </c>
      <c r="T146" t="s">
        <v>1669</v>
      </c>
      <c r="U146">
        <v>1.2943191996009999E-4</v>
      </c>
      <c r="V146" t="s">
        <v>251</v>
      </c>
      <c r="X146">
        <v>1.1415525114155251E-4</v>
      </c>
      <c r="Y146">
        <v>2.9833677249334962E-5</v>
      </c>
      <c r="Z146" t="s">
        <v>1669</v>
      </c>
      <c r="AA146" t="s">
        <v>25</v>
      </c>
      <c r="AC146" t="s">
        <v>22</v>
      </c>
      <c r="AD146" t="s">
        <v>1669</v>
      </c>
      <c r="AE146">
        <v>1.0346154799723607E-4</v>
      </c>
      <c r="AG146" t="s">
        <v>99</v>
      </c>
      <c r="AH146" t="s">
        <v>1669</v>
      </c>
      <c r="AI146">
        <v>0</v>
      </c>
    </row>
    <row r="147" spans="5:35" x14ac:dyDescent="0.45">
      <c r="E147" t="s">
        <v>1422</v>
      </c>
      <c r="G147" t="s">
        <v>155</v>
      </c>
      <c r="I147" t="s">
        <v>249</v>
      </c>
      <c r="J147" t="s">
        <v>948</v>
      </c>
      <c r="K147">
        <v>0</v>
      </c>
      <c r="L147" t="s">
        <v>251</v>
      </c>
      <c r="N147" t="s">
        <v>419</v>
      </c>
      <c r="O147" t="s">
        <v>948</v>
      </c>
      <c r="P147">
        <v>3.8371264125067557E-5</v>
      </c>
      <c r="Q147" t="s">
        <v>251</v>
      </c>
      <c r="S147" t="s">
        <v>420</v>
      </c>
      <c r="T147" t="s">
        <v>948</v>
      </c>
      <c r="U147">
        <v>1.2575083022910001E-4</v>
      </c>
      <c r="V147" t="s">
        <v>251</v>
      </c>
      <c r="X147">
        <v>1.1415525114155251E-4</v>
      </c>
      <c r="Y147">
        <v>2.1546544680075254E-5</v>
      </c>
      <c r="Z147" t="s">
        <v>948</v>
      </c>
      <c r="AA147" t="s">
        <v>25</v>
      </c>
      <c r="AC147" t="s">
        <v>22</v>
      </c>
      <c r="AD147" t="s">
        <v>948</v>
      </c>
      <c r="AE147">
        <v>1.0573703153327433E-4</v>
      </c>
      <c r="AG147" t="s">
        <v>99</v>
      </c>
      <c r="AH147" t="s">
        <v>948</v>
      </c>
      <c r="AI147">
        <v>0</v>
      </c>
    </row>
    <row r="148" spans="5:35" x14ac:dyDescent="0.45">
      <c r="E148" t="s">
        <v>1423</v>
      </c>
      <c r="G148" t="s">
        <v>155</v>
      </c>
      <c r="I148" t="s">
        <v>249</v>
      </c>
      <c r="J148" t="s">
        <v>949</v>
      </c>
      <c r="K148">
        <v>0</v>
      </c>
      <c r="L148" t="s">
        <v>251</v>
      </c>
      <c r="N148" t="s">
        <v>419</v>
      </c>
      <c r="O148" t="s">
        <v>949</v>
      </c>
      <c r="P148">
        <v>3.8726650163760877E-5</v>
      </c>
      <c r="Q148" t="s">
        <v>251</v>
      </c>
      <c r="S148" t="s">
        <v>420</v>
      </c>
      <c r="T148" t="s">
        <v>949</v>
      </c>
      <c r="U148">
        <v>1.272616139587E-4</v>
      </c>
      <c r="V148" t="s">
        <v>251</v>
      </c>
      <c r="X148">
        <v>1.1415525114155251E-4</v>
      </c>
      <c r="Y148">
        <v>1.4916838624667481E-5</v>
      </c>
      <c r="Z148" t="s">
        <v>949</v>
      </c>
      <c r="AA148" t="s">
        <v>25</v>
      </c>
      <c r="AC148" t="s">
        <v>22</v>
      </c>
      <c r="AD148" t="s">
        <v>949</v>
      </c>
      <c r="AE148">
        <v>1.0599912911334156E-4</v>
      </c>
      <c r="AG148" t="s">
        <v>99</v>
      </c>
      <c r="AH148" t="s">
        <v>949</v>
      </c>
      <c r="AI148">
        <v>0</v>
      </c>
    </row>
    <row r="149" spans="5:35" x14ac:dyDescent="0.45">
      <c r="E149" t="s">
        <v>1424</v>
      </c>
      <c r="G149" t="s">
        <v>155</v>
      </c>
      <c r="I149" t="s">
        <v>249</v>
      </c>
      <c r="J149" t="s">
        <v>950</v>
      </c>
      <c r="K149">
        <v>0</v>
      </c>
      <c r="L149" t="s">
        <v>251</v>
      </c>
      <c r="N149" t="s">
        <v>419</v>
      </c>
      <c r="O149" t="s">
        <v>950</v>
      </c>
      <c r="P149">
        <v>3.9651681984018402E-5</v>
      </c>
      <c r="Q149" t="s">
        <v>251</v>
      </c>
      <c r="S149" t="s">
        <v>420</v>
      </c>
      <c r="T149" t="s">
        <v>950</v>
      </c>
      <c r="U149">
        <v>1.3408828755049999E-4</v>
      </c>
      <c r="V149" t="s">
        <v>251</v>
      </c>
      <c r="X149">
        <v>1.1415525114155251E-4</v>
      </c>
      <c r="Y149">
        <v>1.6574265138519424E-5</v>
      </c>
      <c r="Z149" t="s">
        <v>950</v>
      </c>
      <c r="AA149" t="s">
        <v>25</v>
      </c>
      <c r="AC149" t="s">
        <v>22</v>
      </c>
      <c r="AD149" t="s">
        <v>950</v>
      </c>
      <c r="AE149">
        <v>1.0435506247473796E-4</v>
      </c>
      <c r="AG149" t="s">
        <v>99</v>
      </c>
      <c r="AH149" t="s">
        <v>950</v>
      </c>
      <c r="AI149">
        <v>0</v>
      </c>
    </row>
    <row r="150" spans="5:35" x14ac:dyDescent="0.45">
      <c r="E150" t="s">
        <v>1425</v>
      </c>
      <c r="G150" t="s">
        <v>155</v>
      </c>
      <c r="I150" t="s">
        <v>249</v>
      </c>
      <c r="J150" t="s">
        <v>951</v>
      </c>
      <c r="K150">
        <v>0</v>
      </c>
      <c r="L150" t="s">
        <v>251</v>
      </c>
      <c r="N150" t="s">
        <v>419</v>
      </c>
      <c r="O150" t="s">
        <v>951</v>
      </c>
      <c r="P150">
        <v>4.2059248153936525E-5</v>
      </c>
      <c r="Q150" t="s">
        <v>251</v>
      </c>
      <c r="S150" t="s">
        <v>420</v>
      </c>
      <c r="T150" t="s">
        <v>951</v>
      </c>
      <c r="U150">
        <v>1.4205311971609999E-4</v>
      </c>
      <c r="V150" t="s">
        <v>251</v>
      </c>
      <c r="X150">
        <v>1.1415525114155251E-4</v>
      </c>
      <c r="Y150">
        <v>1.4585353321897093E-5</v>
      </c>
      <c r="Z150" t="s">
        <v>951</v>
      </c>
      <c r="AA150" t="s">
        <v>25</v>
      </c>
      <c r="AC150" t="s">
        <v>22</v>
      </c>
      <c r="AD150" t="s">
        <v>951</v>
      </c>
      <c r="AE150">
        <v>1.0401552697328726E-4</v>
      </c>
      <c r="AG150" t="s">
        <v>99</v>
      </c>
      <c r="AH150" t="s">
        <v>951</v>
      </c>
      <c r="AI150">
        <v>0</v>
      </c>
    </row>
    <row r="151" spans="5:35" x14ac:dyDescent="0.45">
      <c r="E151" t="s">
        <v>1426</v>
      </c>
      <c r="G151" t="s">
        <v>155</v>
      </c>
      <c r="I151" t="s">
        <v>249</v>
      </c>
      <c r="J151" t="s">
        <v>952</v>
      </c>
      <c r="K151">
        <v>0</v>
      </c>
      <c r="L151" t="s">
        <v>251</v>
      </c>
      <c r="N151" t="s">
        <v>419</v>
      </c>
      <c r="O151" t="s">
        <v>952</v>
      </c>
      <c r="P151">
        <v>4.3360095149071339E-5</v>
      </c>
      <c r="Q151" t="s">
        <v>251</v>
      </c>
      <c r="S151" t="s">
        <v>420</v>
      </c>
      <c r="T151" t="s">
        <v>952</v>
      </c>
      <c r="U151">
        <v>1.4462001595000001E-4</v>
      </c>
      <c r="V151" t="s">
        <v>251</v>
      </c>
      <c r="X151">
        <v>1.1415525114155251E-4</v>
      </c>
      <c r="Y151">
        <v>2.1215059377304864E-5</v>
      </c>
      <c r="Z151" t="s">
        <v>952</v>
      </c>
      <c r="AA151" t="s">
        <v>25</v>
      </c>
      <c r="AC151" t="s">
        <v>22</v>
      </c>
      <c r="AD151" t="s">
        <v>952</v>
      </c>
      <c r="AE151">
        <v>1.0383086731460351E-4</v>
      </c>
      <c r="AG151" t="s">
        <v>99</v>
      </c>
      <c r="AH151" t="s">
        <v>952</v>
      </c>
      <c r="AI151">
        <v>0</v>
      </c>
    </row>
    <row r="152" spans="5:35" x14ac:dyDescent="0.45">
      <c r="E152" t="s">
        <v>1427</v>
      </c>
      <c r="G152" t="s">
        <v>155</v>
      </c>
      <c r="I152" t="s">
        <v>249</v>
      </c>
      <c r="J152" t="s">
        <v>953</v>
      </c>
      <c r="K152">
        <v>0</v>
      </c>
      <c r="L152" t="s">
        <v>251</v>
      </c>
      <c r="N152" t="s">
        <v>419</v>
      </c>
      <c r="O152" t="s">
        <v>953</v>
      </c>
      <c r="P152">
        <v>4.3734789600527057E-5</v>
      </c>
      <c r="Q152" t="s">
        <v>251</v>
      </c>
      <c r="S152" t="s">
        <v>420</v>
      </c>
      <c r="T152" t="s">
        <v>953</v>
      </c>
      <c r="U152">
        <v>1.3872302664580001E-4</v>
      </c>
      <c r="V152" t="s">
        <v>251</v>
      </c>
      <c r="X152">
        <v>1.1415525114155251E-4</v>
      </c>
      <c r="Y152">
        <v>5.7678442682047593E-5</v>
      </c>
      <c r="Z152" t="s">
        <v>953</v>
      </c>
      <c r="AA152" t="s">
        <v>25</v>
      </c>
      <c r="AC152" t="s">
        <v>22</v>
      </c>
      <c r="AD152" t="s">
        <v>953</v>
      </c>
      <c r="AE152">
        <v>1.0454567889660505E-4</v>
      </c>
      <c r="AG152" t="s">
        <v>99</v>
      </c>
      <c r="AH152" t="s">
        <v>953</v>
      </c>
      <c r="AI152">
        <v>0</v>
      </c>
    </row>
    <row r="153" spans="5:35" x14ac:dyDescent="0.45">
      <c r="E153" t="s">
        <v>1428</v>
      </c>
      <c r="G153" t="s">
        <v>155</v>
      </c>
      <c r="I153" t="s">
        <v>249</v>
      </c>
      <c r="J153" t="s">
        <v>954</v>
      </c>
      <c r="K153">
        <v>0</v>
      </c>
      <c r="L153" t="s">
        <v>251</v>
      </c>
      <c r="N153" t="s">
        <v>419</v>
      </c>
      <c r="O153" t="s">
        <v>954</v>
      </c>
      <c r="P153">
        <v>4.2476191356420819E-5</v>
      </c>
      <c r="Q153" t="s">
        <v>251</v>
      </c>
      <c r="S153" t="s">
        <v>420</v>
      </c>
      <c r="T153" t="s">
        <v>954</v>
      </c>
      <c r="U153">
        <v>1.267676844096E-4</v>
      </c>
      <c r="V153" t="s">
        <v>251</v>
      </c>
      <c r="X153">
        <v>1.1415525114155251E-4</v>
      </c>
      <c r="Y153">
        <v>1.6905750441289813E-4</v>
      </c>
      <c r="Z153" t="s">
        <v>954</v>
      </c>
      <c r="AA153" t="s">
        <v>25</v>
      </c>
      <c r="AC153" t="s">
        <v>22</v>
      </c>
      <c r="AD153" t="s">
        <v>954</v>
      </c>
      <c r="AE153">
        <v>1.0518900932040648E-4</v>
      </c>
      <c r="AG153" t="s">
        <v>99</v>
      </c>
      <c r="AH153" t="s">
        <v>954</v>
      </c>
      <c r="AI153">
        <v>0</v>
      </c>
    </row>
    <row r="154" spans="5:35" x14ac:dyDescent="0.45">
      <c r="E154" t="s">
        <v>1429</v>
      </c>
      <c r="G154" t="s">
        <v>155</v>
      </c>
      <c r="I154" t="s">
        <v>249</v>
      </c>
      <c r="J154" t="s">
        <v>955</v>
      </c>
      <c r="K154">
        <v>4.2088493976118691E-5</v>
      </c>
      <c r="L154" t="s">
        <v>251</v>
      </c>
      <c r="N154" t="s">
        <v>419</v>
      </c>
      <c r="O154" t="s">
        <v>955</v>
      </c>
      <c r="P154">
        <v>4.2241317629927213E-5</v>
      </c>
      <c r="Q154" t="s">
        <v>251</v>
      </c>
      <c r="S154" t="s">
        <v>420</v>
      </c>
      <c r="T154" t="s">
        <v>955</v>
      </c>
      <c r="U154">
        <v>1.2132950247169999E-4</v>
      </c>
      <c r="V154" t="s">
        <v>251</v>
      </c>
      <c r="X154">
        <v>1.1415525114155251E-4</v>
      </c>
      <c r="Y154">
        <v>1.9060404909297337E-4</v>
      </c>
      <c r="Z154" t="s">
        <v>955</v>
      </c>
      <c r="AA154" t="s">
        <v>25</v>
      </c>
      <c r="AC154" t="s">
        <v>22</v>
      </c>
      <c r="AD154" t="s">
        <v>955</v>
      </c>
      <c r="AE154">
        <v>1.1347486690844107E-4</v>
      </c>
      <c r="AG154" t="s">
        <v>99</v>
      </c>
      <c r="AH154" t="s">
        <v>955</v>
      </c>
      <c r="AI154">
        <v>0</v>
      </c>
    </row>
    <row r="155" spans="5:35" x14ac:dyDescent="0.45">
      <c r="E155" t="s">
        <v>1430</v>
      </c>
      <c r="G155" t="s">
        <v>155</v>
      </c>
      <c r="I155" t="s">
        <v>249</v>
      </c>
      <c r="J155" t="s">
        <v>956</v>
      </c>
      <c r="K155">
        <v>9.1010527801431166E-5</v>
      </c>
      <c r="L155" t="s">
        <v>251</v>
      </c>
      <c r="N155" t="s">
        <v>419</v>
      </c>
      <c r="O155" t="s">
        <v>956</v>
      </c>
      <c r="P155">
        <v>3.6121438182476335E-5</v>
      </c>
      <c r="Q155" t="s">
        <v>251</v>
      </c>
      <c r="S155" t="s">
        <v>420</v>
      </c>
      <c r="T155" t="s">
        <v>956</v>
      </c>
      <c r="U155">
        <v>1.02526003739E-4</v>
      </c>
      <c r="V155" t="s">
        <v>251</v>
      </c>
      <c r="X155">
        <v>1.1415525114155251E-4</v>
      </c>
      <c r="Y155">
        <v>1.4585353321897094E-4</v>
      </c>
      <c r="Z155" t="s">
        <v>956</v>
      </c>
      <c r="AA155" t="s">
        <v>25</v>
      </c>
      <c r="AC155" t="s">
        <v>22</v>
      </c>
      <c r="AD155" t="s">
        <v>956</v>
      </c>
      <c r="AE155">
        <v>1.1804966103325096E-4</v>
      </c>
      <c r="AG155" t="s">
        <v>99</v>
      </c>
      <c r="AH155" t="s">
        <v>956</v>
      </c>
      <c r="AI155">
        <v>0</v>
      </c>
    </row>
    <row r="156" spans="5:35" x14ac:dyDescent="0.45">
      <c r="E156" t="s">
        <v>1431</v>
      </c>
      <c r="G156" t="s">
        <v>155</v>
      </c>
      <c r="I156" t="s">
        <v>249</v>
      </c>
      <c r="J156" t="s">
        <v>957</v>
      </c>
      <c r="K156">
        <v>1.1903975573000001E-4</v>
      </c>
      <c r="L156" t="s">
        <v>251</v>
      </c>
      <c r="N156" t="s">
        <v>419</v>
      </c>
      <c r="O156" t="s">
        <v>957</v>
      </c>
      <c r="P156">
        <v>2.2805844164008077E-5</v>
      </c>
      <c r="Q156" t="s">
        <v>251</v>
      </c>
      <c r="S156" t="s">
        <v>420</v>
      </c>
      <c r="T156" t="s">
        <v>957</v>
      </c>
      <c r="U156">
        <v>9.2038515357713483E-5</v>
      </c>
      <c r="V156" t="s">
        <v>251</v>
      </c>
      <c r="X156">
        <v>1.1415525114155251E-4</v>
      </c>
      <c r="Y156">
        <v>1.4452759200788939E-4</v>
      </c>
      <c r="Z156" t="s">
        <v>957</v>
      </c>
      <c r="AA156" t="s">
        <v>25</v>
      </c>
      <c r="AC156" t="s">
        <v>22</v>
      </c>
      <c r="AD156" t="s">
        <v>957</v>
      </c>
      <c r="AE156">
        <v>1.1836536948196835E-4</v>
      </c>
      <c r="AG156" t="s">
        <v>99</v>
      </c>
      <c r="AH156" t="s">
        <v>957</v>
      </c>
      <c r="AI156">
        <v>0</v>
      </c>
    </row>
    <row r="157" spans="5:35" x14ac:dyDescent="0.45">
      <c r="E157" t="s">
        <v>1432</v>
      </c>
      <c r="G157" t="s">
        <v>155</v>
      </c>
      <c r="I157" t="s">
        <v>249</v>
      </c>
      <c r="J157" t="s">
        <v>958</v>
      </c>
      <c r="K157">
        <v>1.4503500350779999E-4</v>
      </c>
      <c r="L157" t="s">
        <v>251</v>
      </c>
      <c r="N157" t="s">
        <v>419</v>
      </c>
      <c r="O157" t="s">
        <v>958</v>
      </c>
      <c r="P157">
        <v>2.2558338102696715E-5</v>
      </c>
      <c r="Q157" t="s">
        <v>251</v>
      </c>
      <c r="S157" t="s">
        <v>420</v>
      </c>
      <c r="T157" t="s">
        <v>958</v>
      </c>
      <c r="U157">
        <v>9.4829053183039755E-5</v>
      </c>
      <c r="V157" t="s">
        <v>251</v>
      </c>
      <c r="X157">
        <v>1.1415525114155251E-4</v>
      </c>
      <c r="Y157">
        <v>1.408812536774151E-4</v>
      </c>
      <c r="Z157" t="s">
        <v>958</v>
      </c>
      <c r="AA157" t="s">
        <v>25</v>
      </c>
      <c r="AC157" t="s">
        <v>22</v>
      </c>
      <c r="AD157" t="s">
        <v>958</v>
      </c>
      <c r="AE157">
        <v>1.2213004381384315E-4</v>
      </c>
      <c r="AG157" t="s">
        <v>99</v>
      </c>
      <c r="AH157" t="s">
        <v>958</v>
      </c>
      <c r="AI157">
        <v>0</v>
      </c>
    </row>
    <row r="158" spans="5:35" x14ac:dyDescent="0.45">
      <c r="E158" t="s">
        <v>1433</v>
      </c>
      <c r="G158" t="s">
        <v>155</v>
      </c>
      <c r="I158" t="s">
        <v>249</v>
      </c>
      <c r="J158" t="s">
        <v>959</v>
      </c>
      <c r="K158">
        <v>1.6352714791019999E-4</v>
      </c>
      <c r="L158" t="s">
        <v>251</v>
      </c>
      <c r="N158" t="s">
        <v>419</v>
      </c>
      <c r="O158" t="s">
        <v>959</v>
      </c>
      <c r="P158">
        <v>1.9318083555611008E-5</v>
      </c>
      <c r="Q158" t="s">
        <v>251</v>
      </c>
      <c r="S158" t="s">
        <v>420</v>
      </c>
      <c r="T158" t="s">
        <v>959</v>
      </c>
      <c r="U158">
        <v>9.8971979330254097E-5</v>
      </c>
      <c r="V158" t="s">
        <v>251</v>
      </c>
      <c r="X158">
        <v>1.1415525114155251E-4</v>
      </c>
      <c r="Y158">
        <v>1.4054976837464471E-4</v>
      </c>
      <c r="Z158" t="s">
        <v>959</v>
      </c>
      <c r="AA158" t="s">
        <v>25</v>
      </c>
      <c r="AC158" t="s">
        <v>22</v>
      </c>
      <c r="AD158" t="s">
        <v>959</v>
      </c>
      <c r="AE158">
        <v>1.2158797836415864E-4</v>
      </c>
      <c r="AG158" t="s">
        <v>99</v>
      </c>
      <c r="AH158" t="s">
        <v>959</v>
      </c>
      <c r="AI158">
        <v>0</v>
      </c>
    </row>
    <row r="159" spans="5:35" x14ac:dyDescent="0.45">
      <c r="E159" t="s">
        <v>1434</v>
      </c>
      <c r="G159" t="s">
        <v>155</v>
      </c>
      <c r="I159" t="s">
        <v>249</v>
      </c>
      <c r="J159" t="s">
        <v>960</v>
      </c>
      <c r="K159">
        <v>1.885941073801E-4</v>
      </c>
      <c r="L159" t="s">
        <v>251</v>
      </c>
      <c r="N159" t="s">
        <v>419</v>
      </c>
      <c r="O159" t="s">
        <v>960</v>
      </c>
      <c r="P159">
        <v>1.6656617674035167E-5</v>
      </c>
      <c r="Q159" t="s">
        <v>251</v>
      </c>
      <c r="S159" t="s">
        <v>420</v>
      </c>
      <c r="T159" t="s">
        <v>960</v>
      </c>
      <c r="U159">
        <v>1.0921758084890001E-4</v>
      </c>
      <c r="V159" t="s">
        <v>251</v>
      </c>
      <c r="X159">
        <v>1.1415525114155251E-4</v>
      </c>
      <c r="Y159">
        <v>1.4253868019126702E-4</v>
      </c>
      <c r="Z159" t="s">
        <v>960</v>
      </c>
      <c r="AA159" t="s">
        <v>25</v>
      </c>
      <c r="AC159" t="s">
        <v>22</v>
      </c>
      <c r="AD159" t="s">
        <v>960</v>
      </c>
      <c r="AE159">
        <v>1.1750163882038311E-4</v>
      </c>
      <c r="AG159" t="s">
        <v>99</v>
      </c>
      <c r="AH159" t="s">
        <v>960</v>
      </c>
      <c r="AI159">
        <v>0</v>
      </c>
    </row>
    <row r="160" spans="5:35" x14ac:dyDescent="0.45">
      <c r="E160" t="s">
        <v>1435</v>
      </c>
      <c r="G160" t="s">
        <v>155</v>
      </c>
      <c r="I160" t="s">
        <v>249</v>
      </c>
      <c r="J160" t="s">
        <v>961</v>
      </c>
      <c r="K160">
        <v>1.6023971343690001E-4</v>
      </c>
      <c r="L160" t="s">
        <v>251</v>
      </c>
      <c r="N160" t="s">
        <v>419</v>
      </c>
      <c r="O160" t="s">
        <v>961</v>
      </c>
      <c r="P160">
        <v>1.6070847510919575E-5</v>
      </c>
      <c r="Q160" t="s">
        <v>251</v>
      </c>
      <c r="S160" t="s">
        <v>420</v>
      </c>
      <c r="T160" t="s">
        <v>961</v>
      </c>
      <c r="U160">
        <v>1.23242615431E-4</v>
      </c>
      <c r="V160" t="s">
        <v>251</v>
      </c>
      <c r="X160">
        <v>1.1415525114155251E-4</v>
      </c>
      <c r="Y160">
        <v>1.4883690094390442E-4</v>
      </c>
      <c r="Z160" t="s">
        <v>961</v>
      </c>
      <c r="AA160" t="s">
        <v>25</v>
      </c>
      <c r="AC160" t="s">
        <v>22</v>
      </c>
      <c r="AD160" t="s">
        <v>961</v>
      </c>
      <c r="AE160">
        <v>1.1259922272048917E-4</v>
      </c>
      <c r="AG160" t="s">
        <v>99</v>
      </c>
      <c r="AH160" t="s">
        <v>961</v>
      </c>
      <c r="AI160">
        <v>0</v>
      </c>
    </row>
    <row r="161" spans="5:35" x14ac:dyDescent="0.45">
      <c r="E161" t="s">
        <v>1436</v>
      </c>
      <c r="G161" t="s">
        <v>155</v>
      </c>
      <c r="I161" t="s">
        <v>249</v>
      </c>
      <c r="J161" t="s">
        <v>962</v>
      </c>
      <c r="K161">
        <v>1.3822530568859999E-4</v>
      </c>
      <c r="L161" t="s">
        <v>251</v>
      </c>
      <c r="N161" t="s">
        <v>419</v>
      </c>
      <c r="O161" t="s">
        <v>962</v>
      </c>
      <c r="P161">
        <v>1.8044539513554121E-5</v>
      </c>
      <c r="Q161" t="s">
        <v>251</v>
      </c>
      <c r="S161" t="s">
        <v>420</v>
      </c>
      <c r="T161" t="s">
        <v>962</v>
      </c>
      <c r="U161">
        <v>1.3476073238589999E-4</v>
      </c>
      <c r="V161" t="s">
        <v>251</v>
      </c>
      <c r="X161">
        <v>1.1415525114155251E-4</v>
      </c>
      <c r="Y161">
        <v>1.5049432745775637E-4</v>
      </c>
      <c r="Z161" t="s">
        <v>962</v>
      </c>
      <c r="AA161" t="s">
        <v>25</v>
      </c>
      <c r="AC161" t="s">
        <v>22</v>
      </c>
      <c r="AD161" t="s">
        <v>962</v>
      </c>
      <c r="AE161">
        <v>1.0156729730493193E-4</v>
      </c>
      <c r="AG161" t="s">
        <v>99</v>
      </c>
      <c r="AH161" t="s">
        <v>962</v>
      </c>
      <c r="AI161">
        <v>0</v>
      </c>
    </row>
    <row r="162" spans="5:35" x14ac:dyDescent="0.45">
      <c r="E162" t="s">
        <v>1437</v>
      </c>
      <c r="G162" t="s">
        <v>155</v>
      </c>
      <c r="I162" t="s">
        <v>249</v>
      </c>
      <c r="J162" t="s">
        <v>963</v>
      </c>
      <c r="K162">
        <v>1.147495500865E-4</v>
      </c>
      <c r="L162" t="s">
        <v>251</v>
      </c>
      <c r="N162" t="s">
        <v>419</v>
      </c>
      <c r="O162" t="s">
        <v>963</v>
      </c>
      <c r="P162">
        <v>2.1976238570097733E-5</v>
      </c>
      <c r="Q162" t="s">
        <v>251</v>
      </c>
      <c r="S162" t="s">
        <v>420</v>
      </c>
      <c r="T162" t="s">
        <v>963</v>
      </c>
      <c r="U162">
        <v>1.365445414284E-4</v>
      </c>
      <c r="V162" t="s">
        <v>251</v>
      </c>
      <c r="X162">
        <v>1.1415525114155251E-4</v>
      </c>
      <c r="Y162">
        <v>1.7237235744060203E-4</v>
      </c>
      <c r="Z162" t="s">
        <v>963</v>
      </c>
      <c r="AA162" t="s">
        <v>25</v>
      </c>
      <c r="AC162" t="s">
        <v>22</v>
      </c>
      <c r="AD162" t="s">
        <v>963</v>
      </c>
      <c r="AE162">
        <v>8.6395421476949101E-5</v>
      </c>
      <c r="AG162" t="s">
        <v>99</v>
      </c>
      <c r="AH162" t="s">
        <v>963</v>
      </c>
      <c r="AI162">
        <v>0</v>
      </c>
    </row>
    <row r="163" spans="5:35" x14ac:dyDescent="0.45">
      <c r="E163" t="s">
        <v>1438</v>
      </c>
      <c r="G163" t="s">
        <v>155</v>
      </c>
      <c r="I163" t="s">
        <v>249</v>
      </c>
      <c r="J163" t="s">
        <v>964</v>
      </c>
      <c r="K163">
        <v>1.1997668960330001E-4</v>
      </c>
      <c r="L163" t="s">
        <v>251</v>
      </c>
      <c r="N163" t="s">
        <v>419</v>
      </c>
      <c r="O163" t="s">
        <v>964</v>
      </c>
      <c r="P163">
        <v>2.564398788859073E-5</v>
      </c>
      <c r="Q163" t="s">
        <v>251</v>
      </c>
      <c r="S163" t="s">
        <v>420</v>
      </c>
      <c r="T163" t="s">
        <v>964</v>
      </c>
      <c r="U163">
        <v>1.3785085680899999E-4</v>
      </c>
      <c r="V163" t="s">
        <v>251</v>
      </c>
      <c r="X163">
        <v>1.1415525114155251E-4</v>
      </c>
      <c r="Y163">
        <v>2.2209515285616027E-4</v>
      </c>
      <c r="Z163" t="s">
        <v>964</v>
      </c>
      <c r="AA163" t="s">
        <v>25</v>
      </c>
      <c r="AC163" t="s">
        <v>22</v>
      </c>
      <c r="AD163" t="s">
        <v>964</v>
      </c>
      <c r="AE163">
        <v>8.1689578562105583E-5</v>
      </c>
      <c r="AG163" t="s">
        <v>99</v>
      </c>
      <c r="AH163" t="s">
        <v>964</v>
      </c>
      <c r="AI163">
        <v>0</v>
      </c>
    </row>
    <row r="164" spans="5:35" x14ac:dyDescent="0.45">
      <c r="E164" t="s">
        <v>1439</v>
      </c>
      <c r="G164" t="s">
        <v>155</v>
      </c>
      <c r="I164" t="s">
        <v>249</v>
      </c>
      <c r="J164" t="s">
        <v>965</v>
      </c>
      <c r="K164">
        <v>1.070964015411E-4</v>
      </c>
      <c r="L164" t="s">
        <v>251</v>
      </c>
      <c r="N164" t="s">
        <v>419</v>
      </c>
      <c r="O164" t="s">
        <v>965</v>
      </c>
      <c r="P164">
        <v>2.9297939518311E-5</v>
      </c>
      <c r="Q164" t="s">
        <v>251</v>
      </c>
      <c r="S164" t="s">
        <v>420</v>
      </c>
      <c r="T164" t="s">
        <v>965</v>
      </c>
      <c r="U164">
        <v>1.3541772348849999E-4</v>
      </c>
      <c r="V164" t="s">
        <v>251</v>
      </c>
      <c r="X164">
        <v>1.1415525114155251E-4</v>
      </c>
      <c r="Y164">
        <v>2.2209515285616027E-4</v>
      </c>
      <c r="Z164" t="s">
        <v>965</v>
      </c>
      <c r="AA164" t="s">
        <v>25</v>
      </c>
      <c r="AC164" t="s">
        <v>22</v>
      </c>
      <c r="AD164" t="s">
        <v>965</v>
      </c>
      <c r="AE164">
        <v>7.636423227619405E-5</v>
      </c>
      <c r="AG164" t="s">
        <v>99</v>
      </c>
      <c r="AH164" t="s">
        <v>965</v>
      </c>
      <c r="AI164">
        <v>0</v>
      </c>
    </row>
    <row r="165" spans="5:35" x14ac:dyDescent="0.45">
      <c r="E165" t="s">
        <v>1440</v>
      </c>
      <c r="G165" t="s">
        <v>155</v>
      </c>
      <c r="I165" t="s">
        <v>249</v>
      </c>
      <c r="J165" t="s">
        <v>966</v>
      </c>
      <c r="K165">
        <v>1.2153989827617857E-5</v>
      </c>
      <c r="L165" t="s">
        <v>251</v>
      </c>
      <c r="N165" t="s">
        <v>419</v>
      </c>
      <c r="O165" t="s">
        <v>966</v>
      </c>
      <c r="P165">
        <v>3.423477342543982E-5</v>
      </c>
      <c r="Q165" t="s">
        <v>251</v>
      </c>
      <c r="S165" t="s">
        <v>420</v>
      </c>
      <c r="T165" t="s">
        <v>966</v>
      </c>
      <c r="U165">
        <v>1.290188611047E-4</v>
      </c>
      <c r="V165" t="s">
        <v>251</v>
      </c>
      <c r="X165">
        <v>1.1415525114155251E-4</v>
      </c>
      <c r="Y165">
        <v>1.7237235744060203E-4</v>
      </c>
      <c r="Z165" t="s">
        <v>966</v>
      </c>
      <c r="AA165" t="s">
        <v>25</v>
      </c>
      <c r="AC165" t="s">
        <v>22</v>
      </c>
      <c r="AD165" t="s">
        <v>966</v>
      </c>
      <c r="AE165">
        <v>7.5804296536959492E-5</v>
      </c>
      <c r="AG165" t="s">
        <v>99</v>
      </c>
      <c r="AH165" t="s">
        <v>966</v>
      </c>
      <c r="AI165">
        <v>0</v>
      </c>
    </row>
    <row r="166" spans="5:35" x14ac:dyDescent="0.45">
      <c r="E166" t="s">
        <v>1441</v>
      </c>
      <c r="G166" t="s">
        <v>155</v>
      </c>
      <c r="I166" t="s">
        <v>249</v>
      </c>
      <c r="J166" t="s">
        <v>967</v>
      </c>
      <c r="K166">
        <v>0</v>
      </c>
      <c r="L166" t="s">
        <v>251</v>
      </c>
      <c r="N166" t="s">
        <v>419</v>
      </c>
      <c r="O166" t="s">
        <v>967</v>
      </c>
      <c r="P166">
        <v>3.3828296415566458E-5</v>
      </c>
      <c r="Q166" t="s">
        <v>251</v>
      </c>
      <c r="S166" t="s">
        <v>420</v>
      </c>
      <c r="T166" t="s">
        <v>967</v>
      </c>
      <c r="U166">
        <v>1.157807621973E-4</v>
      </c>
      <c r="V166" t="s">
        <v>251</v>
      </c>
      <c r="X166">
        <v>1.1415525114155251E-4</v>
      </c>
      <c r="Y166">
        <v>1.5579809230208258E-4</v>
      </c>
      <c r="Z166" t="s">
        <v>967</v>
      </c>
      <c r="AA166" t="s">
        <v>25</v>
      </c>
      <c r="AC166" t="s">
        <v>22</v>
      </c>
      <c r="AD166" t="s">
        <v>967</v>
      </c>
      <c r="AE166">
        <v>7.688247067314518E-5</v>
      </c>
      <c r="AG166" t="s">
        <v>99</v>
      </c>
      <c r="AH166" t="s">
        <v>967</v>
      </c>
      <c r="AI166">
        <v>0</v>
      </c>
    </row>
    <row r="167" spans="5:35" x14ac:dyDescent="0.45">
      <c r="E167" t="s">
        <v>1442</v>
      </c>
      <c r="G167" t="s">
        <v>155</v>
      </c>
      <c r="I167" t="s">
        <v>249</v>
      </c>
      <c r="J167" t="s">
        <v>968</v>
      </c>
      <c r="K167">
        <v>0</v>
      </c>
      <c r="L167" t="s">
        <v>251</v>
      </c>
      <c r="N167" t="s">
        <v>419</v>
      </c>
      <c r="O167" t="s">
        <v>968</v>
      </c>
      <c r="P167">
        <v>3.7221247012404903E-5</v>
      </c>
      <c r="Q167" t="s">
        <v>251</v>
      </c>
      <c r="S167" t="s">
        <v>420</v>
      </c>
      <c r="T167" t="s">
        <v>968</v>
      </c>
      <c r="U167">
        <v>1.111510433719E-4</v>
      </c>
      <c r="V167" t="s">
        <v>251</v>
      </c>
      <c r="X167">
        <v>1.1415525114155251E-4</v>
      </c>
      <c r="Y167">
        <v>1.093901499142282E-4</v>
      </c>
      <c r="Z167" t="s">
        <v>968</v>
      </c>
      <c r="AA167" t="s">
        <v>25</v>
      </c>
      <c r="AC167" t="s">
        <v>22</v>
      </c>
      <c r="AD167" t="s">
        <v>968</v>
      </c>
      <c r="AE167">
        <v>8.2410346907290456E-5</v>
      </c>
      <c r="AG167" t="s">
        <v>99</v>
      </c>
      <c r="AH167" t="s">
        <v>968</v>
      </c>
      <c r="AI167">
        <v>0</v>
      </c>
    </row>
    <row r="168" spans="5:35" x14ac:dyDescent="0.45">
      <c r="E168" t="s">
        <v>1443</v>
      </c>
      <c r="G168" t="s">
        <v>155</v>
      </c>
      <c r="I168" t="s">
        <v>249</v>
      </c>
      <c r="J168" t="s">
        <v>969</v>
      </c>
      <c r="K168">
        <v>0</v>
      </c>
      <c r="L168" t="s">
        <v>251</v>
      </c>
      <c r="N168" t="s">
        <v>419</v>
      </c>
      <c r="O168" t="s">
        <v>969</v>
      </c>
      <c r="P168">
        <v>4.2456836956011083E-5</v>
      </c>
      <c r="Q168" t="s">
        <v>251</v>
      </c>
      <c r="S168" t="s">
        <v>420</v>
      </c>
      <c r="T168" t="s">
        <v>969</v>
      </c>
      <c r="U168">
        <v>1.108555649766E-4</v>
      </c>
      <c r="V168" t="s">
        <v>251</v>
      </c>
      <c r="X168">
        <v>1.1415525114155251E-4</v>
      </c>
      <c r="Y168">
        <v>7.9556472664893237E-5</v>
      </c>
      <c r="Z168" t="s">
        <v>969</v>
      </c>
      <c r="AA168" t="s">
        <v>25</v>
      </c>
      <c r="AC168" t="s">
        <v>22</v>
      </c>
      <c r="AD168" t="s">
        <v>969</v>
      </c>
      <c r="AE168">
        <v>8.8545812986137083E-5</v>
      </c>
      <c r="AG168" t="s">
        <v>99</v>
      </c>
      <c r="AH168" t="s">
        <v>969</v>
      </c>
      <c r="AI168">
        <v>0</v>
      </c>
    </row>
    <row r="169" spans="5:35" x14ac:dyDescent="0.45">
      <c r="E169" t="s">
        <v>1444</v>
      </c>
      <c r="G169" t="s">
        <v>155</v>
      </c>
      <c r="I169" t="s">
        <v>249</v>
      </c>
      <c r="J169" t="s">
        <v>970</v>
      </c>
      <c r="K169">
        <v>0</v>
      </c>
      <c r="L169" t="s">
        <v>251</v>
      </c>
      <c r="N169" t="s">
        <v>419</v>
      </c>
      <c r="O169" t="s">
        <v>970</v>
      </c>
      <c r="P169">
        <v>4.723445130012485E-5</v>
      </c>
      <c r="Q169" t="s">
        <v>251</v>
      </c>
      <c r="S169" t="s">
        <v>420</v>
      </c>
      <c r="T169" t="s">
        <v>970</v>
      </c>
      <c r="U169">
        <v>1.119908396294E-4</v>
      </c>
      <c r="V169" t="s">
        <v>251</v>
      </c>
      <c r="X169">
        <v>1.1415525114155251E-4</v>
      </c>
      <c r="Y169">
        <v>5.6352501470966035E-5</v>
      </c>
      <c r="Z169" t="s">
        <v>970</v>
      </c>
      <c r="AA169" t="s">
        <v>25</v>
      </c>
      <c r="AC169" t="s">
        <v>22</v>
      </c>
      <c r="AD169" t="s">
        <v>970</v>
      </c>
      <c r="AE169">
        <v>9.7248643997005938E-5</v>
      </c>
      <c r="AG169" t="s">
        <v>99</v>
      </c>
      <c r="AH169" t="s">
        <v>970</v>
      </c>
      <c r="AI169">
        <v>0</v>
      </c>
    </row>
    <row r="170" spans="5:35" x14ac:dyDescent="0.45">
      <c r="E170" t="s">
        <v>1445</v>
      </c>
      <c r="G170" t="s">
        <v>155</v>
      </c>
      <c r="I170" t="s">
        <v>249</v>
      </c>
      <c r="J170" t="s">
        <v>971</v>
      </c>
      <c r="K170">
        <v>0</v>
      </c>
      <c r="L170" t="s">
        <v>251</v>
      </c>
      <c r="N170" t="s">
        <v>419</v>
      </c>
      <c r="O170" t="s">
        <v>971</v>
      </c>
      <c r="P170">
        <v>4.9512759112373163E-5</v>
      </c>
      <c r="Q170" t="s">
        <v>251</v>
      </c>
      <c r="S170" t="s">
        <v>420</v>
      </c>
      <c r="T170" t="s">
        <v>971</v>
      </c>
      <c r="U170">
        <v>1.143507476247E-4</v>
      </c>
      <c r="V170" t="s">
        <v>251</v>
      </c>
      <c r="X170">
        <v>1.1415525114155251E-4</v>
      </c>
      <c r="Y170">
        <v>2.9833677249334962E-5</v>
      </c>
      <c r="Z170" t="s">
        <v>971</v>
      </c>
      <c r="AA170" t="s">
        <v>25</v>
      </c>
      <c r="AC170" t="s">
        <v>22</v>
      </c>
      <c r="AD170" t="s">
        <v>971</v>
      </c>
      <c r="AE170">
        <v>1.0346154799723607E-4</v>
      </c>
      <c r="AG170" t="s">
        <v>99</v>
      </c>
      <c r="AH170" t="s">
        <v>971</v>
      </c>
      <c r="AI170">
        <v>0</v>
      </c>
    </row>
    <row r="171" spans="5:35" x14ac:dyDescent="0.45">
      <c r="E171" t="s">
        <v>1446</v>
      </c>
      <c r="G171" t="s">
        <v>155</v>
      </c>
      <c r="I171" t="s">
        <v>249</v>
      </c>
      <c r="J171" t="s">
        <v>1670</v>
      </c>
      <c r="K171">
        <v>0</v>
      </c>
      <c r="L171" t="s">
        <v>251</v>
      </c>
      <c r="N171" t="s">
        <v>419</v>
      </c>
      <c r="O171" t="s">
        <v>1670</v>
      </c>
      <c r="P171">
        <v>5.1782688523063223E-5</v>
      </c>
      <c r="Q171" t="s">
        <v>251</v>
      </c>
      <c r="S171" t="s">
        <v>420</v>
      </c>
      <c r="T171" t="s">
        <v>1670</v>
      </c>
      <c r="U171">
        <v>1.1849925163700001E-4</v>
      </c>
      <c r="V171" t="s">
        <v>251</v>
      </c>
      <c r="X171">
        <v>1.1415525114155251E-4</v>
      </c>
      <c r="Y171">
        <v>2.1546544680075254E-5</v>
      </c>
      <c r="Z171" t="s">
        <v>1670</v>
      </c>
      <c r="AA171" t="s">
        <v>25</v>
      </c>
      <c r="AC171" t="s">
        <v>22</v>
      </c>
      <c r="AD171" t="s">
        <v>1670</v>
      </c>
      <c r="AE171">
        <v>1.057370315332743E-4</v>
      </c>
      <c r="AG171" t="s">
        <v>99</v>
      </c>
      <c r="AH171" t="s">
        <v>1670</v>
      </c>
      <c r="AI171">
        <v>0</v>
      </c>
    </row>
    <row r="172" spans="5:35" x14ac:dyDescent="0.45">
      <c r="E172" t="s">
        <v>1447</v>
      </c>
      <c r="G172" t="s">
        <v>155</v>
      </c>
      <c r="I172" t="s">
        <v>249</v>
      </c>
      <c r="J172" t="s">
        <v>1671</v>
      </c>
      <c r="K172">
        <v>0</v>
      </c>
      <c r="L172" t="s">
        <v>251</v>
      </c>
      <c r="N172" t="s">
        <v>419</v>
      </c>
      <c r="O172" t="s">
        <v>1671</v>
      </c>
      <c r="P172">
        <v>5.2189017324169122E-5</v>
      </c>
      <c r="Q172" t="s">
        <v>251</v>
      </c>
      <c r="S172" t="s">
        <v>420</v>
      </c>
      <c r="T172" t="s">
        <v>1671</v>
      </c>
      <c r="U172">
        <v>1.197140601839E-4</v>
      </c>
      <c r="V172" t="s">
        <v>251</v>
      </c>
      <c r="X172">
        <v>1.1415525114155251E-4</v>
      </c>
      <c r="Y172">
        <v>1.4916838624667481E-5</v>
      </c>
      <c r="Z172" t="s">
        <v>1671</v>
      </c>
      <c r="AA172" t="s">
        <v>25</v>
      </c>
      <c r="AC172" t="s">
        <v>22</v>
      </c>
      <c r="AD172" t="s">
        <v>1671</v>
      </c>
      <c r="AE172">
        <v>1.0817334767526291E-4</v>
      </c>
      <c r="AG172" t="s">
        <v>99</v>
      </c>
      <c r="AH172" t="s">
        <v>1671</v>
      </c>
      <c r="AI172">
        <v>0</v>
      </c>
    </row>
    <row r="173" spans="5:35" x14ac:dyDescent="0.45">
      <c r="E173" t="s">
        <v>1448</v>
      </c>
      <c r="G173" t="s">
        <v>155</v>
      </c>
      <c r="I173" t="s">
        <v>249</v>
      </c>
      <c r="J173" t="s">
        <v>1672</v>
      </c>
      <c r="K173">
        <v>0</v>
      </c>
      <c r="L173" t="s">
        <v>251</v>
      </c>
      <c r="N173" t="s">
        <v>419</v>
      </c>
      <c r="O173" t="s">
        <v>1672</v>
      </c>
      <c r="P173">
        <v>5.015283128684618E-5</v>
      </c>
      <c r="Q173" t="s">
        <v>251</v>
      </c>
      <c r="S173" t="s">
        <v>420</v>
      </c>
      <c r="T173" t="s">
        <v>1672</v>
      </c>
      <c r="U173">
        <v>1.1854820147079999E-4</v>
      </c>
      <c r="V173" t="s">
        <v>251</v>
      </c>
      <c r="X173">
        <v>1.1415525114155251E-4</v>
      </c>
      <c r="Y173">
        <v>1.6574265138519424E-5</v>
      </c>
      <c r="Z173" t="s">
        <v>1672</v>
      </c>
      <c r="AA173" t="s">
        <v>25</v>
      </c>
      <c r="AC173" t="s">
        <v>22</v>
      </c>
      <c r="AD173" t="s">
        <v>1672</v>
      </c>
      <c r="AE173">
        <v>1.04355062474738E-4</v>
      </c>
      <c r="AG173" t="s">
        <v>99</v>
      </c>
      <c r="AH173" t="s">
        <v>1672</v>
      </c>
      <c r="AI173">
        <v>0</v>
      </c>
    </row>
    <row r="174" spans="5:35" x14ac:dyDescent="0.45">
      <c r="E174" t="s">
        <v>1449</v>
      </c>
      <c r="G174" t="s">
        <v>155</v>
      </c>
      <c r="I174" t="s">
        <v>249</v>
      </c>
      <c r="J174" t="s">
        <v>1673</v>
      </c>
      <c r="K174">
        <v>0</v>
      </c>
      <c r="L174" t="s">
        <v>251</v>
      </c>
      <c r="N174" t="s">
        <v>419</v>
      </c>
      <c r="O174" t="s">
        <v>1673</v>
      </c>
      <c r="P174">
        <v>4.6648691455961049E-5</v>
      </c>
      <c r="Q174" t="s">
        <v>251</v>
      </c>
      <c r="S174" t="s">
        <v>420</v>
      </c>
      <c r="T174" t="s">
        <v>1673</v>
      </c>
      <c r="U174">
        <v>1.14355639829E-4</v>
      </c>
      <c r="V174" t="s">
        <v>251</v>
      </c>
      <c r="X174">
        <v>1.1415525114155251E-4</v>
      </c>
      <c r="Y174">
        <v>1.4585353321897093E-5</v>
      </c>
      <c r="Z174" t="s">
        <v>1673</v>
      </c>
      <c r="AA174" t="s">
        <v>25</v>
      </c>
      <c r="AC174" t="s">
        <v>22</v>
      </c>
      <c r="AD174" t="s">
        <v>1673</v>
      </c>
      <c r="AE174">
        <v>1.0401552697328729E-4</v>
      </c>
      <c r="AG174" t="s">
        <v>99</v>
      </c>
      <c r="AH174" t="s">
        <v>1673</v>
      </c>
      <c r="AI174">
        <v>0</v>
      </c>
    </row>
    <row r="175" spans="5:35" x14ac:dyDescent="0.45">
      <c r="E175" t="s">
        <v>1450</v>
      </c>
      <c r="G175" t="s">
        <v>155</v>
      </c>
      <c r="I175" t="s">
        <v>249</v>
      </c>
      <c r="J175" t="s">
        <v>1674</v>
      </c>
      <c r="K175">
        <v>0</v>
      </c>
      <c r="L175" t="s">
        <v>251</v>
      </c>
      <c r="N175" t="s">
        <v>419</v>
      </c>
      <c r="O175" t="s">
        <v>1674</v>
      </c>
      <c r="P175">
        <v>4.4738063887431787E-5</v>
      </c>
      <c r="Q175" t="s">
        <v>251</v>
      </c>
      <c r="S175" t="s">
        <v>420</v>
      </c>
      <c r="T175" t="s">
        <v>1674</v>
      </c>
      <c r="U175">
        <v>1.0830259714749999E-4</v>
      </c>
      <c r="V175" t="s">
        <v>251</v>
      </c>
      <c r="X175">
        <v>1.1415525114155251E-4</v>
      </c>
      <c r="Y175">
        <v>2.1215059377304864E-5</v>
      </c>
      <c r="Z175" t="s">
        <v>1674</v>
      </c>
      <c r="AA175" t="s">
        <v>25</v>
      </c>
      <c r="AC175" t="s">
        <v>22</v>
      </c>
      <c r="AD175" t="s">
        <v>1674</v>
      </c>
      <c r="AE175">
        <v>1.0383086731460353E-4</v>
      </c>
      <c r="AG175" t="s">
        <v>99</v>
      </c>
      <c r="AH175" t="s">
        <v>1674</v>
      </c>
      <c r="AI175">
        <v>0</v>
      </c>
    </row>
    <row r="176" spans="5:35" x14ac:dyDescent="0.45">
      <c r="E176" t="s">
        <v>1451</v>
      </c>
      <c r="G176" t="s">
        <v>155</v>
      </c>
      <c r="I176" t="s">
        <v>249</v>
      </c>
      <c r="J176" t="s">
        <v>1675</v>
      </c>
      <c r="K176">
        <v>0</v>
      </c>
      <c r="L176" t="s">
        <v>251</v>
      </c>
      <c r="N176" t="s">
        <v>419</v>
      </c>
      <c r="O176" t="s">
        <v>1675</v>
      </c>
      <c r="P176">
        <v>4.43280632308616E-5</v>
      </c>
      <c r="Q176" t="s">
        <v>251</v>
      </c>
      <c r="S176" t="s">
        <v>420</v>
      </c>
      <c r="T176" t="s">
        <v>1675</v>
      </c>
      <c r="U176">
        <v>1.0099027836E-4</v>
      </c>
      <c r="V176" t="s">
        <v>251</v>
      </c>
      <c r="X176">
        <v>1.1415525114155251E-4</v>
      </c>
      <c r="Y176">
        <v>5.7678442682047593E-5</v>
      </c>
      <c r="Z176" t="s">
        <v>1675</v>
      </c>
      <c r="AA176" t="s">
        <v>25</v>
      </c>
      <c r="AC176" t="s">
        <v>22</v>
      </c>
      <c r="AD176" t="s">
        <v>1675</v>
      </c>
      <c r="AE176">
        <v>1.0454567889660505E-4</v>
      </c>
      <c r="AG176" t="s">
        <v>99</v>
      </c>
      <c r="AH176" t="s">
        <v>1675</v>
      </c>
      <c r="AI176">
        <v>0</v>
      </c>
    </row>
    <row r="177" spans="5:35" x14ac:dyDescent="0.45">
      <c r="E177" t="s">
        <v>1452</v>
      </c>
      <c r="G177" t="s">
        <v>155</v>
      </c>
      <c r="I177" t="s">
        <v>249</v>
      </c>
      <c r="J177" t="s">
        <v>1676</v>
      </c>
      <c r="K177">
        <v>0</v>
      </c>
      <c r="L177" t="s">
        <v>251</v>
      </c>
      <c r="N177" t="s">
        <v>419</v>
      </c>
      <c r="O177" t="s">
        <v>1676</v>
      </c>
      <c r="P177">
        <v>4.2826516821775669E-5</v>
      </c>
      <c r="Q177" t="s">
        <v>251</v>
      </c>
      <c r="S177" t="s">
        <v>420</v>
      </c>
      <c r="T177" t="s">
        <v>1676</v>
      </c>
      <c r="U177">
        <v>9.1065377552948239E-5</v>
      </c>
      <c r="V177" t="s">
        <v>251</v>
      </c>
      <c r="X177">
        <v>1.1415525114155251E-4</v>
      </c>
      <c r="Y177">
        <v>1.6905750441289813E-4</v>
      </c>
      <c r="Z177" t="s">
        <v>1676</v>
      </c>
      <c r="AA177" t="s">
        <v>25</v>
      </c>
      <c r="AC177" t="s">
        <v>22</v>
      </c>
      <c r="AD177" t="s">
        <v>1676</v>
      </c>
      <c r="AE177">
        <v>1.0518900932040648E-4</v>
      </c>
      <c r="AG177" t="s">
        <v>99</v>
      </c>
      <c r="AH177" t="s">
        <v>1676</v>
      </c>
      <c r="AI177">
        <v>0</v>
      </c>
    </row>
    <row r="178" spans="5:35" x14ac:dyDescent="0.45">
      <c r="E178" t="s">
        <v>1453</v>
      </c>
      <c r="G178" t="s">
        <v>155</v>
      </c>
      <c r="I178" t="s">
        <v>249</v>
      </c>
      <c r="J178" t="s">
        <v>1677</v>
      </c>
      <c r="K178">
        <v>5.8048550240543691E-5</v>
      </c>
      <c r="L178" t="s">
        <v>251</v>
      </c>
      <c r="N178" t="s">
        <v>419</v>
      </c>
      <c r="O178" t="s">
        <v>1677</v>
      </c>
      <c r="P178">
        <v>4.3545292236804042E-5</v>
      </c>
      <c r="Q178" t="s">
        <v>251</v>
      </c>
      <c r="S178" t="s">
        <v>420</v>
      </c>
      <c r="T178" t="s">
        <v>1677</v>
      </c>
      <c r="U178">
        <v>7.9319832621738636E-5</v>
      </c>
      <c r="V178" t="s">
        <v>251</v>
      </c>
      <c r="X178">
        <v>1.1415525114155251E-4</v>
      </c>
      <c r="Y178">
        <v>1.9060404909297337E-4</v>
      </c>
      <c r="Z178" t="s">
        <v>1677</v>
      </c>
      <c r="AA178" t="s">
        <v>25</v>
      </c>
      <c r="AC178" t="s">
        <v>22</v>
      </c>
      <c r="AD178" t="s">
        <v>1677</v>
      </c>
      <c r="AE178">
        <v>1.134748669084411E-4</v>
      </c>
      <c r="AG178" t="s">
        <v>99</v>
      </c>
      <c r="AH178" t="s">
        <v>1677</v>
      </c>
      <c r="AI178">
        <v>0</v>
      </c>
    </row>
    <row r="179" spans="5:35" x14ac:dyDescent="0.45">
      <c r="E179" t="s">
        <v>153</v>
      </c>
      <c r="G179" t="s">
        <v>160</v>
      </c>
      <c r="I179" t="s">
        <v>249</v>
      </c>
      <c r="J179" t="s">
        <v>1678</v>
      </c>
      <c r="K179">
        <v>1.135799934437E-4</v>
      </c>
      <c r="L179" t="s">
        <v>251</v>
      </c>
      <c r="N179" t="s">
        <v>419</v>
      </c>
      <c r="O179" t="s">
        <v>1678</v>
      </c>
      <c r="P179">
        <v>4.1233453488654882E-5</v>
      </c>
      <c r="Q179" t="s">
        <v>251</v>
      </c>
      <c r="S179" t="s">
        <v>420</v>
      </c>
      <c r="T179" t="s">
        <v>1678</v>
      </c>
      <c r="U179">
        <v>7.8445067412549581E-5</v>
      </c>
      <c r="V179" t="s">
        <v>251</v>
      </c>
      <c r="X179">
        <v>1.1415525114155251E-4</v>
      </c>
      <c r="Y179">
        <v>1.4585353321897094E-4</v>
      </c>
      <c r="Z179" t="s">
        <v>1678</v>
      </c>
      <c r="AA179" t="s">
        <v>25</v>
      </c>
      <c r="AC179" t="s">
        <v>22</v>
      </c>
      <c r="AD179" t="s">
        <v>1678</v>
      </c>
      <c r="AE179">
        <v>1.1893721874756958E-4</v>
      </c>
      <c r="AG179" t="s">
        <v>99</v>
      </c>
      <c r="AH179" t="s">
        <v>1678</v>
      </c>
      <c r="AI179">
        <v>0</v>
      </c>
    </row>
    <row r="180" spans="5:35" x14ac:dyDescent="0.45">
      <c r="E180" t="s">
        <v>157</v>
      </c>
      <c r="G180" t="s">
        <v>160</v>
      </c>
      <c r="I180" t="s">
        <v>249</v>
      </c>
      <c r="J180" t="s">
        <v>1679</v>
      </c>
      <c r="K180">
        <v>1.368368583687E-4</v>
      </c>
      <c r="L180" t="s">
        <v>251</v>
      </c>
      <c r="N180" t="s">
        <v>419</v>
      </c>
      <c r="O180" t="s">
        <v>1679</v>
      </c>
      <c r="P180">
        <v>2.7632694053365397E-5</v>
      </c>
      <c r="Q180" t="s">
        <v>251</v>
      </c>
      <c r="S180" t="s">
        <v>420</v>
      </c>
      <c r="T180" t="s">
        <v>1679</v>
      </c>
      <c r="U180">
        <v>6.9592311021816951E-5</v>
      </c>
      <c r="V180" t="s">
        <v>251</v>
      </c>
      <c r="X180">
        <v>1.1415525114155251E-4</v>
      </c>
      <c r="Y180">
        <v>1.4452759200788939E-4</v>
      </c>
      <c r="Z180" t="s">
        <v>1679</v>
      </c>
      <c r="AA180" t="s">
        <v>25</v>
      </c>
      <c r="AC180" t="s">
        <v>22</v>
      </c>
      <c r="AD180" t="s">
        <v>1679</v>
      </c>
      <c r="AE180">
        <v>1.2059915567572317E-4</v>
      </c>
      <c r="AG180" t="s">
        <v>99</v>
      </c>
      <c r="AH180" t="s">
        <v>1679</v>
      </c>
      <c r="AI180">
        <v>0</v>
      </c>
    </row>
    <row r="181" spans="5:35" x14ac:dyDescent="0.45">
      <c r="E181" t="s">
        <v>161</v>
      </c>
      <c r="G181" t="s">
        <v>160</v>
      </c>
      <c r="I181" t="s">
        <v>249</v>
      </c>
      <c r="J181" t="s">
        <v>1680</v>
      </c>
      <c r="K181">
        <v>1.5011506209460001E-4</v>
      </c>
      <c r="L181" t="s">
        <v>251</v>
      </c>
      <c r="N181" t="s">
        <v>419</v>
      </c>
      <c r="O181" t="s">
        <v>1680</v>
      </c>
      <c r="P181">
        <v>3.6523044072362868E-5</v>
      </c>
      <c r="Q181" t="s">
        <v>251</v>
      </c>
      <c r="S181" t="s">
        <v>420</v>
      </c>
      <c r="T181" t="s">
        <v>1680</v>
      </c>
      <c r="U181">
        <v>6.1021892670681383E-5</v>
      </c>
      <c r="V181" t="s">
        <v>251</v>
      </c>
      <c r="X181">
        <v>1.1415525114155251E-4</v>
      </c>
      <c r="Y181">
        <v>1.408812536774151E-4</v>
      </c>
      <c r="Z181" t="s">
        <v>1680</v>
      </c>
      <c r="AA181" t="s">
        <v>25</v>
      </c>
      <c r="AC181" t="s">
        <v>22</v>
      </c>
      <c r="AD181" t="s">
        <v>1680</v>
      </c>
      <c r="AE181">
        <v>1.2213004381384315E-4</v>
      </c>
      <c r="AG181" t="s">
        <v>99</v>
      </c>
      <c r="AH181" t="s">
        <v>1680</v>
      </c>
      <c r="AI181">
        <v>0</v>
      </c>
    </row>
    <row r="182" spans="5:35" x14ac:dyDescent="0.45">
      <c r="E182" t="s">
        <v>165</v>
      </c>
      <c r="G182" t="s">
        <v>160</v>
      </c>
      <c r="I182" t="s">
        <v>249</v>
      </c>
      <c r="J182" t="s">
        <v>1681</v>
      </c>
      <c r="K182">
        <v>1.7407884260230001E-4</v>
      </c>
      <c r="L182" t="s">
        <v>251</v>
      </c>
      <c r="N182" t="s">
        <v>419</v>
      </c>
      <c r="O182" t="s">
        <v>1681</v>
      </c>
      <c r="P182">
        <v>4.6524255558908349E-5</v>
      </c>
      <c r="Q182" t="s">
        <v>251</v>
      </c>
      <c r="S182" t="s">
        <v>420</v>
      </c>
      <c r="T182" t="s">
        <v>1681</v>
      </c>
      <c r="U182">
        <v>5.44455440938774E-5</v>
      </c>
      <c r="V182" t="s">
        <v>251</v>
      </c>
      <c r="X182">
        <v>1.1415525114155251E-4</v>
      </c>
      <c r="Y182">
        <v>1.4054976837464471E-4</v>
      </c>
      <c r="Z182" t="s">
        <v>1681</v>
      </c>
      <c r="AA182" t="s">
        <v>25</v>
      </c>
      <c r="AC182" t="s">
        <v>22</v>
      </c>
      <c r="AD182" t="s">
        <v>1681</v>
      </c>
      <c r="AE182">
        <v>1.2057532862298979E-4</v>
      </c>
      <c r="AG182" t="s">
        <v>99</v>
      </c>
      <c r="AH182" t="s">
        <v>1681</v>
      </c>
      <c r="AI182">
        <v>0</v>
      </c>
    </row>
    <row r="183" spans="5:35" x14ac:dyDescent="0.45">
      <c r="E183" t="s">
        <v>167</v>
      </c>
      <c r="G183" t="s">
        <v>160</v>
      </c>
      <c r="I183" t="s">
        <v>249</v>
      </c>
      <c r="J183" t="s">
        <v>1682</v>
      </c>
      <c r="K183">
        <v>1.942507774761E-4</v>
      </c>
      <c r="L183" t="s">
        <v>251</v>
      </c>
      <c r="N183" t="s">
        <v>419</v>
      </c>
      <c r="O183" t="s">
        <v>1682</v>
      </c>
      <c r="P183">
        <v>4.5764331153167453E-5</v>
      </c>
      <c r="Q183" t="s">
        <v>251</v>
      </c>
      <c r="S183" t="s">
        <v>420</v>
      </c>
      <c r="T183" t="s">
        <v>1682</v>
      </c>
      <c r="U183">
        <v>4.8290897001362172E-5</v>
      </c>
      <c r="V183" t="s">
        <v>251</v>
      </c>
      <c r="X183">
        <v>1.1415525114155251E-4</v>
      </c>
      <c r="Y183">
        <v>1.4253868019126702E-4</v>
      </c>
      <c r="Z183" t="s">
        <v>1682</v>
      </c>
      <c r="AA183" t="s">
        <v>25</v>
      </c>
      <c r="AC183" t="s">
        <v>22</v>
      </c>
      <c r="AD183" t="s">
        <v>1682</v>
      </c>
      <c r="AE183">
        <v>1.1670343255381473E-4</v>
      </c>
      <c r="AG183" t="s">
        <v>99</v>
      </c>
      <c r="AH183" t="s">
        <v>1682</v>
      </c>
      <c r="AI183">
        <v>0</v>
      </c>
    </row>
    <row r="184" spans="5:35" x14ac:dyDescent="0.45">
      <c r="E184" t="s">
        <v>168</v>
      </c>
      <c r="G184" t="s">
        <v>160</v>
      </c>
      <c r="I184" t="s">
        <v>249</v>
      </c>
      <c r="J184" t="s">
        <v>1683</v>
      </c>
      <c r="K184">
        <v>1.8304339054469999E-4</v>
      </c>
      <c r="L184" t="s">
        <v>251</v>
      </c>
      <c r="N184" t="s">
        <v>419</v>
      </c>
      <c r="O184" t="s">
        <v>1683</v>
      </c>
      <c r="P184">
        <v>4.5477002928958283E-5</v>
      </c>
      <c r="Q184" t="s">
        <v>251</v>
      </c>
      <c r="S184" t="s">
        <v>420</v>
      </c>
      <c r="T184" t="s">
        <v>1683</v>
      </c>
      <c r="U184">
        <v>4.4534329634652708E-5</v>
      </c>
      <c r="V184" t="s">
        <v>251</v>
      </c>
      <c r="X184">
        <v>1.1415525114155251E-4</v>
      </c>
      <c r="Y184">
        <v>1.4883690094390442E-4</v>
      </c>
      <c r="Z184" t="s">
        <v>1683</v>
      </c>
      <c r="AA184" t="s">
        <v>25</v>
      </c>
      <c r="AC184" t="s">
        <v>22</v>
      </c>
      <c r="AD184" t="s">
        <v>1683</v>
      </c>
      <c r="AE184">
        <v>1.1199163287578786E-4</v>
      </c>
      <c r="AG184" t="s">
        <v>99</v>
      </c>
      <c r="AH184" t="s">
        <v>1683</v>
      </c>
      <c r="AI184">
        <v>0</v>
      </c>
    </row>
    <row r="185" spans="5:35" x14ac:dyDescent="0.45">
      <c r="E185" t="s">
        <v>170</v>
      </c>
      <c r="G185" t="s">
        <v>160</v>
      </c>
      <c r="I185" t="s">
        <v>249</v>
      </c>
      <c r="J185" t="s">
        <v>1684</v>
      </c>
      <c r="K185">
        <v>1.560343232718E-4</v>
      </c>
      <c r="L185" t="s">
        <v>251</v>
      </c>
      <c r="N185" t="s">
        <v>419</v>
      </c>
      <c r="O185" t="s">
        <v>1684</v>
      </c>
      <c r="P185">
        <v>4.7418438794292174E-5</v>
      </c>
      <c r="Q185" t="s">
        <v>251</v>
      </c>
      <c r="S185" t="s">
        <v>420</v>
      </c>
      <c r="T185" t="s">
        <v>1684</v>
      </c>
      <c r="U185">
        <v>4.1472399937838081E-5</v>
      </c>
      <c r="V185" t="s">
        <v>251</v>
      </c>
      <c r="X185">
        <v>1.1415525114155251E-4</v>
      </c>
      <c r="Y185">
        <v>1.5049432745775637E-4</v>
      </c>
      <c r="Z185" t="s">
        <v>1684</v>
      </c>
      <c r="AA185" t="s">
        <v>25</v>
      </c>
      <c r="AC185" t="s">
        <v>22</v>
      </c>
      <c r="AD185" t="s">
        <v>1684</v>
      </c>
      <c r="AE185">
        <v>1.0214510333371653E-4</v>
      </c>
      <c r="AG185" t="s">
        <v>99</v>
      </c>
      <c r="AH185" t="s">
        <v>1684</v>
      </c>
      <c r="AI185">
        <v>0</v>
      </c>
    </row>
    <row r="186" spans="5:35" x14ac:dyDescent="0.45">
      <c r="E186" t="s">
        <v>172</v>
      </c>
      <c r="G186" t="s">
        <v>160</v>
      </c>
      <c r="I186" t="s">
        <v>249</v>
      </c>
      <c r="J186" t="s">
        <v>1685</v>
      </c>
      <c r="K186">
        <v>1.4598599698469999E-4</v>
      </c>
      <c r="L186" t="s">
        <v>251</v>
      </c>
      <c r="N186" t="s">
        <v>419</v>
      </c>
      <c r="O186" t="s">
        <v>1685</v>
      </c>
      <c r="P186">
        <v>4.1157369866318737E-5</v>
      </c>
      <c r="Q186" t="s">
        <v>251</v>
      </c>
      <c r="S186" t="s">
        <v>420</v>
      </c>
      <c r="T186" t="s">
        <v>1685</v>
      </c>
      <c r="U186">
        <v>3.7835739708567009E-5</v>
      </c>
      <c r="V186" t="s">
        <v>251</v>
      </c>
      <c r="X186">
        <v>1.1415525114155251E-4</v>
      </c>
      <c r="Y186">
        <v>1.7237235744060203E-4</v>
      </c>
      <c r="Z186" t="s">
        <v>1685</v>
      </c>
      <c r="AA186" t="s">
        <v>25</v>
      </c>
      <c r="AC186" t="s">
        <v>22</v>
      </c>
      <c r="AD186" t="s">
        <v>1685</v>
      </c>
      <c r="AE186">
        <v>8.8879391724404474E-5</v>
      </c>
      <c r="AG186" t="s">
        <v>99</v>
      </c>
      <c r="AH186" t="s">
        <v>1685</v>
      </c>
      <c r="AI186">
        <v>0</v>
      </c>
    </row>
    <row r="187" spans="5:35" x14ac:dyDescent="0.45">
      <c r="E187" t="s">
        <v>173</v>
      </c>
      <c r="G187" t="s">
        <v>160</v>
      </c>
      <c r="I187" t="s">
        <v>249</v>
      </c>
      <c r="J187" t="s">
        <v>1686</v>
      </c>
      <c r="K187">
        <v>1.2305776757989999E-4</v>
      </c>
      <c r="L187" t="s">
        <v>251</v>
      </c>
      <c r="N187" t="s">
        <v>419</v>
      </c>
      <c r="O187" t="s">
        <v>1686</v>
      </c>
      <c r="P187">
        <v>3.3042946478673762E-5</v>
      </c>
      <c r="Q187" t="s">
        <v>251</v>
      </c>
      <c r="S187" t="s">
        <v>420</v>
      </c>
      <c r="T187" t="s">
        <v>1686</v>
      </c>
      <c r="U187">
        <v>3.359761785340964E-5</v>
      </c>
      <c r="V187" t="s">
        <v>251</v>
      </c>
      <c r="X187">
        <v>1.1415525114155251E-4</v>
      </c>
      <c r="Y187">
        <v>2.2209515285616027E-4</v>
      </c>
      <c r="Z187" t="s">
        <v>1686</v>
      </c>
      <c r="AA187" t="s">
        <v>25</v>
      </c>
      <c r="AC187" t="s">
        <v>22</v>
      </c>
      <c r="AD187" t="s">
        <v>1686</v>
      </c>
      <c r="AE187">
        <v>8.5156414734813084E-5</v>
      </c>
      <c r="AG187" t="s">
        <v>99</v>
      </c>
      <c r="AH187" t="s">
        <v>1686</v>
      </c>
      <c r="AI187">
        <v>0</v>
      </c>
    </row>
    <row r="188" spans="5:35" x14ac:dyDescent="0.45">
      <c r="E188" t="s">
        <v>175</v>
      </c>
      <c r="G188" t="s">
        <v>160</v>
      </c>
      <c r="I188" t="s">
        <v>249</v>
      </c>
      <c r="J188" t="s">
        <v>1687</v>
      </c>
      <c r="K188">
        <v>8.0875354623938735E-5</v>
      </c>
      <c r="L188" t="s">
        <v>251</v>
      </c>
      <c r="N188" t="s">
        <v>419</v>
      </c>
      <c r="O188" t="s">
        <v>1687</v>
      </c>
      <c r="P188">
        <v>2.69812602144025E-5</v>
      </c>
      <c r="Q188" t="s">
        <v>251</v>
      </c>
      <c r="S188" t="s">
        <v>420</v>
      </c>
      <c r="T188" t="s">
        <v>1687</v>
      </c>
      <c r="U188">
        <v>2.746450559026211E-5</v>
      </c>
      <c r="V188" t="s">
        <v>251</v>
      </c>
      <c r="X188">
        <v>1.1415525114155251E-4</v>
      </c>
      <c r="Y188">
        <v>2.2209515285616027E-4</v>
      </c>
      <c r="Z188" t="s">
        <v>1687</v>
      </c>
      <c r="AA188" t="s">
        <v>25</v>
      </c>
      <c r="AC188" t="s">
        <v>22</v>
      </c>
      <c r="AD188" t="s">
        <v>1687</v>
      </c>
      <c r="AE188">
        <v>8.0724582926403486E-5</v>
      </c>
      <c r="AG188" t="s">
        <v>99</v>
      </c>
      <c r="AH188" t="s">
        <v>1687</v>
      </c>
      <c r="AI188">
        <v>0</v>
      </c>
    </row>
    <row r="189" spans="5:35" x14ac:dyDescent="0.45">
      <c r="E189" t="s">
        <v>177</v>
      </c>
      <c r="G189" t="s">
        <v>160</v>
      </c>
      <c r="I189" t="s">
        <v>249</v>
      </c>
      <c r="J189" t="s">
        <v>1688</v>
      </c>
      <c r="K189">
        <v>1.1270298264401296E-5</v>
      </c>
      <c r="L189" t="s">
        <v>251</v>
      </c>
      <c r="N189" t="s">
        <v>419</v>
      </c>
      <c r="O189" t="s">
        <v>1688</v>
      </c>
      <c r="P189">
        <v>3.9086438971996392E-5</v>
      </c>
      <c r="Q189" t="s">
        <v>251</v>
      </c>
      <c r="S189" t="s">
        <v>420</v>
      </c>
      <c r="T189" t="s">
        <v>1688</v>
      </c>
      <c r="U189">
        <v>2.0545354161371539E-5</v>
      </c>
      <c r="V189" t="s">
        <v>251</v>
      </c>
      <c r="X189">
        <v>1.1415525114155251E-4</v>
      </c>
      <c r="Y189">
        <v>1.7237235744060203E-4</v>
      </c>
      <c r="Z189" t="s">
        <v>1688</v>
      </c>
      <c r="AA189" t="s">
        <v>25</v>
      </c>
      <c r="AC189" t="s">
        <v>22</v>
      </c>
      <c r="AD189" t="s">
        <v>1688</v>
      </c>
      <c r="AE189">
        <v>8.1939762615806119E-5</v>
      </c>
      <c r="AG189" t="s">
        <v>99</v>
      </c>
      <c r="AH189" t="s">
        <v>1688</v>
      </c>
      <c r="AI189">
        <v>0</v>
      </c>
    </row>
    <row r="190" spans="5:35" x14ac:dyDescent="0.45">
      <c r="E190" t="s">
        <v>179</v>
      </c>
      <c r="G190" t="s">
        <v>160</v>
      </c>
      <c r="I190" t="s">
        <v>249</v>
      </c>
      <c r="J190" t="s">
        <v>1689</v>
      </c>
      <c r="K190">
        <v>0</v>
      </c>
      <c r="L190" t="s">
        <v>251</v>
      </c>
      <c r="N190" t="s">
        <v>419</v>
      </c>
      <c r="O190" t="s">
        <v>1689</v>
      </c>
      <c r="P190">
        <v>4.0935902415885609E-5</v>
      </c>
      <c r="Q190" t="s">
        <v>251</v>
      </c>
      <c r="S190" t="s">
        <v>420</v>
      </c>
      <c r="T190" t="s">
        <v>1689</v>
      </c>
      <c r="U190">
        <v>1.5078886673114976E-5</v>
      </c>
      <c r="V190" t="s">
        <v>251</v>
      </c>
      <c r="X190">
        <v>1.1415525114155251E-4</v>
      </c>
      <c r="Y190">
        <v>1.5579809230208258E-4</v>
      </c>
      <c r="Z190" t="s">
        <v>1689</v>
      </c>
      <c r="AA190" t="s">
        <v>25</v>
      </c>
      <c r="AC190" t="s">
        <v>22</v>
      </c>
      <c r="AD190" t="s">
        <v>1689</v>
      </c>
      <c r="AE190">
        <v>8.245800101275725E-5</v>
      </c>
      <c r="AG190" t="s">
        <v>99</v>
      </c>
      <c r="AH190" t="s">
        <v>1689</v>
      </c>
      <c r="AI190">
        <v>0</v>
      </c>
    </row>
    <row r="191" spans="5:35" x14ac:dyDescent="0.45">
      <c r="E191" t="s">
        <v>180</v>
      </c>
      <c r="G191" t="s">
        <v>160</v>
      </c>
      <c r="I191" t="s">
        <v>249</v>
      </c>
      <c r="J191" t="s">
        <v>1690</v>
      </c>
      <c r="K191">
        <v>0</v>
      </c>
      <c r="L191" t="s">
        <v>251</v>
      </c>
      <c r="N191" t="s">
        <v>419</v>
      </c>
      <c r="O191" t="s">
        <v>1690</v>
      </c>
      <c r="P191">
        <v>4.26852988227368E-5</v>
      </c>
      <c r="Q191" t="s">
        <v>251</v>
      </c>
      <c r="S191" t="s">
        <v>420</v>
      </c>
      <c r="T191" t="s">
        <v>1690</v>
      </c>
      <c r="U191">
        <v>8.8653049324260747E-6</v>
      </c>
      <c r="V191" t="s">
        <v>251</v>
      </c>
      <c r="X191">
        <v>1.1415525114155251E-4</v>
      </c>
      <c r="Y191">
        <v>1.093901499142282E-4</v>
      </c>
      <c r="Z191" t="s">
        <v>1690</v>
      </c>
      <c r="AA191" t="s">
        <v>25</v>
      </c>
      <c r="AC191" t="s">
        <v>22</v>
      </c>
      <c r="AD191" t="s">
        <v>1690</v>
      </c>
      <c r="AE191">
        <v>9.8702094213742417E-5</v>
      </c>
      <c r="AG191" t="s">
        <v>99</v>
      </c>
      <c r="AH191" t="s">
        <v>1690</v>
      </c>
      <c r="AI191">
        <v>0</v>
      </c>
    </row>
    <row r="192" spans="5:35" x14ac:dyDescent="0.45">
      <c r="E192" t="s">
        <v>181</v>
      </c>
      <c r="G192" t="s">
        <v>160</v>
      </c>
      <c r="I192" t="s">
        <v>249</v>
      </c>
      <c r="J192" t="s">
        <v>1691</v>
      </c>
      <c r="K192">
        <v>0</v>
      </c>
      <c r="L192" t="s">
        <v>251</v>
      </c>
      <c r="N192" t="s">
        <v>419</v>
      </c>
      <c r="O192" t="s">
        <v>1691</v>
      </c>
      <c r="P192">
        <v>4.8331056134251912E-5</v>
      </c>
      <c r="Q192" t="s">
        <v>251</v>
      </c>
      <c r="S192" t="s">
        <v>420</v>
      </c>
      <c r="T192" t="s">
        <v>1691</v>
      </c>
      <c r="U192">
        <v>8.531369340724737E-6</v>
      </c>
      <c r="V192" t="s">
        <v>251</v>
      </c>
      <c r="X192">
        <v>1.1415525114155251E-4</v>
      </c>
      <c r="Y192">
        <v>7.9556472664893237E-5</v>
      </c>
      <c r="Z192" t="s">
        <v>1691</v>
      </c>
      <c r="AA192" t="s">
        <v>25</v>
      </c>
      <c r="AC192" t="s">
        <v>22</v>
      </c>
      <c r="AD192" t="s">
        <v>1691</v>
      </c>
      <c r="AE192">
        <v>1.1590522628724633E-4</v>
      </c>
      <c r="AG192" t="s">
        <v>99</v>
      </c>
      <c r="AH192" t="s">
        <v>1691</v>
      </c>
      <c r="AI192">
        <v>0</v>
      </c>
    </row>
    <row r="193" spans="5:35" x14ac:dyDescent="0.45">
      <c r="E193" t="s">
        <v>182</v>
      </c>
      <c r="G193" t="s">
        <v>160</v>
      </c>
      <c r="I193" t="s">
        <v>249</v>
      </c>
      <c r="J193" t="s">
        <v>1692</v>
      </c>
      <c r="K193">
        <v>0</v>
      </c>
      <c r="L193" t="s">
        <v>251</v>
      </c>
      <c r="N193" t="s">
        <v>419</v>
      </c>
      <c r="O193" t="s">
        <v>1692</v>
      </c>
      <c r="P193">
        <v>6.0967988206298056E-5</v>
      </c>
      <c r="Q193" t="s">
        <v>251</v>
      </c>
      <c r="S193" t="s">
        <v>420</v>
      </c>
      <c r="T193" t="s">
        <v>1692</v>
      </c>
      <c r="U193">
        <v>9.4545546684152879E-6</v>
      </c>
      <c r="V193" t="s">
        <v>251</v>
      </c>
      <c r="X193">
        <v>1.1415525114155251E-4</v>
      </c>
      <c r="Y193">
        <v>5.6352501470966035E-5</v>
      </c>
      <c r="Z193" t="s">
        <v>1692</v>
      </c>
      <c r="AA193" t="s">
        <v>25</v>
      </c>
      <c r="AC193" t="s">
        <v>22</v>
      </c>
      <c r="AD193" t="s">
        <v>1692</v>
      </c>
      <c r="AE193">
        <v>1.3039207434914436E-4</v>
      </c>
      <c r="AG193" t="s">
        <v>99</v>
      </c>
      <c r="AH193" t="s">
        <v>1692</v>
      </c>
      <c r="AI193">
        <v>0</v>
      </c>
    </row>
    <row r="194" spans="5:35" x14ac:dyDescent="0.45">
      <c r="E194" t="s">
        <v>183</v>
      </c>
      <c r="G194" t="s">
        <v>160</v>
      </c>
      <c r="I194" t="s">
        <v>249</v>
      </c>
      <c r="J194" t="s">
        <v>1693</v>
      </c>
      <c r="K194">
        <v>0</v>
      </c>
      <c r="L194" t="s">
        <v>251</v>
      </c>
      <c r="N194" t="s">
        <v>419</v>
      </c>
      <c r="O194" t="s">
        <v>1693</v>
      </c>
      <c r="P194">
        <v>6.6939170518856038E-5</v>
      </c>
      <c r="Q194" t="s">
        <v>251</v>
      </c>
      <c r="S194" t="s">
        <v>420</v>
      </c>
      <c r="T194" t="s">
        <v>1693</v>
      </c>
      <c r="U194">
        <v>1.2704577340256597E-5</v>
      </c>
      <c r="V194" t="s">
        <v>251</v>
      </c>
      <c r="X194">
        <v>1.1415525114155251E-4</v>
      </c>
      <c r="Y194">
        <v>2.9833677249334962E-5</v>
      </c>
      <c r="Z194" t="s">
        <v>1693</v>
      </c>
      <c r="AA194" t="s">
        <v>25</v>
      </c>
      <c r="AC194" t="s">
        <v>22</v>
      </c>
      <c r="AD194" t="s">
        <v>1693</v>
      </c>
      <c r="AE194">
        <v>1.4089384784138378E-4</v>
      </c>
      <c r="AG194" t="s">
        <v>99</v>
      </c>
      <c r="AH194" t="s">
        <v>1693</v>
      </c>
      <c r="AI194">
        <v>0</v>
      </c>
    </row>
    <row r="195" spans="5:35" x14ac:dyDescent="0.45">
      <c r="E195" t="s">
        <v>184</v>
      </c>
      <c r="G195" t="s">
        <v>160</v>
      </c>
      <c r="I195" t="s">
        <v>249</v>
      </c>
      <c r="J195" t="s">
        <v>1694</v>
      </c>
      <c r="K195">
        <v>0</v>
      </c>
      <c r="L195" t="s">
        <v>251</v>
      </c>
      <c r="N195" t="s">
        <v>419</v>
      </c>
      <c r="O195" t="s">
        <v>1694</v>
      </c>
      <c r="P195">
        <v>6.4190725996525803E-5</v>
      </c>
      <c r="Q195" t="s">
        <v>251</v>
      </c>
      <c r="S195" t="s">
        <v>420</v>
      </c>
      <c r="T195" t="s">
        <v>1694</v>
      </c>
      <c r="U195">
        <v>1.5858334281436536E-5</v>
      </c>
      <c r="V195" t="s">
        <v>251</v>
      </c>
      <c r="X195">
        <v>1.1415525114155251E-4</v>
      </c>
      <c r="Y195">
        <v>2.1546544680075254E-5</v>
      </c>
      <c r="Z195" t="s">
        <v>1694</v>
      </c>
      <c r="AA195" t="s">
        <v>25</v>
      </c>
      <c r="AC195" t="s">
        <v>22</v>
      </c>
      <c r="AD195" t="s">
        <v>1694</v>
      </c>
      <c r="AE195">
        <v>1.3587229647782289E-4</v>
      </c>
      <c r="AG195" t="s">
        <v>99</v>
      </c>
      <c r="AH195" t="s">
        <v>1694</v>
      </c>
      <c r="AI195">
        <v>0</v>
      </c>
    </row>
    <row r="196" spans="5:35" x14ac:dyDescent="0.45">
      <c r="E196" t="s">
        <v>185</v>
      </c>
      <c r="G196" t="s">
        <v>160</v>
      </c>
      <c r="I196" t="s">
        <v>249</v>
      </c>
      <c r="J196" t="s">
        <v>1695</v>
      </c>
      <c r="K196">
        <v>0</v>
      </c>
      <c r="L196" t="s">
        <v>251</v>
      </c>
      <c r="N196" t="s">
        <v>419</v>
      </c>
      <c r="O196" t="s">
        <v>1695</v>
      </c>
      <c r="P196">
        <v>6.4535240551955652E-5</v>
      </c>
      <c r="Q196" t="s">
        <v>251</v>
      </c>
      <c r="S196" t="s">
        <v>420</v>
      </c>
      <c r="T196" t="s">
        <v>1695</v>
      </c>
      <c r="U196">
        <v>1.9026785827505969E-5</v>
      </c>
      <c r="V196" t="s">
        <v>251</v>
      </c>
      <c r="X196">
        <v>1.1415525114155251E-4</v>
      </c>
      <c r="Y196">
        <v>1.4916838624667481E-5</v>
      </c>
      <c r="Z196" t="s">
        <v>1695</v>
      </c>
      <c r="AA196" t="s">
        <v>25</v>
      </c>
      <c r="AC196" t="s">
        <v>22</v>
      </c>
      <c r="AD196" t="s">
        <v>1695</v>
      </c>
      <c r="AE196">
        <v>1.3168469195993051E-4</v>
      </c>
      <c r="AG196" t="s">
        <v>99</v>
      </c>
      <c r="AH196" t="s">
        <v>1695</v>
      </c>
      <c r="AI196">
        <v>0</v>
      </c>
    </row>
    <row r="197" spans="5:35" x14ac:dyDescent="0.45">
      <c r="E197" t="s">
        <v>186</v>
      </c>
      <c r="G197" t="s">
        <v>160</v>
      </c>
      <c r="I197" t="s">
        <v>249</v>
      </c>
      <c r="J197" t="s">
        <v>1696</v>
      </c>
      <c r="K197">
        <v>0</v>
      </c>
      <c r="L197" t="s">
        <v>251</v>
      </c>
      <c r="N197" t="s">
        <v>419</v>
      </c>
      <c r="O197" t="s">
        <v>1696</v>
      </c>
      <c r="P197">
        <v>5.8186219362530624E-5</v>
      </c>
      <c r="Q197" t="s">
        <v>251</v>
      </c>
      <c r="S197" t="s">
        <v>420</v>
      </c>
      <c r="T197" t="s">
        <v>1696</v>
      </c>
      <c r="U197">
        <v>2.1064221240019296E-5</v>
      </c>
      <c r="V197" t="s">
        <v>251</v>
      </c>
      <c r="X197">
        <v>1.1415525114155251E-4</v>
      </c>
      <c r="Y197">
        <v>1.6574265138519424E-5</v>
      </c>
      <c r="Z197" t="s">
        <v>1696</v>
      </c>
      <c r="AA197" t="s">
        <v>25</v>
      </c>
      <c r="AC197" t="s">
        <v>22</v>
      </c>
      <c r="AD197" t="s">
        <v>1696</v>
      </c>
      <c r="AE197">
        <v>1.3152385935398015E-4</v>
      </c>
      <c r="AG197" t="s">
        <v>99</v>
      </c>
      <c r="AH197" t="s">
        <v>1696</v>
      </c>
      <c r="AI197">
        <v>0</v>
      </c>
    </row>
    <row r="198" spans="5:35" x14ac:dyDescent="0.45">
      <c r="E198" t="s">
        <v>187</v>
      </c>
      <c r="G198" t="s">
        <v>160</v>
      </c>
      <c r="I198" t="s">
        <v>249</v>
      </c>
      <c r="J198" t="s">
        <v>1697</v>
      </c>
      <c r="K198">
        <v>0</v>
      </c>
      <c r="L198" t="s">
        <v>251</v>
      </c>
      <c r="N198" t="s">
        <v>419</v>
      </c>
      <c r="O198" t="s">
        <v>1697</v>
      </c>
      <c r="P198">
        <v>5.6109164710116187E-5</v>
      </c>
      <c r="Q198" t="s">
        <v>251</v>
      </c>
      <c r="S198" t="s">
        <v>420</v>
      </c>
      <c r="T198" t="s">
        <v>1697</v>
      </c>
      <c r="U198">
        <v>2.2970863645720103E-5</v>
      </c>
      <c r="V198" t="s">
        <v>251</v>
      </c>
      <c r="X198">
        <v>1.1415525114155251E-4</v>
      </c>
      <c r="Y198">
        <v>1.4585353321897093E-5</v>
      </c>
      <c r="Z198" t="s">
        <v>1697</v>
      </c>
      <c r="AA198" t="s">
        <v>25</v>
      </c>
      <c r="AC198" t="s">
        <v>22</v>
      </c>
      <c r="AD198" t="s">
        <v>1697</v>
      </c>
      <c r="AE198">
        <v>1.3152385935398015E-4</v>
      </c>
      <c r="AG198" t="s">
        <v>99</v>
      </c>
      <c r="AH198" t="s">
        <v>1697</v>
      </c>
      <c r="AI198">
        <v>0</v>
      </c>
    </row>
    <row r="199" spans="5:35" x14ac:dyDescent="0.45">
      <c r="E199" t="s">
        <v>188</v>
      </c>
      <c r="G199" t="s">
        <v>160</v>
      </c>
      <c r="I199" t="s">
        <v>249</v>
      </c>
      <c r="J199" t="s">
        <v>1698</v>
      </c>
      <c r="K199">
        <v>0</v>
      </c>
      <c r="L199" t="s">
        <v>251</v>
      </c>
      <c r="N199" t="s">
        <v>419</v>
      </c>
      <c r="O199" t="s">
        <v>1698</v>
      </c>
      <c r="P199">
        <v>6.0242086210431538E-5</v>
      </c>
      <c r="Q199" t="s">
        <v>251</v>
      </c>
      <c r="S199" t="s">
        <v>420</v>
      </c>
      <c r="T199" t="s">
        <v>1698</v>
      </c>
      <c r="U199">
        <v>2.3387246612240999E-5</v>
      </c>
      <c r="V199" t="s">
        <v>251</v>
      </c>
      <c r="X199">
        <v>1.1415525114155251E-4</v>
      </c>
      <c r="Y199">
        <v>2.1215059377304864E-5</v>
      </c>
      <c r="Z199" t="s">
        <v>1698</v>
      </c>
      <c r="AA199" t="s">
        <v>25</v>
      </c>
      <c r="AC199" t="s">
        <v>22</v>
      </c>
      <c r="AD199" t="s">
        <v>1698</v>
      </c>
      <c r="AE199">
        <v>1.3111879945751261E-4</v>
      </c>
      <c r="AG199" t="s">
        <v>99</v>
      </c>
      <c r="AH199" t="s">
        <v>1698</v>
      </c>
      <c r="AI199">
        <v>0</v>
      </c>
    </row>
    <row r="200" spans="5:35" x14ac:dyDescent="0.45">
      <c r="E200" t="s">
        <v>189</v>
      </c>
      <c r="G200" t="s">
        <v>160</v>
      </c>
      <c r="I200" t="s">
        <v>249</v>
      </c>
      <c r="J200" t="s">
        <v>1699</v>
      </c>
      <c r="K200">
        <v>0</v>
      </c>
      <c r="L200" t="s">
        <v>251</v>
      </c>
      <c r="N200" t="s">
        <v>419</v>
      </c>
      <c r="O200" t="s">
        <v>1699</v>
      </c>
      <c r="P200">
        <v>6.8546747721365744E-5</v>
      </c>
      <c r="Q200" t="s">
        <v>251</v>
      </c>
      <c r="S200" t="s">
        <v>420</v>
      </c>
      <c r="T200" t="s">
        <v>1699</v>
      </c>
      <c r="U200">
        <v>2.4626704624146188E-5</v>
      </c>
      <c r="V200" t="s">
        <v>251</v>
      </c>
      <c r="X200">
        <v>1.1415525114155251E-4</v>
      </c>
      <c r="Y200">
        <v>5.7678442682047593E-5</v>
      </c>
      <c r="Z200" t="s">
        <v>1699</v>
      </c>
      <c r="AA200" t="s">
        <v>25</v>
      </c>
      <c r="AC200" t="s">
        <v>22</v>
      </c>
      <c r="AD200" t="s">
        <v>1699</v>
      </c>
      <c r="AE200">
        <v>1.3052312313917801E-4</v>
      </c>
      <c r="AG200" t="s">
        <v>99</v>
      </c>
      <c r="AH200" t="s">
        <v>1699</v>
      </c>
      <c r="AI200">
        <v>0</v>
      </c>
    </row>
    <row r="201" spans="5:35" x14ac:dyDescent="0.45">
      <c r="E201" t="s">
        <v>190</v>
      </c>
      <c r="G201" t="s">
        <v>160</v>
      </c>
      <c r="I201" t="s">
        <v>249</v>
      </c>
      <c r="J201" t="s">
        <v>1700</v>
      </c>
      <c r="K201">
        <v>0</v>
      </c>
      <c r="L201" t="s">
        <v>251</v>
      </c>
      <c r="N201" t="s">
        <v>419</v>
      </c>
      <c r="O201" t="s">
        <v>1700</v>
      </c>
      <c r="P201">
        <v>8.742165233876756E-5</v>
      </c>
      <c r="Q201" t="s">
        <v>251</v>
      </c>
      <c r="S201" t="s">
        <v>420</v>
      </c>
      <c r="T201" t="s">
        <v>1700</v>
      </c>
      <c r="U201">
        <v>2.5547865173440307E-5</v>
      </c>
      <c r="V201" t="s">
        <v>251</v>
      </c>
      <c r="X201">
        <v>1.1415525114155251E-4</v>
      </c>
      <c r="Y201">
        <v>1.6905750441289813E-4</v>
      </c>
      <c r="Z201" t="s">
        <v>1700</v>
      </c>
      <c r="AA201" t="s">
        <v>25</v>
      </c>
      <c r="AC201" t="s">
        <v>22</v>
      </c>
      <c r="AD201" t="s">
        <v>1700</v>
      </c>
      <c r="AE201">
        <v>1.3073756661377846E-4</v>
      </c>
      <c r="AG201" t="s">
        <v>99</v>
      </c>
      <c r="AH201" t="s">
        <v>1700</v>
      </c>
      <c r="AI201">
        <v>0</v>
      </c>
    </row>
    <row r="202" spans="5:35" x14ac:dyDescent="0.45">
      <c r="E202" t="s">
        <v>191</v>
      </c>
      <c r="G202" t="s">
        <v>160</v>
      </c>
      <c r="I202" t="s">
        <v>249</v>
      </c>
      <c r="J202" t="s">
        <v>1701</v>
      </c>
      <c r="K202">
        <v>4.1830861541236523E-5</v>
      </c>
      <c r="L202" t="s">
        <v>251</v>
      </c>
      <c r="N202" t="s">
        <v>419</v>
      </c>
      <c r="O202" t="s">
        <v>1701</v>
      </c>
      <c r="P202">
        <v>9.1540189945702797E-5</v>
      </c>
      <c r="Q202" t="s">
        <v>251</v>
      </c>
      <c r="S202" t="s">
        <v>420</v>
      </c>
      <c r="T202" t="s">
        <v>1701</v>
      </c>
      <c r="U202">
        <v>2.4158761441651879E-5</v>
      </c>
      <c r="V202" t="s">
        <v>251</v>
      </c>
      <c r="X202">
        <v>1.1415525114155251E-4</v>
      </c>
      <c r="Y202">
        <v>1.9060404909297337E-4</v>
      </c>
      <c r="Z202" t="s">
        <v>1701</v>
      </c>
      <c r="AA202" t="s">
        <v>25</v>
      </c>
      <c r="AC202" t="s">
        <v>22</v>
      </c>
      <c r="AD202" t="s">
        <v>1701</v>
      </c>
      <c r="AE202">
        <v>1.3313218541348364E-4</v>
      </c>
      <c r="AG202" t="s">
        <v>99</v>
      </c>
      <c r="AH202" t="s">
        <v>1701</v>
      </c>
      <c r="AI202">
        <v>0</v>
      </c>
    </row>
    <row r="203" spans="5:35" x14ac:dyDescent="0.45">
      <c r="E203" t="s">
        <v>1454</v>
      </c>
      <c r="G203" t="s">
        <v>160</v>
      </c>
      <c r="I203" t="s">
        <v>249</v>
      </c>
      <c r="J203" t="s">
        <v>1702</v>
      </c>
      <c r="K203">
        <v>9.026892134192678E-5</v>
      </c>
      <c r="L203" t="s">
        <v>251</v>
      </c>
      <c r="N203" t="s">
        <v>419</v>
      </c>
      <c r="O203" t="s">
        <v>1702</v>
      </c>
      <c r="P203">
        <v>8.5473753517174058E-5</v>
      </c>
      <c r="Q203" t="s">
        <v>251</v>
      </c>
      <c r="S203" t="s">
        <v>420</v>
      </c>
      <c r="T203" t="s">
        <v>1702</v>
      </c>
      <c r="U203">
        <v>2.450720801774205E-5</v>
      </c>
      <c r="V203" t="s">
        <v>251</v>
      </c>
      <c r="X203">
        <v>1.1415525114155251E-4</v>
      </c>
      <c r="Y203">
        <v>1.4585353321897094E-4</v>
      </c>
      <c r="Z203" t="s">
        <v>1702</v>
      </c>
      <c r="AA203" t="s">
        <v>25</v>
      </c>
      <c r="AC203" t="s">
        <v>22</v>
      </c>
      <c r="AD203" t="s">
        <v>1702</v>
      </c>
      <c r="AE203">
        <v>1.3460350591977017E-4</v>
      </c>
      <c r="AG203" t="s">
        <v>99</v>
      </c>
      <c r="AH203" t="s">
        <v>1702</v>
      </c>
      <c r="AI203">
        <v>0</v>
      </c>
    </row>
    <row r="204" spans="5:35" x14ac:dyDescent="0.45">
      <c r="E204" t="s">
        <v>1455</v>
      </c>
      <c r="G204" t="s">
        <v>160</v>
      </c>
      <c r="I204" t="s">
        <v>249</v>
      </c>
      <c r="J204" t="s">
        <v>1703</v>
      </c>
      <c r="K204">
        <v>1.139397990527E-4</v>
      </c>
      <c r="L204" t="s">
        <v>251</v>
      </c>
      <c r="N204" t="s">
        <v>419</v>
      </c>
      <c r="O204" t="s">
        <v>1703</v>
      </c>
      <c r="P204">
        <v>8.1142370129722366E-5</v>
      </c>
      <c r="Q204" t="s">
        <v>251</v>
      </c>
      <c r="S204" t="s">
        <v>420</v>
      </c>
      <c r="T204" t="s">
        <v>1703</v>
      </c>
      <c r="U204">
        <v>2.6239176426558174E-5</v>
      </c>
      <c r="V204" t="s">
        <v>251</v>
      </c>
      <c r="X204">
        <v>1.1415525114155251E-4</v>
      </c>
      <c r="Y204">
        <v>1.4452759200788939E-4</v>
      </c>
      <c r="Z204" t="s">
        <v>1703</v>
      </c>
      <c r="AA204" t="s">
        <v>25</v>
      </c>
      <c r="AC204" t="s">
        <v>22</v>
      </c>
      <c r="AD204" t="s">
        <v>1703</v>
      </c>
      <c r="AE204">
        <v>1.3525874986993822E-4</v>
      </c>
      <c r="AG204" t="s">
        <v>99</v>
      </c>
      <c r="AH204" t="s">
        <v>1703</v>
      </c>
      <c r="AI204">
        <v>0</v>
      </c>
    </row>
    <row r="205" spans="5:35" x14ac:dyDescent="0.45">
      <c r="E205" t="s">
        <v>1456</v>
      </c>
      <c r="G205" t="s">
        <v>160</v>
      </c>
      <c r="I205" t="s">
        <v>249</v>
      </c>
      <c r="J205" t="s">
        <v>1704</v>
      </c>
      <c r="K205">
        <v>1.4435347394969999E-4</v>
      </c>
      <c r="L205" t="s">
        <v>251</v>
      </c>
      <c r="N205" t="s">
        <v>419</v>
      </c>
      <c r="O205" t="s">
        <v>1704</v>
      </c>
      <c r="P205">
        <v>8.6946586423402585E-5</v>
      </c>
      <c r="Q205" t="s">
        <v>251</v>
      </c>
      <c r="S205" t="s">
        <v>420</v>
      </c>
      <c r="T205" t="s">
        <v>1704</v>
      </c>
      <c r="U205">
        <v>2.9330497317717649E-5</v>
      </c>
      <c r="V205" t="s">
        <v>251</v>
      </c>
      <c r="X205">
        <v>1.1415525114155251E-4</v>
      </c>
      <c r="Y205">
        <v>1.408812536774151E-4</v>
      </c>
      <c r="Z205" t="s">
        <v>1704</v>
      </c>
      <c r="AA205" t="s">
        <v>25</v>
      </c>
      <c r="AC205" t="s">
        <v>22</v>
      </c>
      <c r="AD205" t="s">
        <v>1704</v>
      </c>
      <c r="AE205">
        <v>1.391544729918467E-4</v>
      </c>
      <c r="AG205" t="s">
        <v>99</v>
      </c>
      <c r="AH205" t="s">
        <v>1704</v>
      </c>
      <c r="AI205">
        <v>0</v>
      </c>
    </row>
    <row r="206" spans="5:35" x14ac:dyDescent="0.45">
      <c r="E206" t="s">
        <v>1457</v>
      </c>
      <c r="G206" t="s">
        <v>160</v>
      </c>
      <c r="I206" t="s">
        <v>249</v>
      </c>
      <c r="J206" t="s">
        <v>1705</v>
      </c>
      <c r="K206">
        <v>1.7313837453939999E-4</v>
      </c>
      <c r="L206" t="s">
        <v>251</v>
      </c>
      <c r="N206" t="s">
        <v>419</v>
      </c>
      <c r="O206" t="s">
        <v>1705</v>
      </c>
      <c r="P206">
        <v>9.8479584279142094E-5</v>
      </c>
      <c r="Q206" t="s">
        <v>251</v>
      </c>
      <c r="S206" t="s">
        <v>420</v>
      </c>
      <c r="T206" t="s">
        <v>1705</v>
      </c>
      <c r="U206">
        <v>2.9456854794628842E-5</v>
      </c>
      <c r="V206" t="s">
        <v>251</v>
      </c>
      <c r="X206">
        <v>1.1415525114155251E-4</v>
      </c>
      <c r="Y206">
        <v>1.4054976837464471E-4</v>
      </c>
      <c r="Z206" t="s">
        <v>1705</v>
      </c>
      <c r="AA206" t="s">
        <v>25</v>
      </c>
      <c r="AC206" t="s">
        <v>22</v>
      </c>
      <c r="AD206" t="s">
        <v>1705</v>
      </c>
      <c r="AE206">
        <v>1.352527931067549E-4</v>
      </c>
      <c r="AG206" t="s">
        <v>99</v>
      </c>
      <c r="AH206" t="s">
        <v>1705</v>
      </c>
      <c r="AI206">
        <v>0</v>
      </c>
    </row>
    <row r="207" spans="5:35" x14ac:dyDescent="0.45">
      <c r="E207" t="s">
        <v>1458</v>
      </c>
      <c r="G207" t="s">
        <v>160</v>
      </c>
      <c r="I207" t="s">
        <v>249</v>
      </c>
      <c r="J207" t="s">
        <v>1706</v>
      </c>
      <c r="K207">
        <v>2.130765852147E-4</v>
      </c>
      <c r="L207" t="s">
        <v>251</v>
      </c>
      <c r="N207" t="s">
        <v>419</v>
      </c>
      <c r="O207" t="s">
        <v>1706</v>
      </c>
      <c r="P207">
        <v>9.5562530827042455E-5</v>
      </c>
      <c r="Q207" t="s">
        <v>251</v>
      </c>
      <c r="S207" t="s">
        <v>420</v>
      </c>
      <c r="T207" t="s">
        <v>1706</v>
      </c>
      <c r="U207">
        <v>3.0970803531068008E-5</v>
      </c>
      <c r="V207" t="s">
        <v>251</v>
      </c>
      <c r="X207">
        <v>1.1415525114155251E-4</v>
      </c>
      <c r="Y207">
        <v>1.4253868019126702E-4</v>
      </c>
      <c r="Z207" t="s">
        <v>1706</v>
      </c>
      <c r="AA207" t="s">
        <v>25</v>
      </c>
      <c r="AC207" t="s">
        <v>22</v>
      </c>
      <c r="AD207" t="s">
        <v>1706</v>
      </c>
      <c r="AE207">
        <v>1.2830125047178984E-4</v>
      </c>
      <c r="AG207" t="s">
        <v>99</v>
      </c>
      <c r="AH207" t="s">
        <v>1706</v>
      </c>
      <c r="AI207">
        <v>0</v>
      </c>
    </row>
    <row r="208" spans="5:35" x14ac:dyDescent="0.45">
      <c r="E208" t="s">
        <v>1459</v>
      </c>
      <c r="G208" t="s">
        <v>160</v>
      </c>
      <c r="I208" t="s">
        <v>249</v>
      </c>
      <c r="J208" t="s">
        <v>1707</v>
      </c>
      <c r="K208">
        <v>2.041789572997E-4</v>
      </c>
      <c r="L208" t="s">
        <v>251</v>
      </c>
      <c r="N208" t="s">
        <v>419</v>
      </c>
      <c r="O208" t="s">
        <v>1707</v>
      </c>
      <c r="P208">
        <v>1.0057795714150001E-4</v>
      </c>
      <c r="Q208" t="s">
        <v>251</v>
      </c>
      <c r="S208" t="s">
        <v>420</v>
      </c>
      <c r="T208" t="s">
        <v>1707</v>
      </c>
      <c r="U208">
        <v>3.4160764815342438E-5</v>
      </c>
      <c r="V208" t="s">
        <v>251</v>
      </c>
      <c r="X208">
        <v>1.1415525114155251E-4</v>
      </c>
      <c r="Y208">
        <v>1.4883690094390442E-4</v>
      </c>
      <c r="Z208" t="s">
        <v>1707</v>
      </c>
      <c r="AA208" t="s">
        <v>25</v>
      </c>
      <c r="AC208" t="s">
        <v>22</v>
      </c>
      <c r="AD208" t="s">
        <v>1707</v>
      </c>
      <c r="AE208">
        <v>1.1773395258453361E-4</v>
      </c>
      <c r="AG208" t="s">
        <v>99</v>
      </c>
      <c r="AH208" t="s">
        <v>1707</v>
      </c>
      <c r="AI208">
        <v>0</v>
      </c>
    </row>
    <row r="209" spans="5:35" x14ac:dyDescent="0.45">
      <c r="E209" t="s">
        <v>1460</v>
      </c>
      <c r="G209" t="s">
        <v>160</v>
      </c>
      <c r="I209" t="s">
        <v>249</v>
      </c>
      <c r="J209" t="s">
        <v>1708</v>
      </c>
      <c r="K209">
        <v>1.7487608750869999E-4</v>
      </c>
      <c r="L209" t="s">
        <v>251</v>
      </c>
      <c r="N209" t="s">
        <v>419</v>
      </c>
      <c r="O209" t="s">
        <v>1708</v>
      </c>
      <c r="P209">
        <v>1.0759832750809999E-4</v>
      </c>
      <c r="Q209" t="s">
        <v>251</v>
      </c>
      <c r="S209" t="s">
        <v>420</v>
      </c>
      <c r="T209" t="s">
        <v>1708</v>
      </c>
      <c r="U209">
        <v>3.8943632586143125E-5</v>
      </c>
      <c r="V209" t="s">
        <v>251</v>
      </c>
      <c r="X209">
        <v>1.1415525114155251E-4</v>
      </c>
      <c r="Y209">
        <v>1.5049432745775637E-4</v>
      </c>
      <c r="Z209" t="s">
        <v>1708</v>
      </c>
      <c r="AA209" t="s">
        <v>25</v>
      </c>
      <c r="AC209" t="s">
        <v>22</v>
      </c>
      <c r="AD209" t="s">
        <v>1708</v>
      </c>
      <c r="AE209">
        <v>1.0575490182282436E-4</v>
      </c>
      <c r="AG209" t="s">
        <v>99</v>
      </c>
      <c r="AH209" t="s">
        <v>1708</v>
      </c>
      <c r="AI209">
        <v>0</v>
      </c>
    </row>
    <row r="210" spans="5:35" x14ac:dyDescent="0.45">
      <c r="E210" t="s">
        <v>1461</v>
      </c>
      <c r="G210" t="s">
        <v>160</v>
      </c>
      <c r="I210" t="s">
        <v>249</v>
      </c>
      <c r="J210" t="s">
        <v>1709</v>
      </c>
      <c r="K210">
        <v>1.576371120634E-4</v>
      </c>
      <c r="L210" t="s">
        <v>251</v>
      </c>
      <c r="N210" t="s">
        <v>419</v>
      </c>
      <c r="O210" t="s">
        <v>1709</v>
      </c>
      <c r="P210">
        <v>1.131122734483E-4</v>
      </c>
      <c r="Q210" t="s">
        <v>251</v>
      </c>
      <c r="S210" t="s">
        <v>420</v>
      </c>
      <c r="T210" t="s">
        <v>1709</v>
      </c>
      <c r="U210">
        <v>4.7690378449585606E-5</v>
      </c>
      <c r="V210" t="s">
        <v>251</v>
      </c>
      <c r="X210">
        <v>1.1415525114155251E-4</v>
      </c>
      <c r="Y210">
        <v>1.7237235744060203E-4</v>
      </c>
      <c r="Z210" t="s">
        <v>1709</v>
      </c>
      <c r="AA210" t="s">
        <v>25</v>
      </c>
      <c r="AC210" t="s">
        <v>22</v>
      </c>
      <c r="AD210" t="s">
        <v>1709</v>
      </c>
      <c r="AE210">
        <v>8.8879391724404488E-5</v>
      </c>
      <c r="AG210" t="s">
        <v>99</v>
      </c>
      <c r="AH210" t="s">
        <v>1709</v>
      </c>
      <c r="AI210">
        <v>0</v>
      </c>
    </row>
    <row r="211" spans="5:35" x14ac:dyDescent="0.45">
      <c r="E211" t="s">
        <v>1462</v>
      </c>
      <c r="G211" t="s">
        <v>160</v>
      </c>
      <c r="I211" t="s">
        <v>249</v>
      </c>
      <c r="J211" t="s">
        <v>1710</v>
      </c>
      <c r="K211">
        <v>1.3763685403960001E-4</v>
      </c>
      <c r="L211" t="s">
        <v>251</v>
      </c>
      <c r="N211" t="s">
        <v>419</v>
      </c>
      <c r="O211" t="s">
        <v>1710</v>
      </c>
      <c r="P211">
        <v>1.1188704647739999E-4</v>
      </c>
      <c r="Q211" t="s">
        <v>251</v>
      </c>
      <c r="S211" t="s">
        <v>420</v>
      </c>
      <c r="T211" t="s">
        <v>1710</v>
      </c>
      <c r="U211">
        <v>5.5179898206872657E-5</v>
      </c>
      <c r="V211" t="s">
        <v>251</v>
      </c>
      <c r="X211">
        <v>1.1415525114155251E-4</v>
      </c>
      <c r="Y211">
        <v>2.2209515285616027E-4</v>
      </c>
      <c r="Z211" t="s">
        <v>1710</v>
      </c>
      <c r="AA211" t="s">
        <v>25</v>
      </c>
      <c r="AC211" t="s">
        <v>22</v>
      </c>
      <c r="AD211" t="s">
        <v>1710</v>
      </c>
      <c r="AE211">
        <v>8.5156414734813098E-5</v>
      </c>
      <c r="AG211" t="s">
        <v>99</v>
      </c>
      <c r="AH211" t="s">
        <v>1710</v>
      </c>
      <c r="AI211">
        <v>0</v>
      </c>
    </row>
    <row r="212" spans="5:35" x14ac:dyDescent="0.45">
      <c r="E212" t="s">
        <v>1463</v>
      </c>
      <c r="G212" t="s">
        <v>160</v>
      </c>
      <c r="I212" t="s">
        <v>249</v>
      </c>
      <c r="J212" t="s">
        <v>1711</v>
      </c>
      <c r="K212">
        <v>9.497743710125788E-5</v>
      </c>
      <c r="L212" t="s">
        <v>251</v>
      </c>
      <c r="N212" t="s">
        <v>419</v>
      </c>
      <c r="O212" t="s">
        <v>1711</v>
      </c>
      <c r="P212">
        <v>1.08922049524E-4</v>
      </c>
      <c r="Q212" t="s">
        <v>251</v>
      </c>
      <c r="S212" t="s">
        <v>420</v>
      </c>
      <c r="T212" t="s">
        <v>1711</v>
      </c>
      <c r="U212">
        <v>5.8061291014300797E-5</v>
      </c>
      <c r="V212" t="s">
        <v>251</v>
      </c>
      <c r="X212">
        <v>1.1415525114155251E-4</v>
      </c>
      <c r="Y212">
        <v>2.2209515285616027E-4</v>
      </c>
      <c r="Z212" t="s">
        <v>1711</v>
      </c>
      <c r="AA212" t="s">
        <v>25</v>
      </c>
      <c r="AC212" t="s">
        <v>22</v>
      </c>
      <c r="AD212" t="s">
        <v>1711</v>
      </c>
      <c r="AE212">
        <v>8.0724582926403499E-5</v>
      </c>
      <c r="AG212" t="s">
        <v>99</v>
      </c>
      <c r="AH212" t="s">
        <v>1711</v>
      </c>
      <c r="AI212">
        <v>0</v>
      </c>
    </row>
    <row r="213" spans="5:35" x14ac:dyDescent="0.45">
      <c r="E213" t="s">
        <v>1464</v>
      </c>
      <c r="G213" t="s">
        <v>160</v>
      </c>
      <c r="I213" t="s">
        <v>249</v>
      </c>
      <c r="J213" t="s">
        <v>1712</v>
      </c>
      <c r="K213">
        <v>1.7099363526341909E-5</v>
      </c>
      <c r="L213" t="s">
        <v>251</v>
      </c>
      <c r="N213" t="s">
        <v>419</v>
      </c>
      <c r="O213" t="s">
        <v>1712</v>
      </c>
      <c r="P213">
        <v>1.067125307514E-4</v>
      </c>
      <c r="Q213" t="s">
        <v>251</v>
      </c>
      <c r="S213" t="s">
        <v>420</v>
      </c>
      <c r="T213" t="s">
        <v>1712</v>
      </c>
      <c r="U213">
        <v>5.530425106136828E-5</v>
      </c>
      <c r="V213" t="s">
        <v>251</v>
      </c>
      <c r="X213">
        <v>1.1415525114155251E-4</v>
      </c>
      <c r="Y213">
        <v>1.7237235744060203E-4</v>
      </c>
      <c r="Z213" t="s">
        <v>1712</v>
      </c>
      <c r="AA213" t="s">
        <v>25</v>
      </c>
      <c r="AC213" t="s">
        <v>22</v>
      </c>
      <c r="AD213" t="s">
        <v>1712</v>
      </c>
      <c r="AE213">
        <v>8.1939762615806133E-5</v>
      </c>
      <c r="AG213" t="s">
        <v>99</v>
      </c>
      <c r="AH213" t="s">
        <v>1712</v>
      </c>
      <c r="AI213">
        <v>0</v>
      </c>
    </row>
    <row r="214" spans="5:35" x14ac:dyDescent="0.45">
      <c r="E214" t="s">
        <v>1465</v>
      </c>
      <c r="G214" t="s">
        <v>160</v>
      </c>
      <c r="I214" t="s">
        <v>249</v>
      </c>
      <c r="J214" t="s">
        <v>1713</v>
      </c>
      <c r="K214">
        <v>0</v>
      </c>
      <c r="L214" t="s">
        <v>251</v>
      </c>
      <c r="N214" t="s">
        <v>419</v>
      </c>
      <c r="O214" t="s">
        <v>1713</v>
      </c>
      <c r="P214">
        <v>1.033302732755E-4</v>
      </c>
      <c r="Q214" t="s">
        <v>251</v>
      </c>
      <c r="S214" t="s">
        <v>420</v>
      </c>
      <c r="T214" t="s">
        <v>1713</v>
      </c>
      <c r="U214">
        <v>5.7505410968169217E-5</v>
      </c>
      <c r="V214" t="s">
        <v>251</v>
      </c>
      <c r="X214">
        <v>1.1415525114155251E-4</v>
      </c>
      <c r="Y214">
        <v>1.5579809230208258E-4</v>
      </c>
      <c r="Z214" t="s">
        <v>1713</v>
      </c>
      <c r="AA214" t="s">
        <v>25</v>
      </c>
      <c r="AC214" t="s">
        <v>22</v>
      </c>
      <c r="AD214" t="s">
        <v>1713</v>
      </c>
      <c r="AE214">
        <v>8.3869753887210315E-5</v>
      </c>
      <c r="AG214" t="s">
        <v>99</v>
      </c>
      <c r="AH214" t="s">
        <v>1713</v>
      </c>
      <c r="AI214">
        <v>0</v>
      </c>
    </row>
    <row r="215" spans="5:35" x14ac:dyDescent="0.45">
      <c r="E215" t="s">
        <v>1466</v>
      </c>
      <c r="G215" t="s">
        <v>160</v>
      </c>
      <c r="I215" t="s">
        <v>249</v>
      </c>
      <c r="J215" t="s">
        <v>1714</v>
      </c>
      <c r="K215">
        <v>0</v>
      </c>
      <c r="L215" t="s">
        <v>251</v>
      </c>
      <c r="N215" t="s">
        <v>419</v>
      </c>
      <c r="O215" t="s">
        <v>1714</v>
      </c>
      <c r="P215">
        <v>9.422155976578592E-5</v>
      </c>
      <c r="Q215" t="s">
        <v>251</v>
      </c>
      <c r="S215" t="s">
        <v>420</v>
      </c>
      <c r="T215" t="s">
        <v>1714</v>
      </c>
      <c r="U215">
        <v>5.5426119085952329E-5</v>
      </c>
      <c r="V215" t="s">
        <v>251</v>
      </c>
      <c r="X215">
        <v>1.1415525114155251E-4</v>
      </c>
      <c r="Y215">
        <v>1.093901499142282E-4</v>
      </c>
      <c r="Z215" t="s">
        <v>1714</v>
      </c>
      <c r="AA215" t="s">
        <v>25</v>
      </c>
      <c r="AC215" t="s">
        <v>22</v>
      </c>
      <c r="AD215" t="s">
        <v>1714</v>
      </c>
      <c r="AE215">
        <v>1.0083461543338038E-4</v>
      </c>
      <c r="AG215" t="s">
        <v>99</v>
      </c>
      <c r="AH215" t="s">
        <v>1714</v>
      </c>
      <c r="AI215">
        <v>0</v>
      </c>
    </row>
    <row r="216" spans="5:35" x14ac:dyDescent="0.45">
      <c r="E216" t="s">
        <v>1467</v>
      </c>
      <c r="G216" t="s">
        <v>160</v>
      </c>
      <c r="I216" t="s">
        <v>249</v>
      </c>
      <c r="J216" t="s">
        <v>1715</v>
      </c>
      <c r="K216">
        <v>0</v>
      </c>
      <c r="L216" t="s">
        <v>251</v>
      </c>
      <c r="N216" t="s">
        <v>419</v>
      </c>
      <c r="O216" t="s">
        <v>1715</v>
      </c>
      <c r="P216">
        <v>8.3874519894675789E-5</v>
      </c>
      <c r="Q216" t="s">
        <v>251</v>
      </c>
      <c r="S216" t="s">
        <v>420</v>
      </c>
      <c r="T216" t="s">
        <v>1715</v>
      </c>
      <c r="U216">
        <v>5.70127124506765E-5</v>
      </c>
      <c r="V216" t="s">
        <v>251</v>
      </c>
      <c r="X216">
        <v>1.1415525114155251E-4</v>
      </c>
      <c r="Y216">
        <v>7.9556472664893237E-5</v>
      </c>
      <c r="Z216" t="s">
        <v>1715</v>
      </c>
      <c r="AA216" t="s">
        <v>25</v>
      </c>
      <c r="AC216" t="s">
        <v>22</v>
      </c>
      <c r="AD216" t="s">
        <v>1715</v>
      </c>
      <c r="AE216">
        <v>1.1590522628724633E-4</v>
      </c>
      <c r="AG216" t="s">
        <v>99</v>
      </c>
      <c r="AH216" t="s">
        <v>1715</v>
      </c>
      <c r="AI216">
        <v>0</v>
      </c>
    </row>
    <row r="217" spans="5:35" x14ac:dyDescent="0.45">
      <c r="E217" t="s">
        <v>1468</v>
      </c>
      <c r="G217" t="s">
        <v>160</v>
      </c>
      <c r="I217" t="s">
        <v>249</v>
      </c>
      <c r="J217" t="s">
        <v>1716</v>
      </c>
      <c r="K217">
        <v>0</v>
      </c>
      <c r="L217" t="s">
        <v>251</v>
      </c>
      <c r="N217" t="s">
        <v>419</v>
      </c>
      <c r="O217" t="s">
        <v>1716</v>
      </c>
      <c r="P217">
        <v>7.9031291960626637E-5</v>
      </c>
      <c r="Q217" t="s">
        <v>251</v>
      </c>
      <c r="S217" t="s">
        <v>420</v>
      </c>
      <c r="T217" t="s">
        <v>1716</v>
      </c>
      <c r="U217">
        <v>5.7247797933401058E-5</v>
      </c>
      <c r="V217" t="s">
        <v>251</v>
      </c>
      <c r="X217">
        <v>1.1415525114155251E-4</v>
      </c>
      <c r="Y217">
        <v>5.6352501470966035E-5</v>
      </c>
      <c r="Z217" t="s">
        <v>1716</v>
      </c>
      <c r="AA217" t="s">
        <v>25</v>
      </c>
      <c r="AC217" t="s">
        <v>22</v>
      </c>
      <c r="AD217" t="s">
        <v>1716</v>
      </c>
      <c r="AE217">
        <v>1.291232837910916E-4</v>
      </c>
      <c r="AG217" t="s">
        <v>99</v>
      </c>
      <c r="AH217" t="s">
        <v>1716</v>
      </c>
      <c r="AI217">
        <v>0</v>
      </c>
    </row>
    <row r="218" spans="5:35" x14ac:dyDescent="0.45">
      <c r="E218" t="s">
        <v>1469</v>
      </c>
      <c r="G218" t="s">
        <v>160</v>
      </c>
      <c r="I218" t="s">
        <v>249</v>
      </c>
      <c r="J218" t="s">
        <v>1717</v>
      </c>
      <c r="K218">
        <v>0</v>
      </c>
      <c r="L218" t="s">
        <v>251</v>
      </c>
      <c r="N218" t="s">
        <v>419</v>
      </c>
      <c r="O218" t="s">
        <v>1717</v>
      </c>
      <c r="P218">
        <v>8.1554265603351621E-5</v>
      </c>
      <c r="Q218" t="s">
        <v>251</v>
      </c>
      <c r="S218" t="s">
        <v>420</v>
      </c>
      <c r="T218" t="s">
        <v>1717</v>
      </c>
      <c r="U218">
        <v>5.8071645712906125E-5</v>
      </c>
      <c r="V218" t="s">
        <v>251</v>
      </c>
      <c r="X218">
        <v>1.1415525114155251E-4</v>
      </c>
      <c r="Y218">
        <v>2.9833677249334962E-5</v>
      </c>
      <c r="Z218" t="s">
        <v>1717</v>
      </c>
      <c r="AA218" t="s">
        <v>25</v>
      </c>
      <c r="AC218" t="s">
        <v>22</v>
      </c>
      <c r="AD218" t="s">
        <v>1717</v>
      </c>
      <c r="AE218">
        <v>1.3790355272334397E-4</v>
      </c>
      <c r="AG218" t="s">
        <v>99</v>
      </c>
      <c r="AH218" t="s">
        <v>1717</v>
      </c>
      <c r="AI218">
        <v>0</v>
      </c>
    </row>
    <row r="219" spans="5:35" x14ac:dyDescent="0.45">
      <c r="E219" t="s">
        <v>1470</v>
      </c>
      <c r="G219" t="s">
        <v>160</v>
      </c>
      <c r="I219" t="s">
        <v>249</v>
      </c>
      <c r="J219" t="s">
        <v>291</v>
      </c>
      <c r="K219">
        <v>0</v>
      </c>
      <c r="L219" t="s">
        <v>251</v>
      </c>
      <c r="N219" t="s">
        <v>419</v>
      </c>
      <c r="O219" t="s">
        <v>291</v>
      </c>
      <c r="P219">
        <v>1.4595195518614155E-2</v>
      </c>
      <c r="Q219" t="s">
        <v>251</v>
      </c>
      <c r="S219" t="s">
        <v>420</v>
      </c>
      <c r="T219" t="s">
        <v>291</v>
      </c>
      <c r="U219">
        <v>1.7136684621003029E-2</v>
      </c>
      <c r="V219" t="s">
        <v>251</v>
      </c>
      <c r="X219">
        <v>1.5753424657534248E-2</v>
      </c>
      <c r="Y219">
        <v>3.3698795879637689E-3</v>
      </c>
      <c r="Z219" t="s">
        <v>291</v>
      </c>
      <c r="AA219" t="s">
        <v>25</v>
      </c>
      <c r="AC219" t="s">
        <v>22</v>
      </c>
      <c r="AD219" t="s">
        <v>291</v>
      </c>
      <c r="AE219">
        <v>1.7378206679055888E-2</v>
      </c>
      <c r="AG219" t="s">
        <v>99</v>
      </c>
      <c r="AH219" t="s">
        <v>291</v>
      </c>
      <c r="AI219">
        <v>9.6932559405243035E-2</v>
      </c>
    </row>
    <row r="220" spans="5:35" x14ac:dyDescent="0.45">
      <c r="E220" t="s">
        <v>1471</v>
      </c>
      <c r="G220" t="s">
        <v>160</v>
      </c>
      <c r="I220" t="s">
        <v>249</v>
      </c>
      <c r="J220" t="s">
        <v>292</v>
      </c>
      <c r="K220">
        <v>0</v>
      </c>
      <c r="L220" t="s">
        <v>251</v>
      </c>
      <c r="N220" t="s">
        <v>419</v>
      </c>
      <c r="O220" t="s">
        <v>292</v>
      </c>
      <c r="P220">
        <v>2.2843808253291834E-3</v>
      </c>
      <c r="Q220" t="s">
        <v>251</v>
      </c>
      <c r="S220" t="s">
        <v>420</v>
      </c>
      <c r="T220" t="s">
        <v>292</v>
      </c>
      <c r="U220">
        <v>2.8193231440700301E-3</v>
      </c>
      <c r="V220" t="s">
        <v>251</v>
      </c>
      <c r="X220">
        <v>2.625570776255708E-3</v>
      </c>
      <c r="Y220">
        <v>3.8883226014966589E-3</v>
      </c>
      <c r="Z220" t="s">
        <v>292</v>
      </c>
      <c r="AA220" t="s">
        <v>25</v>
      </c>
      <c r="AC220" t="s">
        <v>22</v>
      </c>
      <c r="AD220" t="s">
        <v>292</v>
      </c>
      <c r="AE220">
        <v>2.9007460007824076E-3</v>
      </c>
      <c r="AG220" t="s">
        <v>99</v>
      </c>
      <c r="AH220" t="s">
        <v>292</v>
      </c>
      <c r="AI220">
        <v>5.2178880883613221E-2</v>
      </c>
    </row>
    <row r="221" spans="5:35" x14ac:dyDescent="0.45">
      <c r="E221" t="s">
        <v>1472</v>
      </c>
      <c r="G221" t="s">
        <v>160</v>
      </c>
      <c r="I221" t="s">
        <v>249</v>
      </c>
      <c r="J221" t="s">
        <v>293</v>
      </c>
      <c r="K221">
        <v>4.1984829347857728E-4</v>
      </c>
      <c r="L221" t="s">
        <v>251</v>
      </c>
      <c r="N221" t="s">
        <v>419</v>
      </c>
      <c r="O221" t="s">
        <v>293</v>
      </c>
      <c r="P221">
        <v>2.2223138600203228E-3</v>
      </c>
      <c r="Q221" t="s">
        <v>251</v>
      </c>
      <c r="S221" t="s">
        <v>420</v>
      </c>
      <c r="T221" t="s">
        <v>293</v>
      </c>
      <c r="U221">
        <v>2.7487534144363173E-3</v>
      </c>
      <c r="V221" t="s">
        <v>251</v>
      </c>
      <c r="X221">
        <v>2.625570776255708E-3</v>
      </c>
      <c r="Y221">
        <v>4.3838931291383864E-3</v>
      </c>
      <c r="Z221" t="s">
        <v>293</v>
      </c>
      <c r="AA221" t="s">
        <v>25</v>
      </c>
      <c r="AC221" t="s">
        <v>22</v>
      </c>
      <c r="AD221" t="s">
        <v>293</v>
      </c>
      <c r="AE221">
        <v>3.0658555626983984E-3</v>
      </c>
      <c r="AG221" t="s">
        <v>99</v>
      </c>
      <c r="AH221" t="s">
        <v>293</v>
      </c>
      <c r="AI221">
        <v>7.0887145972973853E-2</v>
      </c>
    </row>
    <row r="222" spans="5:35" x14ac:dyDescent="0.45">
      <c r="E222" t="s">
        <v>1473</v>
      </c>
      <c r="G222" t="s">
        <v>160</v>
      </c>
      <c r="I222" t="s">
        <v>249</v>
      </c>
      <c r="J222" t="s">
        <v>294</v>
      </c>
      <c r="K222">
        <v>1.8984625443252221E-2</v>
      </c>
      <c r="L222" t="s">
        <v>251</v>
      </c>
      <c r="N222" t="s">
        <v>419</v>
      </c>
      <c r="O222" t="s">
        <v>294</v>
      </c>
      <c r="P222">
        <v>1.1041363680269024E-2</v>
      </c>
      <c r="Q222" t="s">
        <v>251</v>
      </c>
      <c r="S222" t="s">
        <v>420</v>
      </c>
      <c r="T222" t="s">
        <v>294</v>
      </c>
      <c r="U222">
        <v>1.7104267544524338E-2</v>
      </c>
      <c r="V222" t="s">
        <v>251</v>
      </c>
      <c r="X222">
        <v>1.5753424657534248E-2</v>
      </c>
      <c r="Y222">
        <v>1.9853317753524106E-2</v>
      </c>
      <c r="Z222" t="s">
        <v>294</v>
      </c>
      <c r="AA222" t="s">
        <v>25</v>
      </c>
      <c r="AC222" t="s">
        <v>22</v>
      </c>
      <c r="AD222" t="s">
        <v>294</v>
      </c>
      <c r="AE222">
        <v>1.8329150310408465E-2</v>
      </c>
      <c r="AG222" t="s">
        <v>99</v>
      </c>
      <c r="AH222" t="s">
        <v>294</v>
      </c>
      <c r="AI222">
        <v>0.13153210929923786</v>
      </c>
    </row>
    <row r="223" spans="5:35" x14ac:dyDescent="0.45">
      <c r="E223" t="s">
        <v>1474</v>
      </c>
      <c r="G223" t="s">
        <v>160</v>
      </c>
      <c r="I223" t="s">
        <v>249</v>
      </c>
      <c r="J223" t="s">
        <v>295</v>
      </c>
      <c r="K223">
        <v>8.1272438523979328E-3</v>
      </c>
      <c r="L223" t="s">
        <v>251</v>
      </c>
      <c r="N223" t="s">
        <v>419</v>
      </c>
      <c r="O223" t="s">
        <v>295</v>
      </c>
      <c r="P223">
        <v>5.0221912285424814E-3</v>
      </c>
      <c r="Q223" t="s">
        <v>251</v>
      </c>
      <c r="S223" t="s">
        <v>420</v>
      </c>
      <c r="T223" t="s">
        <v>295</v>
      </c>
      <c r="U223">
        <v>8.4324128679726176E-3</v>
      </c>
      <c r="V223" t="s">
        <v>251</v>
      </c>
      <c r="X223">
        <v>7.8767123287671239E-3</v>
      </c>
      <c r="Y223">
        <v>1.2534122268353924E-2</v>
      </c>
      <c r="Z223" t="s">
        <v>295</v>
      </c>
      <c r="AA223" t="s">
        <v>25</v>
      </c>
      <c r="AC223" t="s">
        <v>22</v>
      </c>
      <c r="AD223" t="s">
        <v>295</v>
      </c>
      <c r="AE223">
        <v>6.545460843026687E-3</v>
      </c>
      <c r="AG223" t="s">
        <v>99</v>
      </c>
      <c r="AH223" t="s">
        <v>295</v>
      </c>
      <c r="AI223">
        <v>0.11738269705300097</v>
      </c>
    </row>
    <row r="224" spans="5:35" x14ac:dyDescent="0.45">
      <c r="E224" t="s">
        <v>1475</v>
      </c>
      <c r="G224" t="s">
        <v>160</v>
      </c>
      <c r="I224" t="s">
        <v>249</v>
      </c>
      <c r="J224" t="s">
        <v>296</v>
      </c>
      <c r="K224">
        <v>1.584656765281803E-3</v>
      </c>
      <c r="L224" t="s">
        <v>251</v>
      </c>
      <c r="N224" t="s">
        <v>419</v>
      </c>
      <c r="O224" t="s">
        <v>296</v>
      </c>
      <c r="P224">
        <v>1.7718579956721432E-3</v>
      </c>
      <c r="Q224" t="s">
        <v>251</v>
      </c>
      <c r="S224" t="s">
        <v>420</v>
      </c>
      <c r="T224" t="s">
        <v>296</v>
      </c>
      <c r="U224">
        <v>2.7930002229078197E-3</v>
      </c>
      <c r="V224" t="s">
        <v>251</v>
      </c>
      <c r="X224">
        <v>2.625570776255708E-3</v>
      </c>
      <c r="Y224">
        <v>5.1081885156916869E-3</v>
      </c>
      <c r="Z224" t="s">
        <v>296</v>
      </c>
      <c r="AA224" t="s">
        <v>25</v>
      </c>
      <c r="AC224" t="s">
        <v>22</v>
      </c>
      <c r="AD224" t="s">
        <v>296</v>
      </c>
      <c r="AE224">
        <v>1.8782199462555604E-3</v>
      </c>
      <c r="AG224" t="s">
        <v>99</v>
      </c>
      <c r="AH224" t="s">
        <v>296</v>
      </c>
      <c r="AI224">
        <v>2.7715943674808452E-2</v>
      </c>
    </row>
    <row r="225" spans="5:35" x14ac:dyDescent="0.45">
      <c r="E225" t="s">
        <v>1476</v>
      </c>
      <c r="G225" t="s">
        <v>160</v>
      </c>
      <c r="I225" t="s">
        <v>249</v>
      </c>
      <c r="J225" t="s">
        <v>297</v>
      </c>
      <c r="K225">
        <v>1.2699041737978208E-4</v>
      </c>
      <c r="L225" t="s">
        <v>251</v>
      </c>
      <c r="N225" t="s">
        <v>419</v>
      </c>
      <c r="O225" t="s">
        <v>297</v>
      </c>
      <c r="P225">
        <v>2.0180727785334977E-3</v>
      </c>
      <c r="Q225" t="s">
        <v>251</v>
      </c>
      <c r="S225" t="s">
        <v>420</v>
      </c>
      <c r="T225" t="s">
        <v>297</v>
      </c>
      <c r="U225">
        <v>2.8324646066227839E-3</v>
      </c>
      <c r="V225" t="s">
        <v>251</v>
      </c>
      <c r="X225">
        <v>2.625570776255708E-3</v>
      </c>
      <c r="Y225">
        <v>3.964564221133845E-3</v>
      </c>
      <c r="Z225" t="s">
        <v>297</v>
      </c>
      <c r="AA225" t="s">
        <v>25</v>
      </c>
      <c r="AC225" t="s">
        <v>22</v>
      </c>
      <c r="AD225" t="s">
        <v>297</v>
      </c>
      <c r="AE225">
        <v>1.8957149597250481E-3</v>
      </c>
      <c r="AG225" t="s">
        <v>99</v>
      </c>
      <c r="AH225" t="s">
        <v>297</v>
      </c>
      <c r="AI225">
        <v>3.0726337374536783E-2</v>
      </c>
    </row>
    <row r="226" spans="5:35" x14ac:dyDescent="0.45">
      <c r="E226" t="s">
        <v>1477</v>
      </c>
      <c r="G226" t="s">
        <v>160</v>
      </c>
      <c r="I226" t="s">
        <v>249</v>
      </c>
      <c r="J226" t="s">
        <v>298</v>
      </c>
      <c r="K226">
        <v>0</v>
      </c>
      <c r="L226" t="s">
        <v>251</v>
      </c>
      <c r="N226" t="s">
        <v>419</v>
      </c>
      <c r="O226" t="s">
        <v>298</v>
      </c>
      <c r="P226">
        <v>1.2578079858621216E-2</v>
      </c>
      <c r="Q226" t="s">
        <v>251</v>
      </c>
      <c r="S226" t="s">
        <v>420</v>
      </c>
      <c r="T226" t="s">
        <v>298</v>
      </c>
      <c r="U226">
        <v>1.4089646720394707E-2</v>
      </c>
      <c r="V226" t="s">
        <v>251</v>
      </c>
      <c r="X226">
        <v>1.3127853881278538E-2</v>
      </c>
      <c r="Y226">
        <v>9.9114105528346139E-3</v>
      </c>
      <c r="Z226" t="s">
        <v>298</v>
      </c>
      <c r="AA226" t="s">
        <v>25</v>
      </c>
      <c r="AC226" t="s">
        <v>22</v>
      </c>
      <c r="AD226" t="s">
        <v>298</v>
      </c>
      <c r="AE226">
        <v>1.2733677823980705E-2</v>
      </c>
      <c r="AG226" t="s">
        <v>99</v>
      </c>
      <c r="AH226" t="s">
        <v>298</v>
      </c>
      <c r="AI226">
        <v>0.21180011154020173</v>
      </c>
    </row>
    <row r="227" spans="5:35" x14ac:dyDescent="0.45">
      <c r="E227" t="s">
        <v>1478</v>
      </c>
      <c r="G227" t="s">
        <v>160</v>
      </c>
      <c r="I227" t="s">
        <v>249</v>
      </c>
      <c r="J227" t="s">
        <v>604</v>
      </c>
      <c r="K227">
        <v>0</v>
      </c>
      <c r="L227" t="s">
        <v>251</v>
      </c>
      <c r="N227" t="s">
        <v>419</v>
      </c>
      <c r="O227" t="s">
        <v>604</v>
      </c>
      <c r="P227">
        <v>4.4499143765978162E-5</v>
      </c>
      <c r="Q227" t="s">
        <v>251</v>
      </c>
      <c r="S227" t="s">
        <v>420</v>
      </c>
      <c r="T227" t="s">
        <v>604</v>
      </c>
      <c r="U227">
        <v>5.9577225820407881E-5</v>
      </c>
      <c r="V227" t="s">
        <v>251</v>
      </c>
      <c r="X227">
        <v>1.1415525114155251E-4</v>
      </c>
      <c r="Y227">
        <v>2.1546544680075254E-5</v>
      </c>
      <c r="Z227" t="s">
        <v>604</v>
      </c>
      <c r="AA227" t="s">
        <v>25</v>
      </c>
      <c r="AC227" t="s">
        <v>22</v>
      </c>
      <c r="AD227" t="s">
        <v>604</v>
      </c>
      <c r="AE227">
        <v>1.4216691135430029E-4</v>
      </c>
      <c r="AG227" t="s">
        <v>99</v>
      </c>
      <c r="AH227" t="s">
        <v>604</v>
      </c>
      <c r="AI227">
        <v>0</v>
      </c>
    </row>
    <row r="228" spans="5:35" x14ac:dyDescent="0.45">
      <c r="E228" t="s">
        <v>1479</v>
      </c>
      <c r="G228" t="s">
        <v>160</v>
      </c>
      <c r="I228" t="s">
        <v>249</v>
      </c>
      <c r="J228" t="s">
        <v>605</v>
      </c>
      <c r="K228">
        <v>0</v>
      </c>
      <c r="L228" t="s">
        <v>251</v>
      </c>
      <c r="N228" t="s">
        <v>419</v>
      </c>
      <c r="O228" t="s">
        <v>605</v>
      </c>
      <c r="P228">
        <v>4.4234966823909632E-5</v>
      </c>
      <c r="Q228" t="s">
        <v>251</v>
      </c>
      <c r="S228" t="s">
        <v>420</v>
      </c>
      <c r="T228" t="s">
        <v>605</v>
      </c>
      <c r="U228">
        <v>5.7133262606319879E-5</v>
      </c>
      <c r="V228" t="s">
        <v>251</v>
      </c>
      <c r="X228">
        <v>1.1415525114155251E-4</v>
      </c>
      <c r="Y228">
        <v>1.4916838624667481E-5</v>
      </c>
      <c r="Z228" t="s">
        <v>605</v>
      </c>
      <c r="AA228" t="s">
        <v>25</v>
      </c>
      <c r="AC228" t="s">
        <v>22</v>
      </c>
      <c r="AD228" t="s">
        <v>605</v>
      </c>
      <c r="AE228">
        <v>1.3834862615377537E-4</v>
      </c>
      <c r="AG228" t="s">
        <v>99</v>
      </c>
      <c r="AH228" t="s">
        <v>605</v>
      </c>
      <c r="AI228">
        <v>0</v>
      </c>
    </row>
    <row r="229" spans="5:35" x14ac:dyDescent="0.45">
      <c r="E229" t="s">
        <v>1480</v>
      </c>
      <c r="G229" t="s">
        <v>160</v>
      </c>
      <c r="I229" t="s">
        <v>249</v>
      </c>
      <c r="J229" t="s">
        <v>606</v>
      </c>
      <c r="K229">
        <v>0</v>
      </c>
      <c r="L229" t="s">
        <v>251</v>
      </c>
      <c r="N229" t="s">
        <v>419</v>
      </c>
      <c r="O229" t="s">
        <v>606</v>
      </c>
      <c r="P229">
        <v>4.4101453381273371E-5</v>
      </c>
      <c r="Q229" t="s">
        <v>251</v>
      </c>
      <c r="S229" t="s">
        <v>420</v>
      </c>
      <c r="T229" t="s">
        <v>606</v>
      </c>
      <c r="U229">
        <v>5.5385318731688292E-5</v>
      </c>
      <c r="V229" t="s">
        <v>251</v>
      </c>
      <c r="X229">
        <v>1.1415525114155251E-4</v>
      </c>
      <c r="Y229">
        <v>1.6574265138519424E-5</v>
      </c>
      <c r="Z229" t="s">
        <v>606</v>
      </c>
      <c r="AA229" t="s">
        <v>25</v>
      </c>
      <c r="AC229" t="s">
        <v>22</v>
      </c>
      <c r="AD229" t="s">
        <v>606</v>
      </c>
      <c r="AE229">
        <v>1.3569190977400294E-4</v>
      </c>
      <c r="AG229" t="s">
        <v>99</v>
      </c>
      <c r="AH229" t="s">
        <v>606</v>
      </c>
      <c r="AI229">
        <v>0</v>
      </c>
    </row>
    <row r="230" spans="5:35" x14ac:dyDescent="0.45">
      <c r="E230" t="s">
        <v>1481</v>
      </c>
      <c r="G230" t="s">
        <v>160</v>
      </c>
      <c r="I230" t="s">
        <v>249</v>
      </c>
      <c r="J230" t="s">
        <v>607</v>
      </c>
      <c r="K230">
        <v>0</v>
      </c>
      <c r="L230" t="s">
        <v>251</v>
      </c>
      <c r="N230" t="s">
        <v>419</v>
      </c>
      <c r="O230" t="s">
        <v>607</v>
      </c>
      <c r="P230">
        <v>4.4004452299967778E-5</v>
      </c>
      <c r="Q230" t="s">
        <v>251</v>
      </c>
      <c r="S230" t="s">
        <v>420</v>
      </c>
      <c r="T230" t="s">
        <v>607</v>
      </c>
      <c r="U230">
        <v>5.1995407682923491E-5</v>
      </c>
      <c r="V230" t="s">
        <v>251</v>
      </c>
      <c r="X230">
        <v>1.1415525114155251E-4</v>
      </c>
      <c r="Y230">
        <v>1.4585353321897093E-5</v>
      </c>
      <c r="Z230" t="s">
        <v>607</v>
      </c>
      <c r="AA230" t="s">
        <v>25</v>
      </c>
      <c r="AC230" t="s">
        <v>22</v>
      </c>
      <c r="AD230" t="s">
        <v>607</v>
      </c>
      <c r="AE230">
        <v>1.3569190977400294E-4</v>
      </c>
      <c r="AG230" t="s">
        <v>99</v>
      </c>
      <c r="AH230" t="s">
        <v>607</v>
      </c>
      <c r="AI230">
        <v>0</v>
      </c>
    </row>
    <row r="231" spans="5:35" x14ac:dyDescent="0.45">
      <c r="E231" t="s">
        <v>1482</v>
      </c>
      <c r="G231" t="s">
        <v>160</v>
      </c>
      <c r="I231" t="s">
        <v>249</v>
      </c>
      <c r="J231" t="s">
        <v>608</v>
      </c>
      <c r="K231">
        <v>0</v>
      </c>
      <c r="L231" t="s">
        <v>251</v>
      </c>
      <c r="N231" t="s">
        <v>419</v>
      </c>
      <c r="O231" t="s">
        <v>608</v>
      </c>
      <c r="P231">
        <v>4.2487077012462368E-5</v>
      </c>
      <c r="Q231" t="s">
        <v>251</v>
      </c>
      <c r="S231" t="s">
        <v>420</v>
      </c>
      <c r="T231" t="s">
        <v>608</v>
      </c>
      <c r="U231">
        <v>5.1299614741577302E-5</v>
      </c>
      <c r="V231" t="s">
        <v>251</v>
      </c>
      <c r="X231">
        <v>1.1415525114155251E-4</v>
      </c>
      <c r="Y231">
        <v>2.1215059377304864E-5</v>
      </c>
      <c r="Z231" t="s">
        <v>608</v>
      </c>
      <c r="AA231" t="s">
        <v>25</v>
      </c>
      <c r="AC231" t="s">
        <v>22</v>
      </c>
      <c r="AD231" t="s">
        <v>608</v>
      </c>
      <c r="AE231">
        <v>1.3436950834730006E-4</v>
      </c>
      <c r="AG231" t="s">
        <v>99</v>
      </c>
      <c r="AH231" t="s">
        <v>608</v>
      </c>
      <c r="AI231">
        <v>0</v>
      </c>
    </row>
    <row r="232" spans="5:35" x14ac:dyDescent="0.45">
      <c r="E232" t="s">
        <v>1483</v>
      </c>
      <c r="G232" t="s">
        <v>160</v>
      </c>
      <c r="I232" t="s">
        <v>249</v>
      </c>
      <c r="J232" t="s">
        <v>609</v>
      </c>
      <c r="K232">
        <v>0</v>
      </c>
      <c r="L232" t="s">
        <v>251</v>
      </c>
      <c r="N232" t="s">
        <v>419</v>
      </c>
      <c r="O232" t="s">
        <v>609</v>
      </c>
      <c r="P232">
        <v>4.0711811748859439E-5</v>
      </c>
      <c r="Q232" t="s">
        <v>251</v>
      </c>
      <c r="S232" t="s">
        <v>420</v>
      </c>
      <c r="T232" t="s">
        <v>609</v>
      </c>
      <c r="U232">
        <v>5.0782609338270538E-5</v>
      </c>
      <c r="V232" t="s">
        <v>251</v>
      </c>
      <c r="X232">
        <v>1.1415525114155251E-4</v>
      </c>
      <c r="Y232">
        <v>5.7678442682047593E-5</v>
      </c>
      <c r="Z232" t="s">
        <v>609</v>
      </c>
      <c r="AA232" t="s">
        <v>25</v>
      </c>
      <c r="AC232" t="s">
        <v>22</v>
      </c>
      <c r="AD232" t="s">
        <v>609</v>
      </c>
      <c r="AE232">
        <v>1.3436950834730006E-4</v>
      </c>
      <c r="AG232" t="s">
        <v>99</v>
      </c>
      <c r="AH232" t="s">
        <v>609</v>
      </c>
      <c r="AI232">
        <v>0</v>
      </c>
    </row>
    <row r="233" spans="5:35" x14ac:dyDescent="0.45">
      <c r="E233" t="s">
        <v>1484</v>
      </c>
      <c r="G233" t="s">
        <v>160</v>
      </c>
      <c r="I233" t="s">
        <v>249</v>
      </c>
      <c r="J233" t="s">
        <v>610</v>
      </c>
      <c r="K233">
        <v>0</v>
      </c>
      <c r="L233" t="s">
        <v>251</v>
      </c>
      <c r="N233" t="s">
        <v>419</v>
      </c>
      <c r="O233" t="s">
        <v>610</v>
      </c>
      <c r="P233">
        <v>3.8615827402659132E-5</v>
      </c>
      <c r="Q233" t="s">
        <v>251</v>
      </c>
      <c r="S233" t="s">
        <v>420</v>
      </c>
      <c r="T233" t="s">
        <v>610</v>
      </c>
      <c r="U233">
        <v>5.3202695258249142E-5</v>
      </c>
      <c r="V233" t="s">
        <v>251</v>
      </c>
      <c r="X233">
        <v>1.1415525114155251E-4</v>
      </c>
      <c r="Y233">
        <v>1.6905750441289813E-4</v>
      </c>
      <c r="Z233" t="s">
        <v>610</v>
      </c>
      <c r="AA233" t="s">
        <v>25</v>
      </c>
      <c r="AC233" t="s">
        <v>22</v>
      </c>
      <c r="AD233" t="s">
        <v>610</v>
      </c>
      <c r="AE233">
        <v>1.3591231001178677E-4</v>
      </c>
      <c r="AG233" t="s">
        <v>99</v>
      </c>
      <c r="AH233" t="s">
        <v>610</v>
      </c>
      <c r="AI233">
        <v>0</v>
      </c>
    </row>
    <row r="234" spans="5:35" x14ac:dyDescent="0.45">
      <c r="E234" t="s">
        <v>1485</v>
      </c>
      <c r="G234" t="s">
        <v>160</v>
      </c>
      <c r="I234" t="s">
        <v>249</v>
      </c>
      <c r="J234" t="s">
        <v>611</v>
      </c>
      <c r="K234">
        <v>1.1674552845265375E-6</v>
      </c>
      <c r="L234" t="s">
        <v>251</v>
      </c>
      <c r="N234" t="s">
        <v>419</v>
      </c>
      <c r="O234" t="s">
        <v>611</v>
      </c>
      <c r="P234">
        <v>4.1845524210227469E-5</v>
      </c>
      <c r="Q234" t="s">
        <v>251</v>
      </c>
      <c r="S234" t="s">
        <v>420</v>
      </c>
      <c r="T234" t="s">
        <v>611</v>
      </c>
      <c r="U234">
        <v>5.6800220836299827E-5</v>
      </c>
      <c r="V234" t="s">
        <v>251</v>
      </c>
      <c r="X234">
        <v>1.1415525114155251E-4</v>
      </c>
      <c r="Y234">
        <v>1.9060404909297337E-4</v>
      </c>
      <c r="Z234" t="s">
        <v>611</v>
      </c>
      <c r="AA234" t="s">
        <v>25</v>
      </c>
      <c r="AC234" t="s">
        <v>22</v>
      </c>
      <c r="AD234" t="s">
        <v>611</v>
      </c>
      <c r="AE234">
        <v>1.4780200932574584E-4</v>
      </c>
      <c r="AG234" t="s">
        <v>99</v>
      </c>
      <c r="AH234" t="s">
        <v>611</v>
      </c>
      <c r="AI234">
        <v>0</v>
      </c>
    </row>
    <row r="235" spans="5:35" x14ac:dyDescent="0.45">
      <c r="E235" t="s">
        <v>1486</v>
      </c>
      <c r="G235" t="s">
        <v>160</v>
      </c>
      <c r="I235" t="s">
        <v>249</v>
      </c>
      <c r="J235" t="s">
        <v>612</v>
      </c>
      <c r="K235">
        <v>3.4350279544761811E-5</v>
      </c>
      <c r="L235" t="s">
        <v>251</v>
      </c>
      <c r="N235" t="s">
        <v>419</v>
      </c>
      <c r="O235" t="s">
        <v>612</v>
      </c>
      <c r="P235">
        <v>3.9344890510767599E-5</v>
      </c>
      <c r="Q235" t="s">
        <v>251</v>
      </c>
      <c r="S235" t="s">
        <v>420</v>
      </c>
      <c r="T235" t="s">
        <v>612</v>
      </c>
      <c r="U235">
        <v>6.7774610768942358E-5</v>
      </c>
      <c r="V235" t="s">
        <v>251</v>
      </c>
      <c r="X235">
        <v>1.1415525114155251E-4</v>
      </c>
      <c r="Y235">
        <v>1.4585353321897094E-4</v>
      </c>
      <c r="Z235" t="s">
        <v>612</v>
      </c>
      <c r="AA235" t="s">
        <v>25</v>
      </c>
      <c r="AC235" t="s">
        <v>22</v>
      </c>
      <c r="AD235" t="s">
        <v>612</v>
      </c>
      <c r="AE235">
        <v>1.5061955831146859E-4</v>
      </c>
      <c r="AG235" t="s">
        <v>99</v>
      </c>
      <c r="AH235" t="s">
        <v>612</v>
      </c>
      <c r="AI235">
        <v>0</v>
      </c>
    </row>
    <row r="236" spans="5:35" x14ac:dyDescent="0.45">
      <c r="E236" t="s">
        <v>1487</v>
      </c>
      <c r="G236" t="s">
        <v>160</v>
      </c>
      <c r="I236" t="s">
        <v>249</v>
      </c>
      <c r="J236" t="s">
        <v>613</v>
      </c>
      <c r="K236">
        <v>5.4465530851961328E-5</v>
      </c>
      <c r="L236" t="s">
        <v>251</v>
      </c>
      <c r="N236" t="s">
        <v>419</v>
      </c>
      <c r="O236" t="s">
        <v>613</v>
      </c>
      <c r="P236">
        <v>2.9652874354868337E-5</v>
      </c>
      <c r="Q236" t="s">
        <v>251</v>
      </c>
      <c r="S236" t="s">
        <v>420</v>
      </c>
      <c r="T236" t="s">
        <v>613</v>
      </c>
      <c r="U236">
        <v>7.1337021978762545E-5</v>
      </c>
      <c r="V236" t="s">
        <v>251</v>
      </c>
      <c r="X236">
        <v>1.1415525114155251E-4</v>
      </c>
      <c r="Y236">
        <v>1.4452759200788939E-4</v>
      </c>
      <c r="Z236" t="s">
        <v>613</v>
      </c>
      <c r="AA236" t="s">
        <v>25</v>
      </c>
      <c r="AC236" t="s">
        <v>22</v>
      </c>
      <c r="AD236" t="s">
        <v>613</v>
      </c>
      <c r="AE236">
        <v>1.5763662534145048E-4</v>
      </c>
      <c r="AG236" t="s">
        <v>99</v>
      </c>
      <c r="AH236" t="s">
        <v>613</v>
      </c>
      <c r="AI236">
        <v>0</v>
      </c>
    </row>
    <row r="237" spans="5:35" x14ac:dyDescent="0.45">
      <c r="E237" t="s">
        <v>1488</v>
      </c>
      <c r="G237" t="s">
        <v>160</v>
      </c>
      <c r="I237" t="s">
        <v>249</v>
      </c>
      <c r="J237" t="s">
        <v>614</v>
      </c>
      <c r="K237">
        <v>7.1974736236062322E-5</v>
      </c>
      <c r="L237" t="s">
        <v>251</v>
      </c>
      <c r="N237" t="s">
        <v>419</v>
      </c>
      <c r="O237" t="s">
        <v>614</v>
      </c>
      <c r="P237">
        <v>2.5341769434099131E-5</v>
      </c>
      <c r="Q237" t="s">
        <v>251</v>
      </c>
      <c r="S237" t="s">
        <v>420</v>
      </c>
      <c r="T237" t="s">
        <v>614</v>
      </c>
      <c r="U237">
        <v>6.6732109978240244E-5</v>
      </c>
      <c r="V237" t="s">
        <v>251</v>
      </c>
      <c r="X237">
        <v>1.1415525114155251E-4</v>
      </c>
      <c r="Y237">
        <v>1.408812536774151E-4</v>
      </c>
      <c r="Z237" t="s">
        <v>614</v>
      </c>
      <c r="AA237" t="s">
        <v>25</v>
      </c>
      <c r="AC237" t="s">
        <v>22</v>
      </c>
      <c r="AD237" t="s">
        <v>614</v>
      </c>
      <c r="AE237">
        <v>1.607460557231572E-4</v>
      </c>
      <c r="AG237" t="s">
        <v>99</v>
      </c>
      <c r="AH237" t="s">
        <v>614</v>
      </c>
      <c r="AI237">
        <v>0</v>
      </c>
    </row>
    <row r="238" spans="5:35" x14ac:dyDescent="0.45">
      <c r="E238" t="s">
        <v>1489</v>
      </c>
      <c r="G238" t="s">
        <v>160</v>
      </c>
      <c r="I238" t="s">
        <v>249</v>
      </c>
      <c r="J238" t="s">
        <v>615</v>
      </c>
      <c r="K238">
        <v>9.5278243135412836E-5</v>
      </c>
      <c r="L238" t="s">
        <v>251</v>
      </c>
      <c r="N238" t="s">
        <v>419</v>
      </c>
      <c r="O238" t="s">
        <v>615</v>
      </c>
      <c r="P238">
        <v>3.0796740204960403E-5</v>
      </c>
      <c r="Q238" t="s">
        <v>251</v>
      </c>
      <c r="S238" t="s">
        <v>420</v>
      </c>
      <c r="T238" t="s">
        <v>615</v>
      </c>
      <c r="U238">
        <v>5.919997086820766E-5</v>
      </c>
      <c r="V238" t="s">
        <v>251</v>
      </c>
      <c r="X238">
        <v>1.1415525114155251E-4</v>
      </c>
      <c r="Y238">
        <v>1.4054976837464471E-4</v>
      </c>
      <c r="Z238" t="s">
        <v>615</v>
      </c>
      <c r="AA238" t="s">
        <v>25</v>
      </c>
      <c r="AC238" t="s">
        <v>22</v>
      </c>
      <c r="AD238" t="s">
        <v>615</v>
      </c>
      <c r="AE238">
        <v>1.5717795457633282E-4</v>
      </c>
      <c r="AG238" t="s">
        <v>99</v>
      </c>
      <c r="AH238" t="s">
        <v>615</v>
      </c>
      <c r="AI238">
        <v>0</v>
      </c>
    </row>
    <row r="239" spans="5:35" x14ac:dyDescent="0.45">
      <c r="E239" t="s">
        <v>1490</v>
      </c>
      <c r="G239" t="s">
        <v>160</v>
      </c>
      <c r="I239" t="s">
        <v>249</v>
      </c>
      <c r="J239" t="s">
        <v>616</v>
      </c>
      <c r="K239">
        <v>1.176239729482E-4</v>
      </c>
      <c r="L239" t="s">
        <v>251</v>
      </c>
      <c r="N239" t="s">
        <v>419</v>
      </c>
      <c r="O239" t="s">
        <v>616</v>
      </c>
      <c r="P239">
        <v>2.866131419145021E-5</v>
      </c>
      <c r="Q239" t="s">
        <v>251</v>
      </c>
      <c r="S239" t="s">
        <v>420</v>
      </c>
      <c r="T239" t="s">
        <v>616</v>
      </c>
      <c r="U239">
        <v>5.0872603940587072E-5</v>
      </c>
      <c r="V239" t="s">
        <v>251</v>
      </c>
      <c r="X239">
        <v>1.1415525114155251E-4</v>
      </c>
      <c r="Y239">
        <v>1.4253868019126702E-4</v>
      </c>
      <c r="Z239" t="s">
        <v>616</v>
      </c>
      <c r="AA239" t="s">
        <v>25</v>
      </c>
      <c r="AC239" t="s">
        <v>22</v>
      </c>
      <c r="AD239" t="s">
        <v>616</v>
      </c>
      <c r="AE239">
        <v>1.4293533380495195E-4</v>
      </c>
      <c r="AG239" t="s">
        <v>99</v>
      </c>
      <c r="AH239" t="s">
        <v>616</v>
      </c>
      <c r="AI239">
        <v>0</v>
      </c>
    </row>
    <row r="240" spans="5:35" x14ac:dyDescent="0.45">
      <c r="E240" t="s">
        <v>1491</v>
      </c>
      <c r="G240" t="s">
        <v>160</v>
      </c>
      <c r="I240" t="s">
        <v>249</v>
      </c>
      <c r="J240" t="s">
        <v>617</v>
      </c>
      <c r="K240">
        <v>1.0776810514560001E-4</v>
      </c>
      <c r="L240" t="s">
        <v>251</v>
      </c>
      <c r="N240" t="s">
        <v>419</v>
      </c>
      <c r="O240" t="s">
        <v>617</v>
      </c>
      <c r="P240">
        <v>2.584334668492916E-5</v>
      </c>
      <c r="Q240" t="s">
        <v>251</v>
      </c>
      <c r="S240" t="s">
        <v>420</v>
      </c>
      <c r="T240" t="s">
        <v>617</v>
      </c>
      <c r="U240">
        <v>4.4728438378380447E-5</v>
      </c>
      <c r="V240" t="s">
        <v>251</v>
      </c>
      <c r="X240">
        <v>1.1415525114155251E-4</v>
      </c>
      <c r="Y240">
        <v>1.4883690094390442E-4</v>
      </c>
      <c r="Z240" t="s">
        <v>617</v>
      </c>
      <c r="AA240" t="s">
        <v>25</v>
      </c>
      <c r="AC240" t="s">
        <v>22</v>
      </c>
      <c r="AD240" t="s">
        <v>617</v>
      </c>
      <c r="AE240">
        <v>1.2474337904301258E-4</v>
      </c>
      <c r="AG240" t="s">
        <v>99</v>
      </c>
      <c r="AH240" t="s">
        <v>617</v>
      </c>
      <c r="AI240">
        <v>0</v>
      </c>
    </row>
    <row r="241" spans="5:35" x14ac:dyDescent="0.45">
      <c r="E241" t="s">
        <v>1492</v>
      </c>
      <c r="G241" t="s">
        <v>160</v>
      </c>
      <c r="I241" t="s">
        <v>249</v>
      </c>
      <c r="J241" t="s">
        <v>618</v>
      </c>
      <c r="K241">
        <v>1.006089100692E-4</v>
      </c>
      <c r="L241" t="s">
        <v>251</v>
      </c>
      <c r="N241" t="s">
        <v>419</v>
      </c>
      <c r="O241" t="s">
        <v>618</v>
      </c>
      <c r="P241">
        <v>2.3832261545094293E-5</v>
      </c>
      <c r="Q241" t="s">
        <v>251</v>
      </c>
      <c r="S241" t="s">
        <v>420</v>
      </c>
      <c r="T241" t="s">
        <v>618</v>
      </c>
      <c r="U241">
        <v>4.5620382344985283E-5</v>
      </c>
      <c r="V241" t="s">
        <v>251</v>
      </c>
      <c r="X241">
        <v>1.1415525114155251E-4</v>
      </c>
      <c r="Y241">
        <v>1.5049432745775637E-4</v>
      </c>
      <c r="Z241" t="s">
        <v>618</v>
      </c>
      <c r="AA241" t="s">
        <v>25</v>
      </c>
      <c r="AC241" t="s">
        <v>22</v>
      </c>
      <c r="AD241" t="s">
        <v>618</v>
      </c>
      <c r="AE241">
        <v>1.1412247028710623E-4</v>
      </c>
      <c r="AG241" t="s">
        <v>99</v>
      </c>
      <c r="AH241" t="s">
        <v>618</v>
      </c>
      <c r="AI241">
        <v>0</v>
      </c>
    </row>
    <row r="242" spans="5:35" x14ac:dyDescent="0.45">
      <c r="E242" t="s">
        <v>1493</v>
      </c>
      <c r="G242" t="s">
        <v>160</v>
      </c>
      <c r="I242" t="s">
        <v>249</v>
      </c>
      <c r="J242" t="s">
        <v>619</v>
      </c>
      <c r="K242">
        <v>9.3775725353677339E-5</v>
      </c>
      <c r="L242" t="s">
        <v>251</v>
      </c>
      <c r="N242" t="s">
        <v>419</v>
      </c>
      <c r="O242" t="s">
        <v>619</v>
      </c>
      <c r="P242">
        <v>2.4164572293492236E-5</v>
      </c>
      <c r="Q242" t="s">
        <v>251</v>
      </c>
      <c r="S242" t="s">
        <v>420</v>
      </c>
      <c r="T242" t="s">
        <v>619</v>
      </c>
      <c r="U242">
        <v>5.2139079556697794E-5</v>
      </c>
      <c r="V242" t="s">
        <v>251</v>
      </c>
      <c r="X242">
        <v>1.1415525114155251E-4</v>
      </c>
      <c r="Y242">
        <v>1.7237235744060203E-4</v>
      </c>
      <c r="Z242" t="s">
        <v>619</v>
      </c>
      <c r="AA242" t="s">
        <v>25</v>
      </c>
      <c r="AC242" t="s">
        <v>22</v>
      </c>
      <c r="AD242" t="s">
        <v>619</v>
      </c>
      <c r="AE242">
        <v>9.3440588514528126E-5</v>
      </c>
      <c r="AG242" t="s">
        <v>99</v>
      </c>
      <c r="AH242" t="s">
        <v>619</v>
      </c>
      <c r="AI242">
        <v>0</v>
      </c>
    </row>
    <row r="243" spans="5:35" x14ac:dyDescent="0.45">
      <c r="E243" t="s">
        <v>1494</v>
      </c>
      <c r="G243" t="s">
        <v>160</v>
      </c>
      <c r="I243" t="s">
        <v>249</v>
      </c>
      <c r="J243" t="s">
        <v>620</v>
      </c>
      <c r="K243">
        <v>8.6068357588442543E-5</v>
      </c>
      <c r="L243" t="s">
        <v>251</v>
      </c>
      <c r="N243" t="s">
        <v>419</v>
      </c>
      <c r="O243" t="s">
        <v>620</v>
      </c>
      <c r="P243">
        <v>2.4995836368786968E-5</v>
      </c>
      <c r="Q243" t="s">
        <v>251</v>
      </c>
      <c r="S243" t="s">
        <v>420</v>
      </c>
      <c r="T243" t="s">
        <v>620</v>
      </c>
      <c r="U243">
        <v>6.032169745863095E-5</v>
      </c>
      <c r="V243" t="s">
        <v>251</v>
      </c>
      <c r="X243">
        <v>1.1415525114155251E-4</v>
      </c>
      <c r="Y243">
        <v>2.2209515285616027E-4</v>
      </c>
      <c r="Z243" t="s">
        <v>620</v>
      </c>
      <c r="AA243" t="s">
        <v>25</v>
      </c>
      <c r="AC243" t="s">
        <v>22</v>
      </c>
      <c r="AD243" t="s">
        <v>620</v>
      </c>
      <c r="AE243">
        <v>8.9622303314003203E-5</v>
      </c>
      <c r="AG243" t="s">
        <v>99</v>
      </c>
      <c r="AH243" t="s">
        <v>620</v>
      </c>
      <c r="AI243">
        <v>0</v>
      </c>
    </row>
    <row r="244" spans="5:35" x14ac:dyDescent="0.45">
      <c r="E244" t="s">
        <v>1495</v>
      </c>
      <c r="G244" t="s">
        <v>160</v>
      </c>
      <c r="I244" t="s">
        <v>249</v>
      </c>
      <c r="J244" t="s">
        <v>621</v>
      </c>
      <c r="K244">
        <v>6.09903040000963E-5</v>
      </c>
      <c r="L244" t="s">
        <v>251</v>
      </c>
      <c r="N244" t="s">
        <v>419</v>
      </c>
      <c r="O244" t="s">
        <v>621</v>
      </c>
      <c r="P244">
        <v>2.5601439498923502E-5</v>
      </c>
      <c r="Q244" t="s">
        <v>251</v>
      </c>
      <c r="S244" t="s">
        <v>420</v>
      </c>
      <c r="T244" t="s">
        <v>621</v>
      </c>
      <c r="U244">
        <v>6.7594174428298266E-5</v>
      </c>
      <c r="V244" t="s">
        <v>251</v>
      </c>
      <c r="X244">
        <v>1.1415525114155251E-4</v>
      </c>
      <c r="Y244">
        <v>2.2209515285616027E-4</v>
      </c>
      <c r="Z244" t="s">
        <v>621</v>
      </c>
      <c r="AA244" t="s">
        <v>25</v>
      </c>
      <c r="AC244" t="s">
        <v>22</v>
      </c>
      <c r="AD244" t="s">
        <v>621</v>
      </c>
      <c r="AE244">
        <v>8.5631271981161219E-5</v>
      </c>
      <c r="AG244" t="s">
        <v>99</v>
      </c>
      <c r="AH244" t="s">
        <v>621</v>
      </c>
      <c r="AI244">
        <v>0</v>
      </c>
    </row>
    <row r="245" spans="5:35" x14ac:dyDescent="0.45">
      <c r="E245" t="s">
        <v>1496</v>
      </c>
      <c r="G245" t="s">
        <v>160</v>
      </c>
      <c r="I245" t="s">
        <v>249</v>
      </c>
      <c r="J245" t="s">
        <v>622</v>
      </c>
      <c r="K245">
        <v>3.2322467964585049E-6</v>
      </c>
      <c r="L245" t="s">
        <v>251</v>
      </c>
      <c r="N245" t="s">
        <v>419</v>
      </c>
      <c r="O245" t="s">
        <v>622</v>
      </c>
      <c r="P245">
        <v>2.8693943736878041E-5</v>
      </c>
      <c r="Q245" t="s">
        <v>251</v>
      </c>
      <c r="S245" t="s">
        <v>420</v>
      </c>
      <c r="T245" t="s">
        <v>622</v>
      </c>
      <c r="U245">
        <v>6.9745630753263737E-5</v>
      </c>
      <c r="V245" t="s">
        <v>251</v>
      </c>
      <c r="X245">
        <v>1.1415525114155251E-4</v>
      </c>
      <c r="Y245">
        <v>1.7237235744060203E-4</v>
      </c>
      <c r="Z245" t="s">
        <v>622</v>
      </c>
      <c r="AA245" t="s">
        <v>25</v>
      </c>
      <c r="AC245" t="s">
        <v>22</v>
      </c>
      <c r="AD245" t="s">
        <v>622</v>
      </c>
      <c r="AE245">
        <v>8.6846451670563853E-5</v>
      </c>
      <c r="AG245" t="s">
        <v>99</v>
      </c>
      <c r="AH245" t="s">
        <v>622</v>
      </c>
      <c r="AI245">
        <v>0</v>
      </c>
    </row>
    <row r="246" spans="5:35" x14ac:dyDescent="0.45">
      <c r="E246" t="s">
        <v>1497</v>
      </c>
      <c r="G246" t="s">
        <v>160</v>
      </c>
      <c r="I246" t="s">
        <v>249</v>
      </c>
      <c r="J246" t="s">
        <v>623</v>
      </c>
      <c r="K246">
        <v>0</v>
      </c>
      <c r="L246" t="s">
        <v>251</v>
      </c>
      <c r="N246" t="s">
        <v>419</v>
      </c>
      <c r="O246" t="s">
        <v>623</v>
      </c>
      <c r="P246">
        <v>3.597427121552569E-5</v>
      </c>
      <c r="Q246" t="s">
        <v>251</v>
      </c>
      <c r="S246" t="s">
        <v>420</v>
      </c>
      <c r="T246" t="s">
        <v>623</v>
      </c>
      <c r="U246">
        <v>6.429807690388643E-5</v>
      </c>
      <c r="V246" t="s">
        <v>251</v>
      </c>
      <c r="X246">
        <v>1.1415525114155251E-4</v>
      </c>
      <c r="Y246">
        <v>1.5579809230208258E-4</v>
      </c>
      <c r="Z246" t="s">
        <v>623</v>
      </c>
      <c r="AA246" t="s">
        <v>25</v>
      </c>
      <c r="AC246" t="s">
        <v>22</v>
      </c>
      <c r="AD246" t="s">
        <v>623</v>
      </c>
      <c r="AE246">
        <v>9.1629732506790873E-5</v>
      </c>
      <c r="AG246" t="s">
        <v>99</v>
      </c>
      <c r="AH246" t="s">
        <v>623</v>
      </c>
      <c r="AI246">
        <v>0</v>
      </c>
    </row>
    <row r="247" spans="5:35" x14ac:dyDescent="0.45">
      <c r="E247" t="s">
        <v>1498</v>
      </c>
      <c r="G247" t="s">
        <v>160</v>
      </c>
      <c r="I247" t="s">
        <v>249</v>
      </c>
      <c r="J247" t="s">
        <v>624</v>
      </c>
      <c r="K247">
        <v>0</v>
      </c>
      <c r="L247" t="s">
        <v>251</v>
      </c>
      <c r="N247" t="s">
        <v>419</v>
      </c>
      <c r="O247" t="s">
        <v>624</v>
      </c>
      <c r="P247">
        <v>4.3827917386146018E-5</v>
      </c>
      <c r="Q247" t="s">
        <v>251</v>
      </c>
      <c r="S247" t="s">
        <v>420</v>
      </c>
      <c r="T247" t="s">
        <v>624</v>
      </c>
      <c r="U247">
        <v>6.0080371498222193E-5</v>
      </c>
      <c r="V247" t="s">
        <v>251</v>
      </c>
      <c r="X247">
        <v>1.1415525114155251E-4</v>
      </c>
      <c r="Y247">
        <v>1.093901499142282E-4</v>
      </c>
      <c r="Z247" t="s">
        <v>624</v>
      </c>
      <c r="AA247" t="s">
        <v>25</v>
      </c>
      <c r="AC247" t="s">
        <v>22</v>
      </c>
      <c r="AD247" t="s">
        <v>624</v>
      </c>
      <c r="AE247">
        <v>1.0976807640008015E-4</v>
      </c>
      <c r="AG247" t="s">
        <v>99</v>
      </c>
      <c r="AH247" t="s">
        <v>624</v>
      </c>
      <c r="AI247">
        <v>0</v>
      </c>
    </row>
    <row r="248" spans="5:35" x14ac:dyDescent="0.45">
      <c r="E248" t="s">
        <v>1499</v>
      </c>
      <c r="G248" t="s">
        <v>160</v>
      </c>
      <c r="I248" t="s">
        <v>249</v>
      </c>
      <c r="J248" t="s">
        <v>625</v>
      </c>
      <c r="K248">
        <v>0</v>
      </c>
      <c r="L248" t="s">
        <v>251</v>
      </c>
      <c r="N248" t="s">
        <v>419</v>
      </c>
      <c r="O248" t="s">
        <v>625</v>
      </c>
      <c r="P248">
        <v>4.7520183322475729E-5</v>
      </c>
      <c r="Q248" t="s">
        <v>251</v>
      </c>
      <c r="S248" t="s">
        <v>420</v>
      </c>
      <c r="T248" t="s">
        <v>625</v>
      </c>
      <c r="U248">
        <v>5.0372139819090582E-5</v>
      </c>
      <c r="V248" t="s">
        <v>251</v>
      </c>
      <c r="X248">
        <v>1.1415525114155251E-4</v>
      </c>
      <c r="Y248">
        <v>7.9556472664893237E-5</v>
      </c>
      <c r="Z248" t="s">
        <v>625</v>
      </c>
      <c r="AA248" t="s">
        <v>25</v>
      </c>
      <c r="AC248" t="s">
        <v>22</v>
      </c>
      <c r="AD248" t="s">
        <v>625</v>
      </c>
      <c r="AE248">
        <v>1.2981854127522356E-4</v>
      </c>
      <c r="AG248" t="s">
        <v>99</v>
      </c>
      <c r="AH248" t="s">
        <v>625</v>
      </c>
      <c r="AI248">
        <v>0</v>
      </c>
    </row>
    <row r="249" spans="5:35" x14ac:dyDescent="0.45">
      <c r="E249" t="s">
        <v>1500</v>
      </c>
      <c r="G249" t="s">
        <v>160</v>
      </c>
      <c r="I249" t="s">
        <v>249</v>
      </c>
      <c r="J249" t="s">
        <v>626</v>
      </c>
      <c r="K249">
        <v>0</v>
      </c>
      <c r="L249" t="s">
        <v>251</v>
      </c>
      <c r="N249" t="s">
        <v>419</v>
      </c>
      <c r="O249" t="s">
        <v>626</v>
      </c>
      <c r="P249">
        <v>4.4157841581766655E-5</v>
      </c>
      <c r="Q249" t="s">
        <v>251</v>
      </c>
      <c r="S249" t="s">
        <v>420</v>
      </c>
      <c r="T249" t="s">
        <v>626</v>
      </c>
      <c r="U249">
        <v>4.7558686780736096E-5</v>
      </c>
      <c r="V249" t="s">
        <v>251</v>
      </c>
      <c r="X249">
        <v>1.1415525114155251E-4</v>
      </c>
      <c r="Y249">
        <v>5.6352501470966035E-5</v>
      </c>
      <c r="Z249" t="s">
        <v>626</v>
      </c>
      <c r="AA249" t="s">
        <v>25</v>
      </c>
      <c r="AC249" t="s">
        <v>22</v>
      </c>
      <c r="AD249" t="s">
        <v>626</v>
      </c>
      <c r="AE249">
        <v>1.3696665709523904E-4</v>
      </c>
      <c r="AG249" t="s">
        <v>99</v>
      </c>
      <c r="AH249" t="s">
        <v>626</v>
      </c>
      <c r="AI249">
        <v>0</v>
      </c>
    </row>
    <row r="250" spans="5:35" x14ac:dyDescent="0.45">
      <c r="E250" t="s">
        <v>1501</v>
      </c>
      <c r="G250" t="s">
        <v>160</v>
      </c>
      <c r="I250" t="s">
        <v>249</v>
      </c>
      <c r="J250" t="s">
        <v>627</v>
      </c>
      <c r="K250">
        <v>0</v>
      </c>
      <c r="L250" t="s">
        <v>251</v>
      </c>
      <c r="N250" t="s">
        <v>419</v>
      </c>
      <c r="O250" t="s">
        <v>627</v>
      </c>
      <c r="P250">
        <v>4.29419329566179E-5</v>
      </c>
      <c r="Q250" t="s">
        <v>251</v>
      </c>
      <c r="S250" t="s">
        <v>420</v>
      </c>
      <c r="T250" t="s">
        <v>627</v>
      </c>
      <c r="U250">
        <v>4.8612016254802383E-5</v>
      </c>
      <c r="V250" t="s">
        <v>251</v>
      </c>
      <c r="X250">
        <v>1.1415525114155251E-4</v>
      </c>
      <c r="Y250">
        <v>2.9833677249334962E-5</v>
      </c>
      <c r="Z250" t="s">
        <v>627</v>
      </c>
      <c r="AA250" t="s">
        <v>25</v>
      </c>
      <c r="AC250" t="s">
        <v>22</v>
      </c>
      <c r="AD250" t="s">
        <v>627</v>
      </c>
      <c r="AE250">
        <v>1.4573501250112467E-4</v>
      </c>
      <c r="AG250" t="s">
        <v>99</v>
      </c>
      <c r="AH250" t="s">
        <v>627</v>
      </c>
      <c r="AI250">
        <v>0</v>
      </c>
    </row>
    <row r="251" spans="5:35" x14ac:dyDescent="0.45">
      <c r="E251" t="s">
        <v>1502</v>
      </c>
      <c r="G251" t="s">
        <v>160</v>
      </c>
      <c r="I251" t="s">
        <v>249</v>
      </c>
      <c r="J251" t="s">
        <v>1718</v>
      </c>
      <c r="K251">
        <v>0</v>
      </c>
      <c r="L251" t="s">
        <v>251</v>
      </c>
      <c r="N251" t="s">
        <v>419</v>
      </c>
      <c r="O251" t="s">
        <v>1718</v>
      </c>
      <c r="P251">
        <v>4.1122218712673471E-5</v>
      </c>
      <c r="Q251" t="s">
        <v>251</v>
      </c>
      <c r="S251" t="s">
        <v>420</v>
      </c>
      <c r="T251" t="s">
        <v>1718</v>
      </c>
      <c r="U251">
        <v>4.7807127295523113E-5</v>
      </c>
      <c r="V251" t="s">
        <v>251</v>
      </c>
      <c r="X251">
        <v>1.1415525114155251E-4</v>
      </c>
      <c r="Y251">
        <v>2.1546544680075254E-5</v>
      </c>
      <c r="Z251" t="s">
        <v>1718</v>
      </c>
      <c r="AA251" t="s">
        <v>25</v>
      </c>
      <c r="AC251" t="s">
        <v>22</v>
      </c>
      <c r="AD251" t="s">
        <v>1718</v>
      </c>
      <c r="AE251">
        <v>1.4410285938888784E-4</v>
      </c>
      <c r="AG251" t="s">
        <v>99</v>
      </c>
      <c r="AH251" t="s">
        <v>1718</v>
      </c>
      <c r="AI251">
        <v>0</v>
      </c>
    </row>
    <row r="252" spans="5:35" x14ac:dyDescent="0.45">
      <c r="E252" t="s">
        <v>1503</v>
      </c>
      <c r="G252" t="s">
        <v>160</v>
      </c>
      <c r="I252" t="s">
        <v>249</v>
      </c>
      <c r="J252" t="s">
        <v>1719</v>
      </c>
      <c r="K252">
        <v>0</v>
      </c>
      <c r="L252" t="s">
        <v>251</v>
      </c>
      <c r="N252" t="s">
        <v>419</v>
      </c>
      <c r="O252" t="s">
        <v>1719</v>
      </c>
      <c r="P252">
        <v>4.3220911871095068E-5</v>
      </c>
      <c r="Q252" t="s">
        <v>251</v>
      </c>
      <c r="S252" t="s">
        <v>420</v>
      </c>
      <c r="T252" t="s">
        <v>1719</v>
      </c>
      <c r="U252">
        <v>4.5310689265916679E-5</v>
      </c>
      <c r="V252" t="s">
        <v>251</v>
      </c>
      <c r="X252">
        <v>1.1415525114155251E-4</v>
      </c>
      <c r="Y252">
        <v>1.4916838624667481E-5</v>
      </c>
      <c r="Z252" t="s">
        <v>1719</v>
      </c>
      <c r="AA252" t="s">
        <v>25</v>
      </c>
      <c r="AC252" t="s">
        <v>22</v>
      </c>
      <c r="AD252" t="s">
        <v>1719</v>
      </c>
      <c r="AE252">
        <v>1.3834862615377537E-4</v>
      </c>
      <c r="AG252" t="s">
        <v>99</v>
      </c>
      <c r="AH252" t="s">
        <v>1719</v>
      </c>
      <c r="AI252">
        <v>0</v>
      </c>
    </row>
    <row r="253" spans="5:35" x14ac:dyDescent="0.45">
      <c r="E253" t="s">
        <v>1504</v>
      </c>
      <c r="G253" t="s">
        <v>160</v>
      </c>
      <c r="I253" t="s">
        <v>249</v>
      </c>
      <c r="J253" t="s">
        <v>1720</v>
      </c>
      <c r="K253">
        <v>0</v>
      </c>
      <c r="L253" t="s">
        <v>251</v>
      </c>
      <c r="N253" t="s">
        <v>419</v>
      </c>
      <c r="O253" t="s">
        <v>1720</v>
      </c>
      <c r="P253">
        <v>3.949304281524451E-5</v>
      </c>
      <c r="Q253" t="s">
        <v>251</v>
      </c>
      <c r="S253" t="s">
        <v>420</v>
      </c>
      <c r="T253" t="s">
        <v>1720</v>
      </c>
      <c r="U253">
        <v>5.0512477117798808E-5</v>
      </c>
      <c r="V253" t="s">
        <v>251</v>
      </c>
      <c r="X253">
        <v>1.1415525114155251E-4</v>
      </c>
      <c r="Y253">
        <v>1.6574265138519424E-5</v>
      </c>
      <c r="Z253" t="s">
        <v>1720</v>
      </c>
      <c r="AA253" t="s">
        <v>25</v>
      </c>
      <c r="AC253" t="s">
        <v>22</v>
      </c>
      <c r="AD253" t="s">
        <v>1720</v>
      </c>
      <c r="AE253">
        <v>1.3702622472707251E-4</v>
      </c>
      <c r="AG253" t="s">
        <v>99</v>
      </c>
      <c r="AH253" t="s">
        <v>1720</v>
      </c>
      <c r="AI253">
        <v>0</v>
      </c>
    </row>
    <row r="254" spans="5:35" x14ac:dyDescent="0.45">
      <c r="E254" t="s">
        <v>1505</v>
      </c>
      <c r="G254" t="s">
        <v>160</v>
      </c>
      <c r="I254" t="s">
        <v>249</v>
      </c>
      <c r="J254" t="s">
        <v>1721</v>
      </c>
      <c r="K254">
        <v>0</v>
      </c>
      <c r="L254" t="s">
        <v>251</v>
      </c>
      <c r="N254" t="s">
        <v>419</v>
      </c>
      <c r="O254" t="s">
        <v>1721</v>
      </c>
      <c r="P254">
        <v>3.8103936876243459E-5</v>
      </c>
      <c r="Q254" t="s">
        <v>251</v>
      </c>
      <c r="S254" t="s">
        <v>420</v>
      </c>
      <c r="T254" t="s">
        <v>1721</v>
      </c>
      <c r="U254">
        <v>5.7045147072007242E-5</v>
      </c>
      <c r="V254" t="s">
        <v>251</v>
      </c>
      <c r="X254">
        <v>1.1415525114155251E-4</v>
      </c>
      <c r="Y254">
        <v>1.4585353321897093E-5</v>
      </c>
      <c r="Z254" t="s">
        <v>1721</v>
      </c>
      <c r="AA254" t="s">
        <v>25</v>
      </c>
      <c r="AC254" t="s">
        <v>22</v>
      </c>
      <c r="AD254" t="s">
        <v>1721</v>
      </c>
      <c r="AE254">
        <v>1.3762785780859047E-4</v>
      </c>
      <c r="AG254" t="s">
        <v>99</v>
      </c>
      <c r="AH254" t="s">
        <v>1721</v>
      </c>
      <c r="AI254">
        <v>0</v>
      </c>
    </row>
    <row r="255" spans="5:35" x14ac:dyDescent="0.45">
      <c r="E255" t="s">
        <v>1506</v>
      </c>
      <c r="G255" t="s">
        <v>160</v>
      </c>
      <c r="I255" t="s">
        <v>249</v>
      </c>
      <c r="J255" t="s">
        <v>1722</v>
      </c>
      <c r="K255">
        <v>0</v>
      </c>
      <c r="L255" t="s">
        <v>251</v>
      </c>
      <c r="N255" t="s">
        <v>419</v>
      </c>
      <c r="O255" t="s">
        <v>1722</v>
      </c>
      <c r="P255">
        <v>3.7780151692748011E-5</v>
      </c>
      <c r="Q255" t="s">
        <v>251</v>
      </c>
      <c r="S255" t="s">
        <v>420</v>
      </c>
      <c r="T255" t="s">
        <v>1722</v>
      </c>
      <c r="U255">
        <v>5.8887528098371769E-5</v>
      </c>
      <c r="V255" t="s">
        <v>251</v>
      </c>
      <c r="X255">
        <v>1.1415525114155251E-4</v>
      </c>
      <c r="Y255">
        <v>2.1215059377304864E-5</v>
      </c>
      <c r="Z255" t="s">
        <v>1722</v>
      </c>
      <c r="AA255" t="s">
        <v>25</v>
      </c>
      <c r="AC255" t="s">
        <v>22</v>
      </c>
      <c r="AD255" t="s">
        <v>1722</v>
      </c>
      <c r="AE255">
        <v>1.3550725011531921E-4</v>
      </c>
      <c r="AG255" t="s">
        <v>99</v>
      </c>
      <c r="AH255" t="s">
        <v>1722</v>
      </c>
      <c r="AI255">
        <v>0</v>
      </c>
    </row>
    <row r="256" spans="5:35" x14ac:dyDescent="0.45">
      <c r="E256" t="s">
        <v>1507</v>
      </c>
      <c r="G256" t="s">
        <v>160</v>
      </c>
      <c r="I256" t="s">
        <v>249</v>
      </c>
      <c r="J256" t="s">
        <v>1723</v>
      </c>
      <c r="K256">
        <v>0</v>
      </c>
      <c r="L256" t="s">
        <v>251</v>
      </c>
      <c r="N256" t="s">
        <v>419</v>
      </c>
      <c r="O256" t="s">
        <v>1723</v>
      </c>
      <c r="P256">
        <v>3.6075678407828953E-5</v>
      </c>
      <c r="Q256" t="s">
        <v>251</v>
      </c>
      <c r="S256" t="s">
        <v>420</v>
      </c>
      <c r="T256" t="s">
        <v>1723</v>
      </c>
      <c r="U256">
        <v>5.4642804845801242E-5</v>
      </c>
      <c r="V256" t="s">
        <v>251</v>
      </c>
      <c r="X256">
        <v>1.1415525114155251E-4</v>
      </c>
      <c r="Y256">
        <v>5.7678442682047593E-5</v>
      </c>
      <c r="Z256" t="s">
        <v>1723</v>
      </c>
      <c r="AA256" t="s">
        <v>25</v>
      </c>
      <c r="AC256" t="s">
        <v>22</v>
      </c>
      <c r="AD256" t="s">
        <v>1723</v>
      </c>
      <c r="AE256">
        <v>1.3550725011531921E-4</v>
      </c>
      <c r="AG256" t="s">
        <v>99</v>
      </c>
      <c r="AH256" t="s">
        <v>1723</v>
      </c>
      <c r="AI256">
        <v>0</v>
      </c>
    </row>
    <row r="257" spans="5:35" x14ac:dyDescent="0.45">
      <c r="E257" t="s">
        <v>1508</v>
      </c>
      <c r="G257" t="s">
        <v>160</v>
      </c>
      <c r="I257" t="s">
        <v>249</v>
      </c>
      <c r="J257" t="s">
        <v>1724</v>
      </c>
      <c r="K257">
        <v>0</v>
      </c>
      <c r="L257" t="s">
        <v>251</v>
      </c>
      <c r="N257" t="s">
        <v>419</v>
      </c>
      <c r="O257" t="s">
        <v>1724</v>
      </c>
      <c r="P257">
        <v>3.6469369479089162E-5</v>
      </c>
      <c r="Q257" t="s">
        <v>251</v>
      </c>
      <c r="S257" t="s">
        <v>420</v>
      </c>
      <c r="T257" t="s">
        <v>1724</v>
      </c>
      <c r="U257">
        <v>5.192535878506376E-5</v>
      </c>
      <c r="V257" t="s">
        <v>251</v>
      </c>
      <c r="X257">
        <v>1.1415525114155251E-4</v>
      </c>
      <c r="Y257">
        <v>1.6905750441289813E-4</v>
      </c>
      <c r="Z257" t="s">
        <v>1724</v>
      </c>
      <c r="AA257" t="s">
        <v>25</v>
      </c>
      <c r="AC257" t="s">
        <v>22</v>
      </c>
      <c r="AD257" t="s">
        <v>1724</v>
      </c>
      <c r="AE257">
        <v>1.3705005177980589E-4</v>
      </c>
      <c r="AG257" t="s">
        <v>99</v>
      </c>
      <c r="AH257" t="s">
        <v>1724</v>
      </c>
      <c r="AI257">
        <v>0</v>
      </c>
    </row>
    <row r="258" spans="5:35" x14ac:dyDescent="0.45">
      <c r="E258" t="s">
        <v>1509</v>
      </c>
      <c r="G258" t="s">
        <v>160</v>
      </c>
      <c r="I258" t="s">
        <v>249</v>
      </c>
      <c r="J258" t="s">
        <v>1725</v>
      </c>
      <c r="K258">
        <v>2.1658925679316363E-5</v>
      </c>
      <c r="L258" t="s">
        <v>251</v>
      </c>
      <c r="N258" t="s">
        <v>419</v>
      </c>
      <c r="O258" t="s">
        <v>1725</v>
      </c>
      <c r="P258">
        <v>4.2895571488441858E-5</v>
      </c>
      <c r="Q258" t="s">
        <v>251</v>
      </c>
      <c r="S258" t="s">
        <v>420</v>
      </c>
      <c r="T258" t="s">
        <v>1725</v>
      </c>
      <c r="U258">
        <v>5.0830525561069253E-5</v>
      </c>
      <c r="V258" t="s">
        <v>251</v>
      </c>
      <c r="X258">
        <v>1.1415525114155251E-4</v>
      </c>
      <c r="Y258">
        <v>1.9060404909297337E-4</v>
      </c>
      <c r="Z258" t="s">
        <v>1725</v>
      </c>
      <c r="AA258" t="s">
        <v>25</v>
      </c>
      <c r="AC258" t="s">
        <v>22</v>
      </c>
      <c r="AD258" t="s">
        <v>1725</v>
      </c>
      <c r="AE258">
        <v>1.4951160035936618E-4</v>
      </c>
      <c r="AG258" t="s">
        <v>99</v>
      </c>
      <c r="AH258" t="s">
        <v>1725</v>
      </c>
      <c r="AI258">
        <v>0</v>
      </c>
    </row>
    <row r="259" spans="5:35" x14ac:dyDescent="0.45">
      <c r="E259" t="s">
        <v>1510</v>
      </c>
      <c r="G259" t="s">
        <v>160</v>
      </c>
      <c r="I259" t="s">
        <v>249</v>
      </c>
      <c r="J259" t="s">
        <v>1726</v>
      </c>
      <c r="K259">
        <v>1.3705778556220001E-4</v>
      </c>
      <c r="L259" t="s">
        <v>251</v>
      </c>
      <c r="N259" t="s">
        <v>419</v>
      </c>
      <c r="O259" t="s">
        <v>1726</v>
      </c>
      <c r="P259">
        <v>4.083043025417803E-5</v>
      </c>
      <c r="Q259" t="s">
        <v>251</v>
      </c>
      <c r="S259" t="s">
        <v>420</v>
      </c>
      <c r="T259" t="s">
        <v>1726</v>
      </c>
      <c r="U259">
        <v>5.1797851295484266E-5</v>
      </c>
      <c r="V259" t="s">
        <v>251</v>
      </c>
      <c r="X259">
        <v>1.1415525114155251E-4</v>
      </c>
      <c r="Y259">
        <v>1.4585353321897094E-4</v>
      </c>
      <c r="Z259" t="s">
        <v>1726</v>
      </c>
      <c r="AA259" t="s">
        <v>25</v>
      </c>
      <c r="AC259" t="s">
        <v>22</v>
      </c>
      <c r="AD259" t="s">
        <v>1726</v>
      </c>
      <c r="AE259">
        <v>1.567014135216651E-4</v>
      </c>
      <c r="AG259" t="s">
        <v>99</v>
      </c>
      <c r="AH259" t="s">
        <v>1726</v>
      </c>
      <c r="AI259">
        <v>0</v>
      </c>
    </row>
    <row r="260" spans="5:35" x14ac:dyDescent="0.45">
      <c r="E260" t="s">
        <v>1511</v>
      </c>
      <c r="G260" t="s">
        <v>160</v>
      </c>
      <c r="I260" t="s">
        <v>249</v>
      </c>
      <c r="J260" t="s">
        <v>1727</v>
      </c>
      <c r="K260">
        <v>1.6685537693250001E-4</v>
      </c>
      <c r="L260" t="s">
        <v>251</v>
      </c>
      <c r="N260" t="s">
        <v>419</v>
      </c>
      <c r="O260" t="s">
        <v>1727</v>
      </c>
      <c r="P260">
        <v>2.4511081100648579E-5</v>
      </c>
      <c r="Q260" t="s">
        <v>251</v>
      </c>
      <c r="S260" t="s">
        <v>420</v>
      </c>
      <c r="T260" t="s">
        <v>1727</v>
      </c>
      <c r="U260">
        <v>4.4545894961141309E-5</v>
      </c>
      <c r="V260" t="s">
        <v>251</v>
      </c>
      <c r="X260">
        <v>1.1415525114155251E-4</v>
      </c>
      <c r="Y260">
        <v>1.4452759200788939E-4</v>
      </c>
      <c r="Z260" t="s">
        <v>1727</v>
      </c>
      <c r="AA260" t="s">
        <v>25</v>
      </c>
      <c r="AC260" t="s">
        <v>22</v>
      </c>
      <c r="AD260" t="s">
        <v>1727</v>
      </c>
      <c r="AE260">
        <v>1.5763662534145048E-4</v>
      </c>
      <c r="AG260" t="s">
        <v>99</v>
      </c>
      <c r="AH260" t="s">
        <v>1727</v>
      </c>
      <c r="AI260">
        <v>0</v>
      </c>
    </row>
    <row r="261" spans="5:35" x14ac:dyDescent="0.45">
      <c r="E261" t="s">
        <v>1512</v>
      </c>
      <c r="G261" t="s">
        <v>160</v>
      </c>
      <c r="I261" t="s">
        <v>249</v>
      </c>
      <c r="J261" t="s">
        <v>1728</v>
      </c>
      <c r="K261">
        <v>1.75633146418E-4</v>
      </c>
      <c r="L261" t="s">
        <v>251</v>
      </c>
      <c r="N261" t="s">
        <v>419</v>
      </c>
      <c r="O261" t="s">
        <v>1728</v>
      </c>
      <c r="P261">
        <v>1.5987504571706832E-5</v>
      </c>
      <c r="Q261" t="s">
        <v>251</v>
      </c>
      <c r="S261" t="s">
        <v>420</v>
      </c>
      <c r="T261" t="s">
        <v>1728</v>
      </c>
      <c r="U261">
        <v>3.2307900684487863E-5</v>
      </c>
      <c r="V261" t="s">
        <v>251</v>
      </c>
      <c r="X261">
        <v>1.1415525114155251E-4</v>
      </c>
      <c r="Y261">
        <v>1.408812536774151E-4</v>
      </c>
      <c r="Z261" t="s">
        <v>1728</v>
      </c>
      <c r="AA261" t="s">
        <v>25</v>
      </c>
      <c r="AC261" t="s">
        <v>22</v>
      </c>
      <c r="AD261" t="s">
        <v>1728</v>
      </c>
      <c r="AE261">
        <v>1.64183108079948E-4</v>
      </c>
      <c r="AG261" t="s">
        <v>99</v>
      </c>
      <c r="AH261" t="s">
        <v>1728</v>
      </c>
      <c r="AI261">
        <v>0</v>
      </c>
    </row>
    <row r="262" spans="5:35" x14ac:dyDescent="0.45">
      <c r="E262" t="s">
        <v>1513</v>
      </c>
      <c r="G262" t="s">
        <v>160</v>
      </c>
      <c r="I262" t="s">
        <v>249</v>
      </c>
      <c r="J262" t="s">
        <v>1729</v>
      </c>
      <c r="K262">
        <v>1.9578673988760001E-4</v>
      </c>
      <c r="L262" t="s">
        <v>251</v>
      </c>
      <c r="N262" t="s">
        <v>419</v>
      </c>
      <c r="O262" t="s">
        <v>1729</v>
      </c>
      <c r="P262">
        <v>1.6797262791753346E-5</v>
      </c>
      <c r="Q262" t="s">
        <v>251</v>
      </c>
      <c r="S262" t="s">
        <v>420</v>
      </c>
      <c r="T262" t="s">
        <v>1729</v>
      </c>
      <c r="U262">
        <v>2.207877248065654E-5</v>
      </c>
      <c r="V262" t="s">
        <v>251</v>
      </c>
      <c r="X262">
        <v>1.1415525114155251E-4</v>
      </c>
      <c r="Y262">
        <v>1.4054976837464471E-4</v>
      </c>
      <c r="Z262" t="s">
        <v>1729</v>
      </c>
      <c r="AA262" t="s">
        <v>25</v>
      </c>
      <c r="AC262" t="s">
        <v>22</v>
      </c>
      <c r="AD262" t="s">
        <v>1729</v>
      </c>
      <c r="AE262">
        <v>1.5783915528968422E-4</v>
      </c>
      <c r="AG262" t="s">
        <v>99</v>
      </c>
      <c r="AH262" t="s">
        <v>1729</v>
      </c>
      <c r="AI262">
        <v>0</v>
      </c>
    </row>
    <row r="263" spans="5:35" x14ac:dyDescent="0.45">
      <c r="E263" t="s">
        <v>1514</v>
      </c>
      <c r="G263" t="s">
        <v>160</v>
      </c>
      <c r="I263" t="s">
        <v>249</v>
      </c>
      <c r="J263" t="s">
        <v>1730</v>
      </c>
      <c r="K263">
        <v>2.2341932673050001E-4</v>
      </c>
      <c r="L263" t="s">
        <v>251</v>
      </c>
      <c r="N263" t="s">
        <v>419</v>
      </c>
      <c r="O263" t="s">
        <v>1730</v>
      </c>
      <c r="P263">
        <v>1.8379908477818867E-5</v>
      </c>
      <c r="Q263" t="s">
        <v>251</v>
      </c>
      <c r="S263" t="s">
        <v>420</v>
      </c>
      <c r="T263" t="s">
        <v>1730</v>
      </c>
      <c r="U263">
        <v>1.4503412263185931E-5</v>
      </c>
      <c r="V263" t="s">
        <v>251</v>
      </c>
      <c r="X263">
        <v>1.1415525114155251E-4</v>
      </c>
      <c r="Y263">
        <v>1.4253868019126702E-4</v>
      </c>
      <c r="Z263" t="s">
        <v>1730</v>
      </c>
      <c r="AA263" t="s">
        <v>25</v>
      </c>
      <c r="AC263" t="s">
        <v>22</v>
      </c>
      <c r="AD263" t="s">
        <v>1730</v>
      </c>
      <c r="AE263">
        <v>1.4293533380495195E-4</v>
      </c>
      <c r="AG263" t="s">
        <v>99</v>
      </c>
      <c r="AH263" t="s">
        <v>1730</v>
      </c>
      <c r="AI263">
        <v>0</v>
      </c>
    </row>
    <row r="264" spans="5:35" x14ac:dyDescent="0.45">
      <c r="E264" t="s">
        <v>1515</v>
      </c>
      <c r="G264" t="s">
        <v>160</v>
      </c>
      <c r="I264" t="s">
        <v>249</v>
      </c>
      <c r="J264" t="s">
        <v>1731</v>
      </c>
      <c r="K264">
        <v>2.1206839703810001E-4</v>
      </c>
      <c r="L264" t="s">
        <v>251</v>
      </c>
      <c r="N264" t="s">
        <v>419</v>
      </c>
      <c r="O264" t="s">
        <v>1731</v>
      </c>
      <c r="P264">
        <v>1.6039815172594591E-5</v>
      </c>
      <c r="Q264" t="s">
        <v>251</v>
      </c>
      <c r="S264" t="s">
        <v>420</v>
      </c>
      <c r="T264" t="s">
        <v>1731</v>
      </c>
      <c r="U264">
        <v>9.8910684180253708E-6</v>
      </c>
      <c r="V264" t="s">
        <v>251</v>
      </c>
      <c r="X264">
        <v>1.1415525114155251E-4</v>
      </c>
      <c r="Y264">
        <v>1.4883690094390442E-4</v>
      </c>
      <c r="Z264" t="s">
        <v>1731</v>
      </c>
      <c r="AA264" t="s">
        <v>25</v>
      </c>
      <c r="AC264" t="s">
        <v>22</v>
      </c>
      <c r="AD264" t="s">
        <v>1731</v>
      </c>
      <c r="AE264">
        <v>1.2511269836038005E-4</v>
      </c>
      <c r="AG264" t="s">
        <v>99</v>
      </c>
      <c r="AH264" t="s">
        <v>1731</v>
      </c>
      <c r="AI264">
        <v>0</v>
      </c>
    </row>
    <row r="265" spans="5:35" x14ac:dyDescent="0.45">
      <c r="E265" t="s">
        <v>1516</v>
      </c>
      <c r="G265" t="s">
        <v>160</v>
      </c>
      <c r="I265" t="s">
        <v>249</v>
      </c>
      <c r="J265" t="s">
        <v>1732</v>
      </c>
      <c r="K265">
        <v>1.7770079322379999E-4</v>
      </c>
      <c r="L265" t="s">
        <v>251</v>
      </c>
      <c r="N265" t="s">
        <v>419</v>
      </c>
      <c r="O265" t="s">
        <v>1732</v>
      </c>
      <c r="P265">
        <v>1.4859443221103078E-5</v>
      </c>
      <c r="Q265" t="s">
        <v>251</v>
      </c>
      <c r="S265" t="s">
        <v>420</v>
      </c>
      <c r="T265" t="s">
        <v>1732</v>
      </c>
      <c r="U265">
        <v>7.8781175011083388E-6</v>
      </c>
      <c r="V265" t="s">
        <v>251</v>
      </c>
      <c r="X265">
        <v>1.1415525114155251E-4</v>
      </c>
      <c r="Y265">
        <v>1.5049432745775637E-4</v>
      </c>
      <c r="Z265" t="s">
        <v>1732</v>
      </c>
      <c r="AA265" t="s">
        <v>25</v>
      </c>
      <c r="AC265" t="s">
        <v>22</v>
      </c>
      <c r="AD265" t="s">
        <v>1732</v>
      </c>
      <c r="AE265">
        <v>1.1322299904642097E-4</v>
      </c>
      <c r="AG265" t="s">
        <v>99</v>
      </c>
      <c r="AH265" t="s">
        <v>1732</v>
      </c>
      <c r="AI265">
        <v>0</v>
      </c>
    </row>
    <row r="266" spans="5:35" x14ac:dyDescent="0.45">
      <c r="E266" t="s">
        <v>1517</v>
      </c>
      <c r="G266" t="s">
        <v>160</v>
      </c>
      <c r="I266" t="s">
        <v>249</v>
      </c>
      <c r="J266" t="s">
        <v>1733</v>
      </c>
      <c r="K266">
        <v>1.574679496692E-4</v>
      </c>
      <c r="L266" t="s">
        <v>251</v>
      </c>
      <c r="N266" t="s">
        <v>419</v>
      </c>
      <c r="O266" t="s">
        <v>1733</v>
      </c>
      <c r="P266">
        <v>1.642397964409213E-5</v>
      </c>
      <c r="Q266" t="s">
        <v>251</v>
      </c>
      <c r="S266" t="s">
        <v>420</v>
      </c>
      <c r="T266" t="s">
        <v>1733</v>
      </c>
      <c r="U266">
        <v>6.7944200738767536E-6</v>
      </c>
      <c r="V266" t="s">
        <v>251</v>
      </c>
      <c r="X266">
        <v>1.1415525114155251E-4</v>
      </c>
      <c r="Y266">
        <v>1.7237235744060203E-4</v>
      </c>
      <c r="Z266" t="s">
        <v>1733</v>
      </c>
      <c r="AA266" t="s">
        <v>25</v>
      </c>
      <c r="AC266" t="s">
        <v>22</v>
      </c>
      <c r="AD266" t="s">
        <v>1733</v>
      </c>
      <c r="AE266">
        <v>9.1278283478973438E-5</v>
      </c>
      <c r="AG266" t="s">
        <v>99</v>
      </c>
      <c r="AH266" t="s">
        <v>1733</v>
      </c>
      <c r="AI266">
        <v>0</v>
      </c>
    </row>
    <row r="267" spans="5:35" x14ac:dyDescent="0.45">
      <c r="E267" t="s">
        <v>1518</v>
      </c>
      <c r="G267" t="s">
        <v>160</v>
      </c>
      <c r="I267" t="s">
        <v>249</v>
      </c>
      <c r="J267" t="s">
        <v>1734</v>
      </c>
      <c r="K267">
        <v>1.3349860428850001E-4</v>
      </c>
      <c r="L267" t="s">
        <v>251</v>
      </c>
      <c r="N267" t="s">
        <v>419</v>
      </c>
      <c r="O267" t="s">
        <v>1734</v>
      </c>
      <c r="P267">
        <v>1.9240069822603271E-5</v>
      </c>
      <c r="Q267" t="s">
        <v>251</v>
      </c>
      <c r="S267" t="s">
        <v>420</v>
      </c>
      <c r="T267" t="s">
        <v>1734</v>
      </c>
      <c r="U267">
        <v>6.4609944474195781E-6</v>
      </c>
      <c r="V267" t="s">
        <v>251</v>
      </c>
      <c r="X267">
        <v>1.1415525114155251E-4</v>
      </c>
      <c r="Y267">
        <v>2.2209515285616027E-4</v>
      </c>
      <c r="Z267" t="s">
        <v>1734</v>
      </c>
      <c r="AA267" t="s">
        <v>25</v>
      </c>
      <c r="AC267" t="s">
        <v>22</v>
      </c>
      <c r="AD267" t="s">
        <v>1734</v>
      </c>
      <c r="AE267">
        <v>8.8597740046467648E-5</v>
      </c>
      <c r="AG267" t="s">
        <v>99</v>
      </c>
      <c r="AH267" t="s">
        <v>1734</v>
      </c>
      <c r="AI267">
        <v>0</v>
      </c>
    </row>
    <row r="268" spans="5:35" x14ac:dyDescent="0.45">
      <c r="E268" t="s">
        <v>1519</v>
      </c>
      <c r="G268" t="s">
        <v>160</v>
      </c>
      <c r="I268" t="s">
        <v>249</v>
      </c>
      <c r="J268" t="s">
        <v>1735</v>
      </c>
      <c r="K268">
        <v>1.01668127485E-4</v>
      </c>
      <c r="L268" t="s">
        <v>251</v>
      </c>
      <c r="N268" t="s">
        <v>419</v>
      </c>
      <c r="O268" t="s">
        <v>1735</v>
      </c>
      <c r="P268">
        <v>2.2879368847890144E-5</v>
      </c>
      <c r="Q268" t="s">
        <v>251</v>
      </c>
      <c r="S268" t="s">
        <v>420</v>
      </c>
      <c r="T268" t="s">
        <v>1735</v>
      </c>
      <c r="U268">
        <v>6.302349727190498E-6</v>
      </c>
      <c r="V268" t="s">
        <v>251</v>
      </c>
      <c r="X268">
        <v>1.1415525114155251E-4</v>
      </c>
      <c r="Y268">
        <v>2.2209515285616027E-4</v>
      </c>
      <c r="Z268" t="s">
        <v>1735</v>
      </c>
      <c r="AA268" t="s">
        <v>25</v>
      </c>
      <c r="AC268" t="s">
        <v>22</v>
      </c>
      <c r="AD268" t="s">
        <v>1735</v>
      </c>
      <c r="AE268">
        <v>8.5631271981161219E-5</v>
      </c>
      <c r="AG268" t="s">
        <v>99</v>
      </c>
      <c r="AH268" t="s">
        <v>1735</v>
      </c>
      <c r="AI268">
        <v>0</v>
      </c>
    </row>
    <row r="269" spans="5:35" x14ac:dyDescent="0.45">
      <c r="E269" t="s">
        <v>1520</v>
      </c>
      <c r="G269" t="s">
        <v>160</v>
      </c>
      <c r="I269" t="s">
        <v>249</v>
      </c>
      <c r="J269" t="s">
        <v>1736</v>
      </c>
      <c r="K269">
        <v>1.2214423213043898E-5</v>
      </c>
      <c r="L269" t="s">
        <v>251</v>
      </c>
      <c r="N269" t="s">
        <v>419</v>
      </c>
      <c r="O269" t="s">
        <v>1736</v>
      </c>
      <c r="P269">
        <v>3.4284713007263466E-5</v>
      </c>
      <c r="Q269" t="s">
        <v>251</v>
      </c>
      <c r="S269" t="s">
        <v>420</v>
      </c>
      <c r="T269" t="s">
        <v>1736</v>
      </c>
      <c r="U269">
        <v>5.5226020969172192E-6</v>
      </c>
      <c r="V269" t="s">
        <v>251</v>
      </c>
      <c r="X269">
        <v>1.1415525114155251E-4</v>
      </c>
      <c r="Y269">
        <v>1.7237235744060203E-4</v>
      </c>
      <c r="Z269" t="s">
        <v>1736</v>
      </c>
      <c r="AA269" t="s">
        <v>25</v>
      </c>
      <c r="AC269" t="s">
        <v>22</v>
      </c>
      <c r="AD269" t="s">
        <v>1736</v>
      </c>
      <c r="AE269">
        <v>8.822246396591683E-5</v>
      </c>
      <c r="AG269" t="s">
        <v>99</v>
      </c>
      <c r="AH269" t="s">
        <v>1736</v>
      </c>
      <c r="AI269">
        <v>0</v>
      </c>
    </row>
    <row r="270" spans="5:35" x14ac:dyDescent="0.45">
      <c r="E270" t="s">
        <v>1521</v>
      </c>
      <c r="G270" t="s">
        <v>160</v>
      </c>
      <c r="I270" t="s">
        <v>249</v>
      </c>
      <c r="J270" t="s">
        <v>1737</v>
      </c>
      <c r="K270">
        <v>0</v>
      </c>
      <c r="L270" t="s">
        <v>251</v>
      </c>
      <c r="N270" t="s">
        <v>419</v>
      </c>
      <c r="O270" t="s">
        <v>1737</v>
      </c>
      <c r="P270">
        <v>4.3932308368866553E-5</v>
      </c>
      <c r="Q270" t="s">
        <v>251</v>
      </c>
      <c r="S270" t="s">
        <v>420</v>
      </c>
      <c r="T270" t="s">
        <v>1737</v>
      </c>
      <c r="U270">
        <v>4.5695537873327243E-6</v>
      </c>
      <c r="V270" t="s">
        <v>251</v>
      </c>
      <c r="X270">
        <v>1.1415525114155251E-4</v>
      </c>
      <c r="Y270">
        <v>1.5579809230208258E-4</v>
      </c>
      <c r="Z270" t="s">
        <v>1737</v>
      </c>
      <c r="AA270" t="s">
        <v>25</v>
      </c>
      <c r="AC270" t="s">
        <v>22</v>
      </c>
      <c r="AD270" t="s">
        <v>1737</v>
      </c>
      <c r="AE270">
        <v>9.2886609538476934E-5</v>
      </c>
      <c r="AG270" t="s">
        <v>99</v>
      </c>
      <c r="AH270" t="s">
        <v>1737</v>
      </c>
      <c r="AI270">
        <v>0</v>
      </c>
    </row>
    <row r="271" spans="5:35" x14ac:dyDescent="0.45">
      <c r="E271" t="s">
        <v>1522</v>
      </c>
      <c r="G271" t="s">
        <v>160</v>
      </c>
      <c r="I271" t="s">
        <v>249</v>
      </c>
      <c r="J271" t="s">
        <v>1738</v>
      </c>
      <c r="K271">
        <v>0</v>
      </c>
      <c r="L271" t="s">
        <v>251</v>
      </c>
      <c r="N271" t="s">
        <v>419</v>
      </c>
      <c r="O271" t="s">
        <v>1738</v>
      </c>
      <c r="P271">
        <v>4.8597326155547417E-5</v>
      </c>
      <c r="Q271" t="s">
        <v>251</v>
      </c>
      <c r="S271" t="s">
        <v>420</v>
      </c>
      <c r="T271" t="s">
        <v>1738</v>
      </c>
      <c r="U271">
        <v>4.6198293208580247E-6</v>
      </c>
      <c r="V271" t="s">
        <v>251</v>
      </c>
      <c r="X271">
        <v>1.1415525114155251E-4</v>
      </c>
      <c r="Y271">
        <v>1.093901499142282E-4</v>
      </c>
      <c r="Z271" t="s">
        <v>1738</v>
      </c>
      <c r="AA271" t="s">
        <v>25</v>
      </c>
      <c r="AC271" t="s">
        <v>22</v>
      </c>
      <c r="AD271" t="s">
        <v>1738</v>
      </c>
      <c r="AE271">
        <v>1.1156701888145072E-4</v>
      </c>
      <c r="AG271" t="s">
        <v>99</v>
      </c>
      <c r="AH271" t="s">
        <v>1738</v>
      </c>
      <c r="AI271">
        <v>0</v>
      </c>
    </row>
    <row r="272" spans="5:35" x14ac:dyDescent="0.45">
      <c r="E272" t="s">
        <v>1523</v>
      </c>
      <c r="G272" t="s">
        <v>160</v>
      </c>
      <c r="I272" t="s">
        <v>249</v>
      </c>
      <c r="J272" t="s">
        <v>1739</v>
      </c>
      <c r="K272">
        <v>0</v>
      </c>
      <c r="L272" t="s">
        <v>251</v>
      </c>
      <c r="N272" t="s">
        <v>419</v>
      </c>
      <c r="O272" t="s">
        <v>1739</v>
      </c>
      <c r="P272">
        <v>5.2704093487827508E-5</v>
      </c>
      <c r="Q272" t="s">
        <v>251</v>
      </c>
      <c r="S272" t="s">
        <v>420</v>
      </c>
      <c r="T272" t="s">
        <v>1739</v>
      </c>
      <c r="U272">
        <v>3.301252054198381E-6</v>
      </c>
      <c r="V272" t="s">
        <v>251</v>
      </c>
      <c r="X272">
        <v>1.1415525114155251E-4</v>
      </c>
      <c r="Y272">
        <v>7.9556472664893237E-5</v>
      </c>
      <c r="Z272" t="s">
        <v>1739</v>
      </c>
      <c r="AA272" t="s">
        <v>25</v>
      </c>
      <c r="AC272" t="s">
        <v>22</v>
      </c>
      <c r="AD272" t="s">
        <v>1739</v>
      </c>
      <c r="AE272">
        <v>1.3087884512185918E-4</v>
      </c>
      <c r="AG272" t="s">
        <v>99</v>
      </c>
      <c r="AH272" t="s">
        <v>1739</v>
      </c>
      <c r="AI272">
        <v>0</v>
      </c>
    </row>
    <row r="273" spans="5:35" x14ac:dyDescent="0.45">
      <c r="E273" t="s">
        <v>1524</v>
      </c>
      <c r="G273" t="s">
        <v>160</v>
      </c>
      <c r="I273" t="s">
        <v>249</v>
      </c>
      <c r="J273" t="s">
        <v>1740</v>
      </c>
      <c r="K273">
        <v>0</v>
      </c>
      <c r="L273" t="s">
        <v>251</v>
      </c>
      <c r="N273" t="s">
        <v>419</v>
      </c>
      <c r="O273" t="s">
        <v>1740</v>
      </c>
      <c r="P273">
        <v>5.8243209360562691E-5</v>
      </c>
      <c r="Q273" t="s">
        <v>251</v>
      </c>
      <c r="S273" t="s">
        <v>420</v>
      </c>
      <c r="T273" t="s">
        <v>1740</v>
      </c>
      <c r="U273">
        <v>3.2004673842039299E-6</v>
      </c>
      <c r="V273" t="s">
        <v>251</v>
      </c>
      <c r="X273">
        <v>1.1415525114155251E-4</v>
      </c>
      <c r="Y273">
        <v>5.6352501470966035E-5</v>
      </c>
      <c r="Z273" t="s">
        <v>1740</v>
      </c>
      <c r="AA273" t="s">
        <v>25</v>
      </c>
      <c r="AC273" t="s">
        <v>22</v>
      </c>
      <c r="AD273" t="s">
        <v>1740</v>
      </c>
      <c r="AE273">
        <v>1.3901578363031015E-4</v>
      </c>
      <c r="AG273" t="s">
        <v>99</v>
      </c>
      <c r="AH273" t="s">
        <v>1740</v>
      </c>
      <c r="AI273">
        <v>0</v>
      </c>
    </row>
    <row r="274" spans="5:35" x14ac:dyDescent="0.45">
      <c r="E274" t="s">
        <v>1525</v>
      </c>
      <c r="G274" t="s">
        <v>160</v>
      </c>
      <c r="I274" t="s">
        <v>249</v>
      </c>
      <c r="J274" t="s">
        <v>1741</v>
      </c>
      <c r="K274">
        <v>0</v>
      </c>
      <c r="L274" t="s">
        <v>251</v>
      </c>
      <c r="N274" t="s">
        <v>419</v>
      </c>
      <c r="O274" t="s">
        <v>1741</v>
      </c>
      <c r="P274">
        <v>6.6488378560715901E-5</v>
      </c>
      <c r="Q274" t="s">
        <v>251</v>
      </c>
      <c r="S274" t="s">
        <v>420</v>
      </c>
      <c r="T274" t="s">
        <v>1741</v>
      </c>
      <c r="U274">
        <v>3.4958550400416103E-6</v>
      </c>
      <c r="V274" t="s">
        <v>251</v>
      </c>
      <c r="X274">
        <v>1.1415525114155251E-4</v>
      </c>
      <c r="Y274">
        <v>2.9833677249334962E-5</v>
      </c>
      <c r="Z274" t="s">
        <v>1741</v>
      </c>
      <c r="AA274" t="s">
        <v>25</v>
      </c>
      <c r="AC274" t="s">
        <v>22</v>
      </c>
      <c r="AD274" t="s">
        <v>1741</v>
      </c>
      <c r="AE274">
        <v>1.5218618702868866E-4</v>
      </c>
      <c r="AG274" t="s">
        <v>99</v>
      </c>
      <c r="AH274" t="s">
        <v>1741</v>
      </c>
      <c r="AI274">
        <v>0</v>
      </c>
    </row>
    <row r="275" spans="5:35" x14ac:dyDescent="0.45">
      <c r="E275" t="s">
        <v>1526</v>
      </c>
      <c r="G275" t="s">
        <v>160</v>
      </c>
      <c r="I275" t="s">
        <v>249</v>
      </c>
      <c r="J275" t="s">
        <v>1742</v>
      </c>
      <c r="K275">
        <v>0</v>
      </c>
      <c r="L275" t="s">
        <v>251</v>
      </c>
      <c r="N275" t="s">
        <v>419</v>
      </c>
      <c r="O275" t="s">
        <v>1742</v>
      </c>
      <c r="P275">
        <v>7.2714760897015543E-5</v>
      </c>
      <c r="Q275" t="s">
        <v>251</v>
      </c>
      <c r="S275" t="s">
        <v>420</v>
      </c>
      <c r="T275" t="s">
        <v>1742</v>
      </c>
      <c r="U275">
        <v>4.1893626555624153E-6</v>
      </c>
      <c r="V275" t="s">
        <v>251</v>
      </c>
      <c r="X275">
        <v>1.1415525114155251E-4</v>
      </c>
      <c r="Y275">
        <v>2.1546544680075254E-5</v>
      </c>
      <c r="Z275" t="s">
        <v>1742</v>
      </c>
      <c r="AA275" t="s">
        <v>25</v>
      </c>
      <c r="AC275" t="s">
        <v>22</v>
      </c>
      <c r="AD275" t="s">
        <v>1742</v>
      </c>
      <c r="AE275">
        <v>1.5340136671809131E-4</v>
      </c>
      <c r="AG275" t="s">
        <v>99</v>
      </c>
      <c r="AH275" t="s">
        <v>1742</v>
      </c>
      <c r="AI275">
        <v>0</v>
      </c>
    </row>
    <row r="276" spans="5:35" x14ac:dyDescent="0.45">
      <c r="E276" t="s">
        <v>1527</v>
      </c>
      <c r="G276" t="s">
        <v>160</v>
      </c>
      <c r="I276" t="s">
        <v>249</v>
      </c>
      <c r="J276" t="s">
        <v>1743</v>
      </c>
      <c r="K276">
        <v>0</v>
      </c>
      <c r="L276" t="s">
        <v>251</v>
      </c>
      <c r="N276" t="s">
        <v>419</v>
      </c>
      <c r="O276" t="s">
        <v>1743</v>
      </c>
      <c r="P276">
        <v>6.886286575154167E-5</v>
      </c>
      <c r="Q276" t="s">
        <v>251</v>
      </c>
      <c r="S276" t="s">
        <v>420</v>
      </c>
      <c r="T276" t="s">
        <v>1743</v>
      </c>
      <c r="U276">
        <v>4.7120488064226569E-6</v>
      </c>
      <c r="V276" t="s">
        <v>251</v>
      </c>
      <c r="X276">
        <v>1.1415525114155251E-4</v>
      </c>
      <c r="Y276">
        <v>1.4916838624667481E-5</v>
      </c>
      <c r="Z276" t="s">
        <v>1743</v>
      </c>
      <c r="AA276" t="s">
        <v>25</v>
      </c>
      <c r="AC276" t="s">
        <v>22</v>
      </c>
      <c r="AD276" t="s">
        <v>1743</v>
      </c>
      <c r="AE276">
        <v>1.4220860869658373E-4</v>
      </c>
      <c r="AG276" t="s">
        <v>99</v>
      </c>
      <c r="AH276" t="s">
        <v>1743</v>
      </c>
      <c r="AI276">
        <v>0</v>
      </c>
    </row>
    <row r="277" spans="5:35" x14ac:dyDescent="0.45">
      <c r="E277" t="s">
        <v>1528</v>
      </c>
      <c r="G277" t="s">
        <v>160</v>
      </c>
      <c r="I277" t="s">
        <v>249</v>
      </c>
      <c r="J277" t="s">
        <v>1744</v>
      </c>
      <c r="K277">
        <v>0</v>
      </c>
      <c r="L277" t="s">
        <v>251</v>
      </c>
      <c r="N277" t="s">
        <v>419</v>
      </c>
      <c r="O277" t="s">
        <v>1744</v>
      </c>
      <c r="P277">
        <v>6.1022254374986237E-5</v>
      </c>
      <c r="Q277" t="s">
        <v>251</v>
      </c>
      <c r="S277" t="s">
        <v>420</v>
      </c>
      <c r="T277" t="s">
        <v>1744</v>
      </c>
      <c r="U277">
        <v>4.8644710884152205E-6</v>
      </c>
      <c r="V277" t="s">
        <v>251</v>
      </c>
      <c r="X277">
        <v>1.1415525114155251E-4</v>
      </c>
      <c r="Y277">
        <v>1.6574265138519424E-5</v>
      </c>
      <c r="Z277" t="s">
        <v>1744</v>
      </c>
      <c r="AA277" t="s">
        <v>25</v>
      </c>
      <c r="AC277" t="s">
        <v>22</v>
      </c>
      <c r="AD277" t="s">
        <v>1744</v>
      </c>
      <c r="AE277">
        <v>1.4000460631874561E-4</v>
      </c>
      <c r="AG277" t="s">
        <v>99</v>
      </c>
      <c r="AH277" t="s">
        <v>1744</v>
      </c>
      <c r="AI277">
        <v>0</v>
      </c>
    </row>
    <row r="278" spans="5:35" x14ac:dyDescent="0.45">
      <c r="E278" t="s">
        <v>1529</v>
      </c>
      <c r="G278" t="s">
        <v>160</v>
      </c>
      <c r="I278" t="s">
        <v>249</v>
      </c>
      <c r="J278" t="s">
        <v>1745</v>
      </c>
      <c r="K278">
        <v>0</v>
      </c>
      <c r="L278" t="s">
        <v>251</v>
      </c>
      <c r="N278" t="s">
        <v>419</v>
      </c>
      <c r="O278" t="s">
        <v>1745</v>
      </c>
      <c r="P278">
        <v>5.7879689687258882E-5</v>
      </c>
      <c r="Q278" t="s">
        <v>251</v>
      </c>
      <c r="S278" t="s">
        <v>420</v>
      </c>
      <c r="T278" t="s">
        <v>1745</v>
      </c>
      <c r="U278">
        <v>4.9075674731130309E-6</v>
      </c>
      <c r="V278" t="s">
        <v>251</v>
      </c>
      <c r="X278">
        <v>1.1415525114155251E-4</v>
      </c>
      <c r="Y278">
        <v>1.4585353321897093E-5</v>
      </c>
      <c r="Z278" t="s">
        <v>1745</v>
      </c>
      <c r="AA278" t="s">
        <v>25</v>
      </c>
      <c r="AC278" t="s">
        <v>22</v>
      </c>
      <c r="AD278" t="s">
        <v>1745</v>
      </c>
      <c r="AE278">
        <v>1.4060623940026357E-4</v>
      </c>
      <c r="AG278" t="s">
        <v>99</v>
      </c>
      <c r="AH278" t="s">
        <v>1745</v>
      </c>
      <c r="AI278">
        <v>0</v>
      </c>
    </row>
    <row r="279" spans="5:35" x14ac:dyDescent="0.45">
      <c r="E279" t="s">
        <v>1530</v>
      </c>
      <c r="G279" t="s">
        <v>160</v>
      </c>
      <c r="I279" t="s">
        <v>249</v>
      </c>
      <c r="J279" t="s">
        <v>1746</v>
      </c>
      <c r="K279">
        <v>0</v>
      </c>
      <c r="L279" t="s">
        <v>251</v>
      </c>
      <c r="N279" t="s">
        <v>419</v>
      </c>
      <c r="O279" t="s">
        <v>1746</v>
      </c>
      <c r="P279">
        <v>5.6339489757702415E-5</v>
      </c>
      <c r="Q279" t="s">
        <v>251</v>
      </c>
      <c r="S279" t="s">
        <v>420</v>
      </c>
      <c r="T279" t="s">
        <v>1746</v>
      </c>
      <c r="U279">
        <v>5.0572084645691026E-6</v>
      </c>
      <c r="V279" t="s">
        <v>251</v>
      </c>
      <c r="X279">
        <v>1.1415525114155251E-4</v>
      </c>
      <c r="Y279">
        <v>2.1215059377304864E-5</v>
      </c>
      <c r="Z279" t="s">
        <v>1746</v>
      </c>
      <c r="AA279" t="s">
        <v>25</v>
      </c>
      <c r="AC279" t="s">
        <v>22</v>
      </c>
      <c r="AD279" t="s">
        <v>1746</v>
      </c>
      <c r="AE279">
        <v>1.3744319814990675E-4</v>
      </c>
      <c r="AG279" t="s">
        <v>99</v>
      </c>
      <c r="AH279" t="s">
        <v>1746</v>
      </c>
      <c r="AI279">
        <v>0</v>
      </c>
    </row>
    <row r="280" spans="5:35" x14ac:dyDescent="0.45">
      <c r="E280" t="s">
        <v>1531</v>
      </c>
      <c r="G280" t="s">
        <v>160</v>
      </c>
      <c r="I280" t="s">
        <v>249</v>
      </c>
      <c r="J280" t="s">
        <v>1747</v>
      </c>
      <c r="K280">
        <v>0</v>
      </c>
      <c r="L280" t="s">
        <v>251</v>
      </c>
      <c r="N280" t="s">
        <v>419</v>
      </c>
      <c r="O280" t="s">
        <v>1747</v>
      </c>
      <c r="P280">
        <v>5.4103524250985898E-5</v>
      </c>
      <c r="Q280" t="s">
        <v>251</v>
      </c>
      <c r="S280" t="s">
        <v>420</v>
      </c>
      <c r="T280" t="s">
        <v>1747</v>
      </c>
      <c r="U280">
        <v>5.7938828404213931E-6</v>
      </c>
      <c r="V280" t="s">
        <v>251</v>
      </c>
      <c r="X280">
        <v>1.1415525114155251E-4</v>
      </c>
      <c r="Y280">
        <v>5.7678442682047593E-5</v>
      </c>
      <c r="Z280" t="s">
        <v>1747</v>
      </c>
      <c r="AA280" t="s">
        <v>25</v>
      </c>
      <c r="AC280" t="s">
        <v>22</v>
      </c>
      <c r="AD280" t="s">
        <v>1747</v>
      </c>
      <c r="AE280">
        <v>1.3651989985648806E-4</v>
      </c>
      <c r="AG280" t="s">
        <v>99</v>
      </c>
      <c r="AH280" t="s">
        <v>1747</v>
      </c>
      <c r="AI280">
        <v>0</v>
      </c>
    </row>
    <row r="281" spans="5:35" x14ac:dyDescent="0.45">
      <c r="E281" t="s">
        <v>1532</v>
      </c>
      <c r="G281" t="s">
        <v>160</v>
      </c>
      <c r="I281" t="s">
        <v>249</v>
      </c>
      <c r="J281" t="s">
        <v>1748</v>
      </c>
      <c r="K281">
        <v>0</v>
      </c>
      <c r="L281" t="s">
        <v>251</v>
      </c>
      <c r="N281" t="s">
        <v>419</v>
      </c>
      <c r="O281" t="s">
        <v>1748</v>
      </c>
      <c r="P281">
        <v>5.5835044030201838E-5</v>
      </c>
      <c r="Q281" t="s">
        <v>251</v>
      </c>
      <c r="S281" t="s">
        <v>420</v>
      </c>
      <c r="T281" t="s">
        <v>1748</v>
      </c>
      <c r="U281">
        <v>7.4788781073919594E-6</v>
      </c>
      <c r="V281" t="s">
        <v>251</v>
      </c>
      <c r="X281">
        <v>1.1415525114155251E-4</v>
      </c>
      <c r="Y281">
        <v>1.6905750441289813E-4</v>
      </c>
      <c r="Z281" t="s">
        <v>1748</v>
      </c>
      <c r="AA281" t="s">
        <v>25</v>
      </c>
      <c r="AC281" t="s">
        <v>22</v>
      </c>
      <c r="AD281" t="s">
        <v>1748</v>
      </c>
      <c r="AE281">
        <v>1.3806270152097474E-4</v>
      </c>
      <c r="AG281" t="s">
        <v>99</v>
      </c>
      <c r="AH281" t="s">
        <v>1748</v>
      </c>
      <c r="AI281">
        <v>0</v>
      </c>
    </row>
    <row r="282" spans="5:35" x14ac:dyDescent="0.45">
      <c r="E282" t="s">
        <v>1533</v>
      </c>
      <c r="G282" t="s">
        <v>160</v>
      </c>
      <c r="I282" t="s">
        <v>249</v>
      </c>
      <c r="J282" t="s">
        <v>1749</v>
      </c>
      <c r="K282">
        <v>2.3315277203433377E-5</v>
      </c>
      <c r="L282" t="s">
        <v>251</v>
      </c>
      <c r="N282" t="s">
        <v>419</v>
      </c>
      <c r="O282" t="s">
        <v>1749</v>
      </c>
      <c r="P282">
        <v>5.6801741758546133E-5</v>
      </c>
      <c r="Q282" t="s">
        <v>251</v>
      </c>
      <c r="S282" t="s">
        <v>420</v>
      </c>
      <c r="T282" t="s">
        <v>1749</v>
      </c>
      <c r="U282">
        <v>1.0666603317767539E-5</v>
      </c>
      <c r="V282" t="s">
        <v>251</v>
      </c>
      <c r="X282">
        <v>1.1415525114155251E-4</v>
      </c>
      <c r="Y282">
        <v>1.9060404909297337E-4</v>
      </c>
      <c r="Z282" t="s">
        <v>1749</v>
      </c>
      <c r="AA282" t="s">
        <v>25</v>
      </c>
      <c r="AC282" t="s">
        <v>22</v>
      </c>
      <c r="AD282" t="s">
        <v>1749</v>
      </c>
      <c r="AE282">
        <v>1.5424127032694312E-4</v>
      </c>
      <c r="AG282" t="s">
        <v>99</v>
      </c>
      <c r="AH282" t="s">
        <v>1749</v>
      </c>
      <c r="AI282">
        <v>0</v>
      </c>
    </row>
    <row r="283" spans="5:35" x14ac:dyDescent="0.45">
      <c r="E283" t="s">
        <v>1534</v>
      </c>
      <c r="G283" t="s">
        <v>160</v>
      </c>
      <c r="I283" t="s">
        <v>249</v>
      </c>
      <c r="J283" t="s">
        <v>1750</v>
      </c>
      <c r="K283">
        <v>1.2226107376000001E-4</v>
      </c>
      <c r="L283" t="s">
        <v>251</v>
      </c>
      <c r="N283" t="s">
        <v>419</v>
      </c>
      <c r="O283" t="s">
        <v>1750</v>
      </c>
      <c r="P283">
        <v>5.0830620409403802E-5</v>
      </c>
      <c r="Q283" t="s">
        <v>251</v>
      </c>
      <c r="S283" t="s">
        <v>420</v>
      </c>
      <c r="T283" t="s">
        <v>1750</v>
      </c>
      <c r="U283">
        <v>1.4264120743535917E-5</v>
      </c>
      <c r="V283" t="s">
        <v>251</v>
      </c>
      <c r="X283">
        <v>1.1415525114155251E-4</v>
      </c>
      <c r="Y283">
        <v>1.4585353321897094E-4</v>
      </c>
      <c r="Z283" t="s">
        <v>1750</v>
      </c>
      <c r="AA283" t="s">
        <v>25</v>
      </c>
      <c r="AC283" t="s">
        <v>22</v>
      </c>
      <c r="AD283" t="s">
        <v>1750</v>
      </c>
      <c r="AE283">
        <v>1.567014135216651E-4</v>
      </c>
      <c r="AG283" t="s">
        <v>99</v>
      </c>
      <c r="AH283" t="s">
        <v>1750</v>
      </c>
      <c r="AI283">
        <v>0</v>
      </c>
    </row>
    <row r="284" spans="5:35" x14ac:dyDescent="0.45">
      <c r="E284" t="s">
        <v>1535</v>
      </c>
      <c r="G284" t="s">
        <v>160</v>
      </c>
      <c r="I284" t="s">
        <v>249</v>
      </c>
      <c r="J284" t="s">
        <v>1751</v>
      </c>
      <c r="K284">
        <v>1.5525457659810001E-4</v>
      </c>
      <c r="L284" t="s">
        <v>251</v>
      </c>
      <c r="N284" t="s">
        <v>419</v>
      </c>
      <c r="O284" t="s">
        <v>1751</v>
      </c>
      <c r="P284">
        <v>3.5112707872154114E-5</v>
      </c>
      <c r="Q284" t="s">
        <v>251</v>
      </c>
      <c r="S284" t="s">
        <v>420</v>
      </c>
      <c r="T284" t="s">
        <v>1751</v>
      </c>
      <c r="U284">
        <v>1.749222294057139E-5</v>
      </c>
      <c r="V284" t="s">
        <v>251</v>
      </c>
      <c r="X284">
        <v>1.1415525114155251E-4</v>
      </c>
      <c r="Y284">
        <v>1.4452759200788939E-4</v>
      </c>
      <c r="Z284" t="s">
        <v>1751</v>
      </c>
      <c r="AA284" t="s">
        <v>25</v>
      </c>
      <c r="AC284" t="s">
        <v>22</v>
      </c>
      <c r="AD284" t="s">
        <v>1751</v>
      </c>
      <c r="AE284">
        <v>1.5763662534145048E-4</v>
      </c>
      <c r="AG284" t="s">
        <v>99</v>
      </c>
      <c r="AH284" t="s">
        <v>1751</v>
      </c>
      <c r="AI284">
        <v>0</v>
      </c>
    </row>
    <row r="285" spans="5:35" x14ac:dyDescent="0.45">
      <c r="E285" t="s">
        <v>1536</v>
      </c>
      <c r="G285" t="s">
        <v>160</v>
      </c>
      <c r="I285" t="s">
        <v>249</v>
      </c>
      <c r="J285" t="s">
        <v>1752</v>
      </c>
      <c r="K285">
        <v>1.696881770316E-4</v>
      </c>
      <c r="L285" t="s">
        <v>251</v>
      </c>
      <c r="N285" t="s">
        <v>419</v>
      </c>
      <c r="O285" t="s">
        <v>1752</v>
      </c>
      <c r="P285">
        <v>3.0013062945982579E-5</v>
      </c>
      <c r="Q285" t="s">
        <v>251</v>
      </c>
      <c r="S285" t="s">
        <v>420</v>
      </c>
      <c r="T285" t="s">
        <v>1752</v>
      </c>
      <c r="U285">
        <v>2.0637779984273074E-5</v>
      </c>
      <c r="V285" t="s">
        <v>251</v>
      </c>
      <c r="X285">
        <v>1.1415525114155251E-4</v>
      </c>
      <c r="Y285">
        <v>1.408812536774151E-4</v>
      </c>
      <c r="Z285" t="s">
        <v>1752</v>
      </c>
      <c r="AA285" t="s">
        <v>25</v>
      </c>
      <c r="AC285" t="s">
        <v>22</v>
      </c>
      <c r="AD285" t="s">
        <v>1752</v>
      </c>
      <c r="AE285">
        <v>1.64183108079948E-4</v>
      </c>
      <c r="AG285" t="s">
        <v>99</v>
      </c>
      <c r="AH285" t="s">
        <v>1752</v>
      </c>
      <c r="AI285">
        <v>0</v>
      </c>
    </row>
    <row r="286" spans="5:35" x14ac:dyDescent="0.45">
      <c r="E286" t="s">
        <v>1537</v>
      </c>
      <c r="G286" t="s">
        <v>160</v>
      </c>
      <c r="I286" t="s">
        <v>249</v>
      </c>
      <c r="J286" t="s">
        <v>1753</v>
      </c>
      <c r="K286">
        <v>1.8930003181229999E-4</v>
      </c>
      <c r="L286" t="s">
        <v>251</v>
      </c>
      <c r="N286" t="s">
        <v>419</v>
      </c>
      <c r="O286" t="s">
        <v>1753</v>
      </c>
      <c r="P286">
        <v>2.8244600382136912E-5</v>
      </c>
      <c r="Q286" t="s">
        <v>251</v>
      </c>
      <c r="S286" t="s">
        <v>420</v>
      </c>
      <c r="T286" t="s">
        <v>1753</v>
      </c>
      <c r="U286">
        <v>2.3396070678628241E-5</v>
      </c>
      <c r="V286" t="s">
        <v>251</v>
      </c>
      <c r="X286">
        <v>1.1415525114155251E-4</v>
      </c>
      <c r="Y286">
        <v>1.4054976837464471E-4</v>
      </c>
      <c r="Z286" t="s">
        <v>1753</v>
      </c>
      <c r="AA286" t="s">
        <v>25</v>
      </c>
      <c r="AC286" t="s">
        <v>22</v>
      </c>
      <c r="AD286" t="s">
        <v>1753</v>
      </c>
      <c r="AE286">
        <v>1.5783915528968422E-4</v>
      </c>
      <c r="AG286" t="s">
        <v>99</v>
      </c>
      <c r="AH286" t="s">
        <v>1753</v>
      </c>
      <c r="AI286">
        <v>0</v>
      </c>
    </row>
    <row r="287" spans="5:35" x14ac:dyDescent="0.45">
      <c r="E287" t="s">
        <v>1538</v>
      </c>
      <c r="G287" t="s">
        <v>160</v>
      </c>
      <c r="I287" t="s">
        <v>249</v>
      </c>
      <c r="J287" t="s">
        <v>1754</v>
      </c>
      <c r="K287">
        <v>2.1946110313049999E-4</v>
      </c>
      <c r="L287" t="s">
        <v>251</v>
      </c>
      <c r="N287" t="s">
        <v>419</v>
      </c>
      <c r="O287" t="s">
        <v>1754</v>
      </c>
      <c r="P287">
        <v>2.51939761788934E-5</v>
      </c>
      <c r="Q287" t="s">
        <v>251</v>
      </c>
      <c r="S287" t="s">
        <v>420</v>
      </c>
      <c r="T287" t="s">
        <v>1754</v>
      </c>
      <c r="U287">
        <v>2.3221233194370403E-5</v>
      </c>
      <c r="V287" t="s">
        <v>251</v>
      </c>
      <c r="X287">
        <v>1.1415525114155251E-4</v>
      </c>
      <c r="Y287">
        <v>1.4253868019126702E-4</v>
      </c>
      <c r="Z287" t="s">
        <v>1754</v>
      </c>
      <c r="AA287" t="s">
        <v>25</v>
      </c>
      <c r="AC287" t="s">
        <v>22</v>
      </c>
      <c r="AD287" t="s">
        <v>1754</v>
      </c>
      <c r="AE287">
        <v>1.4293533380495195E-4</v>
      </c>
      <c r="AG287" t="s">
        <v>99</v>
      </c>
      <c r="AH287" t="s">
        <v>1754</v>
      </c>
      <c r="AI287">
        <v>0</v>
      </c>
    </row>
    <row r="288" spans="5:35" x14ac:dyDescent="0.45">
      <c r="E288" t="s">
        <v>1539</v>
      </c>
      <c r="G288" t="s">
        <v>160</v>
      </c>
      <c r="I288" t="s">
        <v>249</v>
      </c>
      <c r="J288" t="s">
        <v>1755</v>
      </c>
      <c r="K288">
        <v>2.0865012356750001E-4</v>
      </c>
      <c r="L288" t="s">
        <v>251</v>
      </c>
      <c r="N288" t="s">
        <v>419</v>
      </c>
      <c r="O288" t="s">
        <v>1755</v>
      </c>
      <c r="P288">
        <v>2.1014377054220748E-5</v>
      </c>
      <c r="Q288" t="s">
        <v>251</v>
      </c>
      <c r="S288" t="s">
        <v>420</v>
      </c>
      <c r="T288" t="s">
        <v>1755</v>
      </c>
      <c r="U288">
        <v>2.1936469068316424E-5</v>
      </c>
      <c r="V288" t="s">
        <v>251</v>
      </c>
      <c r="X288">
        <v>1.1415525114155251E-4</v>
      </c>
      <c r="Y288">
        <v>1.4883690094390442E-4</v>
      </c>
      <c r="Z288" t="s">
        <v>1755</v>
      </c>
      <c r="AA288" t="s">
        <v>25</v>
      </c>
      <c r="AC288" t="s">
        <v>22</v>
      </c>
      <c r="AD288" t="s">
        <v>1755</v>
      </c>
      <c r="AE288">
        <v>1.2483273049076278E-4</v>
      </c>
      <c r="AG288" t="s">
        <v>99</v>
      </c>
      <c r="AH288" t="s">
        <v>1755</v>
      </c>
      <c r="AI288">
        <v>0</v>
      </c>
    </row>
    <row r="289" spans="5:35" x14ac:dyDescent="0.45">
      <c r="E289" t="s">
        <v>1540</v>
      </c>
      <c r="G289" t="s">
        <v>160</v>
      </c>
      <c r="I289" t="s">
        <v>249</v>
      </c>
      <c r="J289" t="s">
        <v>1756</v>
      </c>
      <c r="K289">
        <v>1.7596167475599999E-4</v>
      </c>
      <c r="L289" t="s">
        <v>251</v>
      </c>
      <c r="N289" t="s">
        <v>419</v>
      </c>
      <c r="O289" t="s">
        <v>1756</v>
      </c>
      <c r="P289">
        <v>1.7997948927671602E-5</v>
      </c>
      <c r="Q289" t="s">
        <v>251</v>
      </c>
      <c r="S289" t="s">
        <v>420</v>
      </c>
      <c r="T289" t="s">
        <v>1756</v>
      </c>
      <c r="U289">
        <v>2.1613565986434916E-5</v>
      </c>
      <c r="V289" t="s">
        <v>251</v>
      </c>
      <c r="X289">
        <v>1.1415525114155251E-4</v>
      </c>
      <c r="Y289">
        <v>1.5049432745775637E-4</v>
      </c>
      <c r="Z289" t="s">
        <v>1756</v>
      </c>
      <c r="AA289" t="s">
        <v>25</v>
      </c>
      <c r="AC289" t="s">
        <v>22</v>
      </c>
      <c r="AD289" t="s">
        <v>1756</v>
      </c>
      <c r="AE289">
        <v>1.1412247028710623E-4</v>
      </c>
      <c r="AG289" t="s">
        <v>99</v>
      </c>
      <c r="AH289" t="s">
        <v>1756</v>
      </c>
      <c r="AI289">
        <v>0</v>
      </c>
    </row>
    <row r="290" spans="5:35" x14ac:dyDescent="0.45">
      <c r="E290" t="s">
        <v>1541</v>
      </c>
      <c r="G290" t="s">
        <v>160</v>
      </c>
      <c r="I290" t="s">
        <v>249</v>
      </c>
      <c r="J290" t="s">
        <v>1757</v>
      </c>
      <c r="K290">
        <v>1.6168523519E-4</v>
      </c>
      <c r="L290" t="s">
        <v>251</v>
      </c>
      <c r="N290" t="s">
        <v>419</v>
      </c>
      <c r="O290" t="s">
        <v>1757</v>
      </c>
      <c r="P290">
        <v>1.7703509791001266E-5</v>
      </c>
      <c r="Q290" t="s">
        <v>251</v>
      </c>
      <c r="S290" t="s">
        <v>420</v>
      </c>
      <c r="T290" t="s">
        <v>1757</v>
      </c>
      <c r="U290">
        <v>2.3594137919221004E-5</v>
      </c>
      <c r="V290" t="s">
        <v>251</v>
      </c>
      <c r="X290">
        <v>1.1415525114155251E-4</v>
      </c>
      <c r="Y290">
        <v>1.7237235744060203E-4</v>
      </c>
      <c r="Z290" t="s">
        <v>1757</v>
      </c>
      <c r="AA290" t="s">
        <v>25</v>
      </c>
      <c r="AC290" t="s">
        <v>22</v>
      </c>
      <c r="AD290" t="s">
        <v>1757</v>
      </c>
      <c r="AE290">
        <v>9.3440588514528139E-5</v>
      </c>
      <c r="AG290" t="s">
        <v>99</v>
      </c>
      <c r="AH290" t="s">
        <v>1757</v>
      </c>
      <c r="AI290">
        <v>0</v>
      </c>
    </row>
    <row r="291" spans="5:35" x14ac:dyDescent="0.45">
      <c r="E291" t="s">
        <v>1542</v>
      </c>
      <c r="G291" t="s">
        <v>160</v>
      </c>
      <c r="I291" t="s">
        <v>249</v>
      </c>
      <c r="J291" t="s">
        <v>1758</v>
      </c>
      <c r="K291">
        <v>1.5011290284659999E-4</v>
      </c>
      <c r="L291" t="s">
        <v>251</v>
      </c>
      <c r="N291" t="s">
        <v>419</v>
      </c>
      <c r="O291" t="s">
        <v>1758</v>
      </c>
      <c r="P291">
        <v>2.0196351312027064E-5</v>
      </c>
      <c r="Q291" t="s">
        <v>251</v>
      </c>
      <c r="S291" t="s">
        <v>420</v>
      </c>
      <c r="T291" t="s">
        <v>1758</v>
      </c>
      <c r="U291">
        <v>2.9223122869612465E-5</v>
      </c>
      <c r="V291" t="s">
        <v>251</v>
      </c>
      <c r="X291">
        <v>1.1415525114155251E-4</v>
      </c>
      <c r="Y291">
        <v>2.2209515285616027E-4</v>
      </c>
      <c r="Z291" t="s">
        <v>1758</v>
      </c>
      <c r="AA291" t="s">
        <v>25</v>
      </c>
      <c r="AC291" t="s">
        <v>22</v>
      </c>
      <c r="AD291" t="s">
        <v>1758</v>
      </c>
      <c r="AE291">
        <v>8.9622303314003203E-5</v>
      </c>
      <c r="AG291" t="s">
        <v>99</v>
      </c>
      <c r="AH291" t="s">
        <v>1758</v>
      </c>
      <c r="AI291">
        <v>0</v>
      </c>
    </row>
    <row r="292" spans="5:35" x14ac:dyDescent="0.45">
      <c r="E292" t="s">
        <v>1543</v>
      </c>
      <c r="G292" t="s">
        <v>160</v>
      </c>
      <c r="I292" t="s">
        <v>249</v>
      </c>
      <c r="J292" t="s">
        <v>1759</v>
      </c>
      <c r="K292">
        <v>1.216439947333E-4</v>
      </c>
      <c r="L292" t="s">
        <v>251</v>
      </c>
      <c r="N292" t="s">
        <v>419</v>
      </c>
      <c r="O292" t="s">
        <v>1759</v>
      </c>
      <c r="P292">
        <v>2.745978935061117E-5</v>
      </c>
      <c r="Q292" t="s">
        <v>251</v>
      </c>
      <c r="S292" t="s">
        <v>420</v>
      </c>
      <c r="T292" t="s">
        <v>1759</v>
      </c>
      <c r="U292">
        <v>3.6400435664759616E-5</v>
      </c>
      <c r="V292" t="s">
        <v>251</v>
      </c>
      <c r="X292">
        <v>1.1415525114155251E-4</v>
      </c>
      <c r="Y292">
        <v>2.2209515285616027E-4</v>
      </c>
      <c r="Z292" t="s">
        <v>1759</v>
      </c>
      <c r="AA292" t="s">
        <v>25</v>
      </c>
      <c r="AC292" t="s">
        <v>22</v>
      </c>
      <c r="AD292" t="s">
        <v>1759</v>
      </c>
      <c r="AE292">
        <v>8.5631271981161219E-5</v>
      </c>
      <c r="AG292" t="s">
        <v>99</v>
      </c>
      <c r="AH292" t="s">
        <v>1759</v>
      </c>
      <c r="AI292">
        <v>0</v>
      </c>
    </row>
    <row r="293" spans="5:35" x14ac:dyDescent="0.45">
      <c r="E293" t="s">
        <v>1544</v>
      </c>
      <c r="G293" t="s">
        <v>160</v>
      </c>
      <c r="I293" t="s">
        <v>249</v>
      </c>
      <c r="J293" t="s">
        <v>1760</v>
      </c>
      <c r="K293">
        <v>1.2428885350110892E-5</v>
      </c>
      <c r="L293" t="s">
        <v>251</v>
      </c>
      <c r="N293" t="s">
        <v>419</v>
      </c>
      <c r="O293" t="s">
        <v>1760</v>
      </c>
      <c r="P293">
        <v>4.2288569141169427E-5</v>
      </c>
      <c r="Q293" t="s">
        <v>251</v>
      </c>
      <c r="S293" t="s">
        <v>420</v>
      </c>
      <c r="T293" t="s">
        <v>1760</v>
      </c>
      <c r="U293">
        <v>4.4276185361377202E-5</v>
      </c>
      <c r="V293" t="s">
        <v>251</v>
      </c>
      <c r="X293">
        <v>1.1415525114155251E-4</v>
      </c>
      <c r="Y293">
        <v>1.7237235744060203E-4</v>
      </c>
      <c r="Z293" t="s">
        <v>1760</v>
      </c>
      <c r="AA293" t="s">
        <v>25</v>
      </c>
      <c r="AC293" t="s">
        <v>22</v>
      </c>
      <c r="AD293" t="s">
        <v>1760</v>
      </c>
      <c r="AE293">
        <v>8.7168116882464553E-5</v>
      </c>
      <c r="AG293" t="s">
        <v>99</v>
      </c>
      <c r="AH293" t="s">
        <v>1760</v>
      </c>
      <c r="AI293">
        <v>0</v>
      </c>
    </row>
    <row r="294" spans="5:35" x14ac:dyDescent="0.45">
      <c r="E294" t="s">
        <v>1545</v>
      </c>
      <c r="G294" t="s">
        <v>160</v>
      </c>
      <c r="I294" t="s">
        <v>249</v>
      </c>
      <c r="J294" t="s">
        <v>1761</v>
      </c>
      <c r="K294">
        <v>0</v>
      </c>
      <c r="L294" t="s">
        <v>251</v>
      </c>
      <c r="N294" t="s">
        <v>419</v>
      </c>
      <c r="O294" t="s">
        <v>1761</v>
      </c>
      <c r="P294">
        <v>5.6402555173987077E-5</v>
      </c>
      <c r="Q294" t="s">
        <v>251</v>
      </c>
      <c r="S294" t="s">
        <v>420</v>
      </c>
      <c r="T294" t="s">
        <v>1761</v>
      </c>
      <c r="U294">
        <v>5.4381101703525457E-5</v>
      </c>
      <c r="V294" t="s">
        <v>251</v>
      </c>
      <c r="X294">
        <v>1.1415525114155251E-4</v>
      </c>
      <c r="Y294">
        <v>1.5579809230208258E-4</v>
      </c>
      <c r="Z294" t="s">
        <v>1761</v>
      </c>
      <c r="AA294" t="s">
        <v>25</v>
      </c>
      <c r="AC294" t="s">
        <v>22</v>
      </c>
      <c r="AD294" t="s">
        <v>1761</v>
      </c>
      <c r="AE294">
        <v>9.2684079590243164E-5</v>
      </c>
      <c r="AG294" t="s">
        <v>99</v>
      </c>
      <c r="AH294" t="s">
        <v>1761</v>
      </c>
      <c r="AI294">
        <v>0</v>
      </c>
    </row>
    <row r="295" spans="5:35" x14ac:dyDescent="0.45">
      <c r="E295" t="s">
        <v>1546</v>
      </c>
      <c r="G295" t="s">
        <v>160</v>
      </c>
      <c r="I295" t="s">
        <v>249</v>
      </c>
      <c r="J295" t="s">
        <v>1762</v>
      </c>
      <c r="K295">
        <v>0</v>
      </c>
      <c r="L295" t="s">
        <v>251</v>
      </c>
      <c r="N295" t="s">
        <v>419</v>
      </c>
      <c r="O295" t="s">
        <v>1762</v>
      </c>
      <c r="P295">
        <v>6.6888022832068092E-5</v>
      </c>
      <c r="Q295" t="s">
        <v>251</v>
      </c>
      <c r="S295" t="s">
        <v>420</v>
      </c>
      <c r="T295" t="s">
        <v>1762</v>
      </c>
      <c r="U295">
        <v>6.3809374656833659E-5</v>
      </c>
      <c r="V295" t="s">
        <v>251</v>
      </c>
      <c r="X295">
        <v>1.1415525114155251E-4</v>
      </c>
      <c r="Y295">
        <v>1.093901499142282E-4</v>
      </c>
      <c r="Z295" t="s">
        <v>1762</v>
      </c>
      <c r="AA295" t="s">
        <v>25</v>
      </c>
      <c r="AC295" t="s">
        <v>22</v>
      </c>
      <c r="AD295" t="s">
        <v>1762</v>
      </c>
      <c r="AE295">
        <v>1.1050671503481509E-4</v>
      </c>
      <c r="AG295" t="s">
        <v>99</v>
      </c>
      <c r="AH295" t="s">
        <v>1762</v>
      </c>
      <c r="AI295">
        <v>0</v>
      </c>
    </row>
    <row r="296" spans="5:35" x14ac:dyDescent="0.45">
      <c r="E296" t="s">
        <v>1547</v>
      </c>
      <c r="G296" t="s">
        <v>160</v>
      </c>
      <c r="I296" t="s">
        <v>249</v>
      </c>
      <c r="J296" t="s">
        <v>1763</v>
      </c>
      <c r="K296">
        <v>0</v>
      </c>
      <c r="L296" t="s">
        <v>251</v>
      </c>
      <c r="N296" t="s">
        <v>419</v>
      </c>
      <c r="O296" t="s">
        <v>1763</v>
      </c>
      <c r="P296">
        <v>7.2816103561015492E-5</v>
      </c>
      <c r="Q296" t="s">
        <v>251</v>
      </c>
      <c r="S296" t="s">
        <v>420</v>
      </c>
      <c r="T296" t="s">
        <v>1763</v>
      </c>
      <c r="U296">
        <v>6.9976252493457954E-5</v>
      </c>
      <c r="V296" t="s">
        <v>251</v>
      </c>
      <c r="X296">
        <v>1.1415525114155251E-4</v>
      </c>
      <c r="Y296">
        <v>7.9556472664893237E-5</v>
      </c>
      <c r="Z296" t="s">
        <v>1763</v>
      </c>
      <c r="AA296" t="s">
        <v>25</v>
      </c>
      <c r="AC296" t="s">
        <v>22</v>
      </c>
      <c r="AD296" t="s">
        <v>1763</v>
      </c>
      <c r="AE296">
        <v>1.2981854127522356E-4</v>
      </c>
      <c r="AG296" t="s">
        <v>99</v>
      </c>
      <c r="AH296" t="s">
        <v>1763</v>
      </c>
      <c r="AI296">
        <v>0</v>
      </c>
    </row>
    <row r="297" spans="5:35" x14ac:dyDescent="0.45">
      <c r="E297" t="s">
        <v>1548</v>
      </c>
      <c r="G297" t="s">
        <v>160</v>
      </c>
      <c r="I297" t="s">
        <v>249</v>
      </c>
      <c r="J297" t="s">
        <v>1764</v>
      </c>
      <c r="K297">
        <v>0</v>
      </c>
      <c r="L297" t="s">
        <v>251</v>
      </c>
      <c r="N297" t="s">
        <v>419</v>
      </c>
      <c r="O297" t="s">
        <v>1764</v>
      </c>
      <c r="P297">
        <v>7.6514065811621865E-5</v>
      </c>
      <c r="Q297" t="s">
        <v>251</v>
      </c>
      <c r="S297" t="s">
        <v>420</v>
      </c>
      <c r="T297" t="s">
        <v>1764</v>
      </c>
      <c r="U297">
        <v>7.1244115449849236E-5</v>
      </c>
      <c r="V297" t="s">
        <v>251</v>
      </c>
      <c r="X297">
        <v>1.1415525114155251E-4</v>
      </c>
      <c r="Y297">
        <v>5.6352501470966035E-5</v>
      </c>
      <c r="Z297" t="s">
        <v>1764</v>
      </c>
      <c r="AA297" t="s">
        <v>25</v>
      </c>
      <c r="AC297" t="s">
        <v>22</v>
      </c>
      <c r="AD297" t="s">
        <v>1764</v>
      </c>
      <c r="AE297">
        <v>1.4351909659691988E-4</v>
      </c>
      <c r="AG297" t="s">
        <v>99</v>
      </c>
      <c r="AH297" t="s">
        <v>1764</v>
      </c>
      <c r="AI297">
        <v>0</v>
      </c>
    </row>
    <row r="298" spans="5:35" x14ac:dyDescent="0.45">
      <c r="E298" t="s">
        <v>1549</v>
      </c>
      <c r="G298" t="s">
        <v>160</v>
      </c>
      <c r="I298" t="s">
        <v>249</v>
      </c>
      <c r="J298" t="s">
        <v>1765</v>
      </c>
      <c r="K298">
        <v>0</v>
      </c>
      <c r="L298" t="s">
        <v>251</v>
      </c>
      <c r="N298" t="s">
        <v>419</v>
      </c>
      <c r="O298" t="s">
        <v>1765</v>
      </c>
      <c r="P298">
        <v>7.9047648557271409E-5</v>
      </c>
      <c r="Q298" t="s">
        <v>251</v>
      </c>
      <c r="S298" t="s">
        <v>420</v>
      </c>
      <c r="T298" t="s">
        <v>1765</v>
      </c>
      <c r="U298">
        <v>7.1922379525709085E-5</v>
      </c>
      <c r="V298" t="s">
        <v>251</v>
      </c>
      <c r="X298">
        <v>1.1415525114155251E-4</v>
      </c>
      <c r="Y298">
        <v>2.9833677249334962E-5</v>
      </c>
      <c r="Z298" t="s">
        <v>1765</v>
      </c>
      <c r="AA298" t="s">
        <v>25</v>
      </c>
      <c r="AC298" t="s">
        <v>22</v>
      </c>
      <c r="AD298" t="s">
        <v>1765</v>
      </c>
      <c r="AE298">
        <v>1.5372898869317535E-4</v>
      </c>
      <c r="AG298" t="s">
        <v>99</v>
      </c>
      <c r="AH298" t="s">
        <v>1765</v>
      </c>
      <c r="AI298">
        <v>0</v>
      </c>
    </row>
    <row r="299" spans="5:35" x14ac:dyDescent="0.45">
      <c r="E299" t="s">
        <v>1550</v>
      </c>
      <c r="G299" t="s">
        <v>160</v>
      </c>
      <c r="I299" t="s">
        <v>249</v>
      </c>
      <c r="J299" t="s">
        <v>1766</v>
      </c>
      <c r="K299">
        <v>0</v>
      </c>
      <c r="L299" t="s">
        <v>251</v>
      </c>
      <c r="N299" t="s">
        <v>419</v>
      </c>
      <c r="O299" t="s">
        <v>1766</v>
      </c>
      <c r="P299">
        <v>7.6617204437118535E-5</v>
      </c>
      <c r="Q299" t="s">
        <v>251</v>
      </c>
      <c r="S299" t="s">
        <v>420</v>
      </c>
      <c r="T299" t="s">
        <v>1766</v>
      </c>
      <c r="U299">
        <v>7.1692991873399973E-5</v>
      </c>
      <c r="V299" t="s">
        <v>251</v>
      </c>
      <c r="X299">
        <v>1.1415525114155251E-4</v>
      </c>
      <c r="Y299">
        <v>2.1546544680075254E-5</v>
      </c>
      <c r="Z299" t="s">
        <v>1766</v>
      </c>
      <c r="AA299" t="s">
        <v>25</v>
      </c>
      <c r="AC299" t="s">
        <v>22</v>
      </c>
      <c r="AD299" t="s">
        <v>1766</v>
      </c>
      <c r="AE299">
        <v>1.5075060710150221E-4</v>
      </c>
      <c r="AG299" t="s">
        <v>99</v>
      </c>
      <c r="AH299" t="s">
        <v>1766</v>
      </c>
      <c r="AI299">
        <v>0</v>
      </c>
    </row>
    <row r="300" spans="5:35" x14ac:dyDescent="0.45">
      <c r="E300" t="s">
        <v>1551</v>
      </c>
      <c r="G300" t="s">
        <v>160</v>
      </c>
      <c r="I300" t="s">
        <v>249</v>
      </c>
      <c r="J300" t="s">
        <v>1767</v>
      </c>
      <c r="K300">
        <v>0</v>
      </c>
      <c r="L300" t="s">
        <v>251</v>
      </c>
      <c r="N300" t="s">
        <v>419</v>
      </c>
      <c r="O300" t="s">
        <v>1767</v>
      </c>
      <c r="P300">
        <v>7.273959307286596E-5</v>
      </c>
      <c r="Q300" t="s">
        <v>251</v>
      </c>
      <c r="S300" t="s">
        <v>420</v>
      </c>
      <c r="T300" t="s">
        <v>1767</v>
      </c>
      <c r="U300">
        <v>7.0449597454512827E-5</v>
      </c>
      <c r="V300" t="s">
        <v>251</v>
      </c>
      <c r="X300">
        <v>1.1415525114155251E-4</v>
      </c>
      <c r="Y300">
        <v>1.4916838624667481E-5</v>
      </c>
      <c r="Z300" t="s">
        <v>1767</v>
      </c>
      <c r="AA300" t="s">
        <v>25</v>
      </c>
      <c r="AC300" t="s">
        <v>22</v>
      </c>
      <c r="AD300" t="s">
        <v>1767</v>
      </c>
      <c r="AE300">
        <v>1.4220860869658373E-4</v>
      </c>
      <c r="AG300" t="s">
        <v>99</v>
      </c>
      <c r="AH300" t="s">
        <v>1767</v>
      </c>
      <c r="AI300">
        <v>0</v>
      </c>
    </row>
    <row r="301" spans="5:35" x14ac:dyDescent="0.45">
      <c r="E301" t="s">
        <v>1552</v>
      </c>
      <c r="G301" t="s">
        <v>160</v>
      </c>
      <c r="I301" t="s">
        <v>249</v>
      </c>
      <c r="J301" t="s">
        <v>1768</v>
      </c>
      <c r="K301">
        <v>0</v>
      </c>
      <c r="L301" t="s">
        <v>251</v>
      </c>
      <c r="N301" t="s">
        <v>419</v>
      </c>
      <c r="O301" t="s">
        <v>1768</v>
      </c>
      <c r="P301">
        <v>7.0981401862967494E-5</v>
      </c>
      <c r="Q301" t="s">
        <v>251</v>
      </c>
      <c r="S301" t="s">
        <v>420</v>
      </c>
      <c r="T301" t="s">
        <v>1768</v>
      </c>
      <c r="U301">
        <v>6.8307130909133667E-5</v>
      </c>
      <c r="V301" t="s">
        <v>251</v>
      </c>
      <c r="X301">
        <v>1.1415525114155251E-4</v>
      </c>
      <c r="Y301">
        <v>1.6574265138519424E-5</v>
      </c>
      <c r="Z301" t="s">
        <v>1768</v>
      </c>
      <c r="AA301" t="s">
        <v>25</v>
      </c>
      <c r="AC301" t="s">
        <v>22</v>
      </c>
      <c r="AD301" t="s">
        <v>1768</v>
      </c>
      <c r="AE301">
        <v>1.4069559084801375E-4</v>
      </c>
      <c r="AG301" t="s">
        <v>99</v>
      </c>
      <c r="AH301" t="s">
        <v>1768</v>
      </c>
      <c r="AI301">
        <v>0</v>
      </c>
    </row>
    <row r="302" spans="5:35" x14ac:dyDescent="0.45">
      <c r="E302" t="s">
        <v>1553</v>
      </c>
      <c r="G302" t="s">
        <v>160</v>
      </c>
      <c r="I302" t="s">
        <v>249</v>
      </c>
      <c r="J302" t="s">
        <v>1769</v>
      </c>
      <c r="K302">
        <v>0</v>
      </c>
      <c r="L302" t="s">
        <v>251</v>
      </c>
      <c r="N302" t="s">
        <v>419</v>
      </c>
      <c r="O302" t="s">
        <v>1769</v>
      </c>
      <c r="P302">
        <v>7.180892540300439E-5</v>
      </c>
      <c r="Q302" t="s">
        <v>251</v>
      </c>
      <c r="S302" t="s">
        <v>420</v>
      </c>
      <c r="T302" t="s">
        <v>1769</v>
      </c>
      <c r="U302">
        <v>6.5467309136742574E-5</v>
      </c>
      <c r="V302" t="s">
        <v>251</v>
      </c>
      <c r="X302">
        <v>1.1415525114155251E-4</v>
      </c>
      <c r="Y302">
        <v>1.4585353321897093E-5</v>
      </c>
      <c r="Z302" t="s">
        <v>1769</v>
      </c>
      <c r="AA302" t="s">
        <v>25</v>
      </c>
      <c r="AC302" t="s">
        <v>22</v>
      </c>
      <c r="AD302" t="s">
        <v>1769</v>
      </c>
      <c r="AE302">
        <v>1.4129722392953174E-4</v>
      </c>
      <c r="AG302" t="s">
        <v>99</v>
      </c>
      <c r="AH302" t="s">
        <v>1769</v>
      </c>
      <c r="AI302">
        <v>0</v>
      </c>
    </row>
    <row r="303" spans="5:35" x14ac:dyDescent="0.45">
      <c r="E303" t="s">
        <v>1554</v>
      </c>
      <c r="G303" t="s">
        <v>160</v>
      </c>
      <c r="I303" t="s">
        <v>249</v>
      </c>
      <c r="J303" t="s">
        <v>1770</v>
      </c>
      <c r="K303">
        <v>0</v>
      </c>
      <c r="L303" t="s">
        <v>251</v>
      </c>
      <c r="N303" t="s">
        <v>419</v>
      </c>
      <c r="O303" t="s">
        <v>1770</v>
      </c>
      <c r="P303">
        <v>7.2581937210132203E-5</v>
      </c>
      <c r="Q303" t="s">
        <v>251</v>
      </c>
      <c r="S303" t="s">
        <v>420</v>
      </c>
      <c r="T303" t="s">
        <v>1770</v>
      </c>
      <c r="U303">
        <v>6.2784384162534073E-5</v>
      </c>
      <c r="V303" t="s">
        <v>251</v>
      </c>
      <c r="X303">
        <v>1.1415525114155251E-4</v>
      </c>
      <c r="Y303">
        <v>2.1215059377304864E-5</v>
      </c>
      <c r="Z303" t="s">
        <v>1770</v>
      </c>
      <c r="AA303" t="s">
        <v>25</v>
      </c>
      <c r="AC303" t="s">
        <v>22</v>
      </c>
      <c r="AD303" t="s">
        <v>1770</v>
      </c>
      <c r="AE303">
        <v>1.4042157974157986E-4</v>
      </c>
      <c r="AG303" t="s">
        <v>99</v>
      </c>
      <c r="AH303" t="s">
        <v>1770</v>
      </c>
      <c r="AI303">
        <v>0</v>
      </c>
    </row>
    <row r="304" spans="5:35" x14ac:dyDescent="0.45">
      <c r="E304" t="s">
        <v>1555</v>
      </c>
      <c r="G304" t="s">
        <v>160</v>
      </c>
      <c r="I304" t="s">
        <v>249</v>
      </c>
      <c r="J304" t="s">
        <v>1771</v>
      </c>
      <c r="K304">
        <v>0</v>
      </c>
      <c r="L304" t="s">
        <v>251</v>
      </c>
      <c r="N304" t="s">
        <v>419</v>
      </c>
      <c r="O304" t="s">
        <v>1771</v>
      </c>
      <c r="P304">
        <v>7.5361079953453565E-5</v>
      </c>
      <c r="Q304" t="s">
        <v>251</v>
      </c>
      <c r="S304" t="s">
        <v>420</v>
      </c>
      <c r="T304" t="s">
        <v>1771</v>
      </c>
      <c r="U304">
        <v>6.0968634426848068E-5</v>
      </c>
      <c r="V304" t="s">
        <v>251</v>
      </c>
      <c r="X304">
        <v>1.1415525114155251E-4</v>
      </c>
      <c r="Y304">
        <v>5.7678442682047593E-5</v>
      </c>
      <c r="Z304" t="s">
        <v>1771</v>
      </c>
      <c r="AA304" t="s">
        <v>25</v>
      </c>
      <c r="AC304" t="s">
        <v>22</v>
      </c>
      <c r="AD304" t="s">
        <v>1771</v>
      </c>
      <c r="AE304">
        <v>1.4042157974157986E-4</v>
      </c>
      <c r="AG304" t="s">
        <v>99</v>
      </c>
      <c r="AH304" t="s">
        <v>1771</v>
      </c>
      <c r="AI304">
        <v>0</v>
      </c>
    </row>
    <row r="305" spans="5:35" x14ac:dyDescent="0.45">
      <c r="E305" t="s">
        <v>1556</v>
      </c>
      <c r="G305" t="s">
        <v>160</v>
      </c>
      <c r="I305" t="s">
        <v>249</v>
      </c>
      <c r="J305" t="s">
        <v>1772</v>
      </c>
      <c r="K305">
        <v>0</v>
      </c>
      <c r="L305" t="s">
        <v>251</v>
      </c>
      <c r="N305" t="s">
        <v>419</v>
      </c>
      <c r="O305" t="s">
        <v>1772</v>
      </c>
      <c r="P305">
        <v>7.9015773401866057E-5</v>
      </c>
      <c r="Q305" t="s">
        <v>251</v>
      </c>
      <c r="S305" t="s">
        <v>420</v>
      </c>
      <c r="T305" t="s">
        <v>1772</v>
      </c>
      <c r="U305">
        <v>6.0176738872389353E-5</v>
      </c>
      <c r="V305" t="s">
        <v>251</v>
      </c>
      <c r="X305">
        <v>1.1415525114155251E-4</v>
      </c>
      <c r="Y305">
        <v>1.6905750441289813E-4</v>
      </c>
      <c r="Z305" t="s">
        <v>1772</v>
      </c>
      <c r="AA305" t="s">
        <v>25</v>
      </c>
      <c r="AC305" t="s">
        <v>22</v>
      </c>
      <c r="AD305" t="s">
        <v>1772</v>
      </c>
      <c r="AE305">
        <v>1.4339400457006961E-4</v>
      </c>
      <c r="AG305" t="s">
        <v>99</v>
      </c>
      <c r="AH305" t="s">
        <v>1772</v>
      </c>
      <c r="AI305">
        <v>0</v>
      </c>
    </row>
    <row r="306" spans="5:35" x14ac:dyDescent="0.45">
      <c r="E306" t="s">
        <v>1557</v>
      </c>
      <c r="G306" t="s">
        <v>160</v>
      </c>
      <c r="I306" t="s">
        <v>249</v>
      </c>
      <c r="J306" t="s">
        <v>1773</v>
      </c>
      <c r="K306">
        <v>2.3156739363138452E-5</v>
      </c>
      <c r="L306" t="s">
        <v>251</v>
      </c>
      <c r="N306" t="s">
        <v>419</v>
      </c>
      <c r="O306" t="s">
        <v>1773</v>
      </c>
      <c r="P306">
        <v>8.113984299010243E-5</v>
      </c>
      <c r="Q306" t="s">
        <v>251</v>
      </c>
      <c r="S306" t="s">
        <v>420</v>
      </c>
      <c r="T306" t="s">
        <v>1773</v>
      </c>
      <c r="U306">
        <v>4.7539187657643331E-5</v>
      </c>
      <c r="V306" t="s">
        <v>251</v>
      </c>
      <c r="X306">
        <v>1.1415525114155251E-4</v>
      </c>
      <c r="Y306">
        <v>1.9060404909297337E-4</v>
      </c>
      <c r="Z306" t="s">
        <v>1773</v>
      </c>
      <c r="AA306" t="s">
        <v>25</v>
      </c>
      <c r="AC306" t="s">
        <v>22</v>
      </c>
      <c r="AD306" t="s">
        <v>1773</v>
      </c>
      <c r="AE306">
        <v>1.5603425604513032E-4</v>
      </c>
      <c r="AG306" t="s">
        <v>99</v>
      </c>
      <c r="AH306" t="s">
        <v>1773</v>
      </c>
      <c r="AI306">
        <v>0</v>
      </c>
    </row>
    <row r="307" spans="5:35" x14ac:dyDescent="0.45">
      <c r="E307" t="s">
        <v>1558</v>
      </c>
      <c r="G307" t="s">
        <v>160</v>
      </c>
      <c r="I307" t="s">
        <v>249</v>
      </c>
      <c r="J307" t="s">
        <v>1774</v>
      </c>
      <c r="K307">
        <v>1.5746078901579999E-4</v>
      </c>
      <c r="L307" t="s">
        <v>251</v>
      </c>
      <c r="N307" t="s">
        <v>419</v>
      </c>
      <c r="O307" t="s">
        <v>1774</v>
      </c>
      <c r="P307">
        <v>7.8307416475509347E-5</v>
      </c>
      <c r="Q307" t="s">
        <v>251</v>
      </c>
      <c r="S307" t="s">
        <v>420</v>
      </c>
      <c r="T307" t="s">
        <v>1774</v>
      </c>
      <c r="U307">
        <v>4.9713013787326468E-5</v>
      </c>
      <c r="V307" t="s">
        <v>251</v>
      </c>
      <c r="X307">
        <v>1.1415525114155251E-4</v>
      </c>
      <c r="Y307">
        <v>1.4585353321897094E-4</v>
      </c>
      <c r="Z307" t="s">
        <v>1774</v>
      </c>
      <c r="AA307" t="s">
        <v>25</v>
      </c>
      <c r="AC307" t="s">
        <v>22</v>
      </c>
      <c r="AD307" t="s">
        <v>1774</v>
      </c>
      <c r="AE307">
        <v>1.6088306127637415E-4</v>
      </c>
      <c r="AG307" t="s">
        <v>99</v>
      </c>
      <c r="AH307" t="s">
        <v>1774</v>
      </c>
      <c r="AI307">
        <v>0</v>
      </c>
    </row>
    <row r="308" spans="5:35" x14ac:dyDescent="0.45">
      <c r="E308" t="s">
        <v>1559</v>
      </c>
      <c r="G308" t="s">
        <v>160</v>
      </c>
      <c r="I308" t="s">
        <v>249</v>
      </c>
      <c r="J308" t="s">
        <v>1775</v>
      </c>
      <c r="K308">
        <v>1.8501170654210001E-4</v>
      </c>
      <c r="L308" t="s">
        <v>251</v>
      </c>
      <c r="N308" t="s">
        <v>419</v>
      </c>
      <c r="O308" t="s">
        <v>1775</v>
      </c>
      <c r="P308">
        <v>6.3996278482488956E-5</v>
      </c>
      <c r="Q308" t="s">
        <v>251</v>
      </c>
      <c r="S308" t="s">
        <v>420</v>
      </c>
      <c r="T308" t="s">
        <v>1775</v>
      </c>
      <c r="U308">
        <v>4.5866832948135722E-5</v>
      </c>
      <c r="V308" t="s">
        <v>251</v>
      </c>
      <c r="X308">
        <v>1.1415525114155251E-4</v>
      </c>
      <c r="Y308">
        <v>1.4452759200788939E-4</v>
      </c>
      <c r="Z308" t="s">
        <v>1775</v>
      </c>
      <c r="AA308" t="s">
        <v>25</v>
      </c>
      <c r="AC308" t="s">
        <v>22</v>
      </c>
      <c r="AD308" t="s">
        <v>1775</v>
      </c>
      <c r="AE308">
        <v>1.6181827309615953E-4</v>
      </c>
      <c r="AG308" t="s">
        <v>99</v>
      </c>
      <c r="AH308" t="s">
        <v>1775</v>
      </c>
      <c r="AI308">
        <v>0</v>
      </c>
    </row>
    <row r="309" spans="5:35" x14ac:dyDescent="0.45">
      <c r="E309" t="s">
        <v>1560</v>
      </c>
      <c r="G309" t="s">
        <v>160</v>
      </c>
      <c r="I309" t="s">
        <v>249</v>
      </c>
      <c r="J309" t="s">
        <v>1776</v>
      </c>
      <c r="K309">
        <v>1.8655330337180001E-4</v>
      </c>
      <c r="L309" t="s">
        <v>251</v>
      </c>
      <c r="N309" t="s">
        <v>419</v>
      </c>
      <c r="O309" t="s">
        <v>1776</v>
      </c>
      <c r="P309">
        <v>5.5343998806899088E-5</v>
      </c>
      <c r="Q309" t="s">
        <v>251</v>
      </c>
      <c r="S309" t="s">
        <v>420</v>
      </c>
      <c r="T309" t="s">
        <v>1776</v>
      </c>
      <c r="U309">
        <v>4.2769740638333361E-5</v>
      </c>
      <c r="V309" t="s">
        <v>251</v>
      </c>
      <c r="X309">
        <v>1.1415525114155251E-4</v>
      </c>
      <c r="Y309">
        <v>1.408812536774151E-4</v>
      </c>
      <c r="Z309" t="s">
        <v>1776</v>
      </c>
      <c r="AA309" t="s">
        <v>25</v>
      </c>
      <c r="AC309" t="s">
        <v>22</v>
      </c>
      <c r="AD309" t="s">
        <v>1776</v>
      </c>
      <c r="AE309">
        <v>1.6727466817210467E-4</v>
      </c>
      <c r="AG309" t="s">
        <v>99</v>
      </c>
      <c r="AH309" t="s">
        <v>1776</v>
      </c>
      <c r="AI309">
        <v>0</v>
      </c>
    </row>
    <row r="310" spans="5:35" x14ac:dyDescent="0.45">
      <c r="E310" t="s">
        <v>1561</v>
      </c>
      <c r="G310" t="s">
        <v>160</v>
      </c>
      <c r="I310" t="s">
        <v>249</v>
      </c>
      <c r="J310" t="s">
        <v>1777</v>
      </c>
      <c r="K310">
        <v>2.05491894306E-4</v>
      </c>
      <c r="L310" t="s">
        <v>251</v>
      </c>
      <c r="N310" t="s">
        <v>419</v>
      </c>
      <c r="O310" t="s">
        <v>1777</v>
      </c>
      <c r="P310">
        <v>5.6083291183281925E-5</v>
      </c>
      <c r="Q310" t="s">
        <v>251</v>
      </c>
      <c r="S310" t="s">
        <v>420</v>
      </c>
      <c r="T310" t="s">
        <v>1777</v>
      </c>
      <c r="U310">
        <v>3.9052288297029673E-5</v>
      </c>
      <c r="V310" t="s">
        <v>251</v>
      </c>
      <c r="X310">
        <v>1.1415525114155251E-4</v>
      </c>
      <c r="Y310">
        <v>1.4054976837464471E-4</v>
      </c>
      <c r="Z310" t="s">
        <v>1777</v>
      </c>
      <c r="AA310" t="s">
        <v>25</v>
      </c>
      <c r="AC310" t="s">
        <v>22</v>
      </c>
      <c r="AD310" t="s">
        <v>1777</v>
      </c>
      <c r="AE310">
        <v>1.6059117988039017E-4</v>
      </c>
      <c r="AG310" t="s">
        <v>99</v>
      </c>
      <c r="AH310" t="s">
        <v>1777</v>
      </c>
      <c r="AI310">
        <v>0</v>
      </c>
    </row>
    <row r="311" spans="5:35" x14ac:dyDescent="0.45">
      <c r="E311" t="s">
        <v>1562</v>
      </c>
      <c r="G311" t="s">
        <v>160</v>
      </c>
      <c r="I311" t="s">
        <v>249</v>
      </c>
      <c r="J311" t="s">
        <v>1778</v>
      </c>
      <c r="K311">
        <v>2.401252757796E-4</v>
      </c>
      <c r="L311" t="s">
        <v>251</v>
      </c>
      <c r="N311" t="s">
        <v>419</v>
      </c>
      <c r="O311" t="s">
        <v>1778</v>
      </c>
      <c r="P311">
        <v>5.6977905008546565E-5</v>
      </c>
      <c r="Q311" t="s">
        <v>251</v>
      </c>
      <c r="S311" t="s">
        <v>420</v>
      </c>
      <c r="T311" t="s">
        <v>1778</v>
      </c>
      <c r="U311">
        <v>3.5666352999957438E-5</v>
      </c>
      <c r="V311" t="s">
        <v>251</v>
      </c>
      <c r="X311">
        <v>1.1415525114155251E-4</v>
      </c>
      <c r="Y311">
        <v>1.4253868019126702E-4</v>
      </c>
      <c r="Z311" t="s">
        <v>1778</v>
      </c>
      <c r="AA311" t="s">
        <v>25</v>
      </c>
      <c r="AC311" t="s">
        <v>22</v>
      </c>
      <c r="AD311" t="s">
        <v>1778</v>
      </c>
      <c r="AE311">
        <v>1.4542526081559067E-4</v>
      </c>
      <c r="AG311" t="s">
        <v>99</v>
      </c>
      <c r="AH311" t="s">
        <v>1778</v>
      </c>
      <c r="AI311">
        <v>0</v>
      </c>
    </row>
    <row r="312" spans="5:35" x14ac:dyDescent="0.45">
      <c r="E312" t="s">
        <v>1563</v>
      </c>
      <c r="G312" t="s">
        <v>160</v>
      </c>
      <c r="I312" t="s">
        <v>249</v>
      </c>
      <c r="J312" t="s">
        <v>1779</v>
      </c>
      <c r="K312">
        <v>2.259939989709E-4</v>
      </c>
      <c r="L312" t="s">
        <v>251</v>
      </c>
      <c r="N312" t="s">
        <v>419</v>
      </c>
      <c r="O312" t="s">
        <v>1779</v>
      </c>
      <c r="P312">
        <v>4.9440621358734384E-5</v>
      </c>
      <c r="Q312" t="s">
        <v>251</v>
      </c>
      <c r="S312" t="s">
        <v>420</v>
      </c>
      <c r="T312" t="s">
        <v>1779</v>
      </c>
      <c r="U312">
        <v>3.2280219722881853E-5</v>
      </c>
      <c r="V312" t="s">
        <v>251</v>
      </c>
      <c r="X312">
        <v>1.1415525114155251E-4</v>
      </c>
      <c r="Y312">
        <v>1.4883690094390442E-4</v>
      </c>
      <c r="Z312" t="s">
        <v>1779</v>
      </c>
      <c r="AA312" t="s">
        <v>25</v>
      </c>
      <c r="AC312" t="s">
        <v>22</v>
      </c>
      <c r="AD312" t="s">
        <v>1779</v>
      </c>
      <c r="AE312">
        <v>1.2507695778127997E-4</v>
      </c>
      <c r="AG312" t="s">
        <v>99</v>
      </c>
      <c r="AH312" t="s">
        <v>1779</v>
      </c>
      <c r="AI312">
        <v>0</v>
      </c>
    </row>
    <row r="313" spans="5:35" x14ac:dyDescent="0.45">
      <c r="E313" t="s">
        <v>1564</v>
      </c>
      <c r="G313" t="s">
        <v>160</v>
      </c>
      <c r="I313" t="s">
        <v>249</v>
      </c>
      <c r="J313" t="s">
        <v>1780</v>
      </c>
      <c r="K313">
        <v>1.942803137622E-4</v>
      </c>
      <c r="L313" t="s">
        <v>251</v>
      </c>
      <c r="N313" t="s">
        <v>419</v>
      </c>
      <c r="O313" t="s">
        <v>1780</v>
      </c>
      <c r="P313">
        <v>4.1493332056665629E-5</v>
      </c>
      <c r="Q313" t="s">
        <v>251</v>
      </c>
      <c r="S313" t="s">
        <v>420</v>
      </c>
      <c r="T313" t="s">
        <v>1780</v>
      </c>
      <c r="U313">
        <v>2.8275496497717711E-5</v>
      </c>
      <c r="V313" t="s">
        <v>251</v>
      </c>
      <c r="X313">
        <v>1.1415525114155251E-4</v>
      </c>
      <c r="Y313">
        <v>1.5049432745775637E-4</v>
      </c>
      <c r="Z313" t="s">
        <v>1780</v>
      </c>
      <c r="AA313" t="s">
        <v>25</v>
      </c>
      <c r="AC313" t="s">
        <v>22</v>
      </c>
      <c r="AD313" t="s">
        <v>1780</v>
      </c>
      <c r="AE313">
        <v>1.1473601689499091E-4</v>
      </c>
      <c r="AG313" t="s">
        <v>99</v>
      </c>
      <c r="AH313" t="s">
        <v>1780</v>
      </c>
      <c r="AI313">
        <v>0</v>
      </c>
    </row>
    <row r="314" spans="5:35" x14ac:dyDescent="0.45">
      <c r="E314" t="s">
        <v>1565</v>
      </c>
      <c r="G314" t="s">
        <v>160</v>
      </c>
      <c r="I314" t="s">
        <v>249</v>
      </c>
      <c r="J314" t="s">
        <v>1781</v>
      </c>
      <c r="K314">
        <v>1.803960837515E-4</v>
      </c>
      <c r="L314" t="s">
        <v>251</v>
      </c>
      <c r="N314" t="s">
        <v>419</v>
      </c>
      <c r="O314" t="s">
        <v>1781</v>
      </c>
      <c r="P314">
        <v>4.0968180326362469E-5</v>
      </c>
      <c r="Q314" t="s">
        <v>251</v>
      </c>
      <c r="S314" t="s">
        <v>420</v>
      </c>
      <c r="T314" t="s">
        <v>1781</v>
      </c>
      <c r="U314">
        <v>2.5715041550445644E-5</v>
      </c>
      <c r="V314" t="s">
        <v>251</v>
      </c>
      <c r="X314">
        <v>1.1415525114155251E-4</v>
      </c>
      <c r="Y314">
        <v>1.7237235744060203E-4</v>
      </c>
      <c r="Z314" t="s">
        <v>1781</v>
      </c>
      <c r="AA314" t="s">
        <v>25</v>
      </c>
      <c r="AC314" t="s">
        <v>22</v>
      </c>
      <c r="AD314" t="s">
        <v>1781</v>
      </c>
      <c r="AE314">
        <v>9.4661724967114099E-5</v>
      </c>
      <c r="AG314" t="s">
        <v>99</v>
      </c>
      <c r="AH314" t="s">
        <v>1781</v>
      </c>
      <c r="AI314">
        <v>0</v>
      </c>
    </row>
    <row r="315" spans="5:35" x14ac:dyDescent="0.45">
      <c r="E315" t="s">
        <v>1566</v>
      </c>
      <c r="G315" t="s">
        <v>160</v>
      </c>
      <c r="I315" t="s">
        <v>249</v>
      </c>
      <c r="J315" t="s">
        <v>1782</v>
      </c>
      <c r="K315">
        <v>1.6991347517330001E-4</v>
      </c>
      <c r="L315" t="s">
        <v>251</v>
      </c>
      <c r="N315" t="s">
        <v>419</v>
      </c>
      <c r="O315" t="s">
        <v>1782</v>
      </c>
      <c r="P315">
        <v>4.0832286289300885E-5</v>
      </c>
      <c r="Q315" t="s">
        <v>251</v>
      </c>
      <c r="S315" t="s">
        <v>420</v>
      </c>
      <c r="T315" t="s">
        <v>1782</v>
      </c>
      <c r="U315">
        <v>2.5770536896182398E-5</v>
      </c>
      <c r="V315" t="s">
        <v>251</v>
      </c>
      <c r="X315">
        <v>1.1415525114155251E-4</v>
      </c>
      <c r="Y315">
        <v>2.2209515285616027E-4</v>
      </c>
      <c r="Z315" t="s">
        <v>1782</v>
      </c>
      <c r="AA315" t="s">
        <v>25</v>
      </c>
      <c r="AC315" t="s">
        <v>22</v>
      </c>
      <c r="AD315" t="s">
        <v>1782</v>
      </c>
      <c r="AE315">
        <v>9.0134584947770968E-5</v>
      </c>
      <c r="AG315" t="s">
        <v>99</v>
      </c>
      <c r="AH315" t="s">
        <v>1782</v>
      </c>
      <c r="AI315">
        <v>0</v>
      </c>
    </row>
    <row r="316" spans="5:35" x14ac:dyDescent="0.45">
      <c r="E316" t="s">
        <v>1567</v>
      </c>
      <c r="G316" t="s">
        <v>160</v>
      </c>
      <c r="I316" t="s">
        <v>249</v>
      </c>
      <c r="J316" t="s">
        <v>1783</v>
      </c>
      <c r="K316">
        <v>1.2741976710800001E-4</v>
      </c>
      <c r="L316" t="s">
        <v>251</v>
      </c>
      <c r="N316" t="s">
        <v>419</v>
      </c>
      <c r="O316" t="s">
        <v>1783</v>
      </c>
      <c r="P316">
        <v>4.1158713526609733E-5</v>
      </c>
      <c r="Q316" t="s">
        <v>251</v>
      </c>
      <c r="S316" t="s">
        <v>420</v>
      </c>
      <c r="T316" t="s">
        <v>1783</v>
      </c>
      <c r="U316">
        <v>2.7897709040508521E-5</v>
      </c>
      <c r="V316" t="s">
        <v>251</v>
      </c>
      <c r="X316">
        <v>1.1415525114155251E-4</v>
      </c>
      <c r="Y316">
        <v>2.2209515285616027E-4</v>
      </c>
      <c r="Z316" t="s">
        <v>1783</v>
      </c>
      <c r="AA316" t="s">
        <v>25</v>
      </c>
      <c r="AC316" t="s">
        <v>22</v>
      </c>
      <c r="AD316" t="s">
        <v>1783</v>
      </c>
      <c r="AE316">
        <v>8.504155242600994E-5</v>
      </c>
      <c r="AG316" t="s">
        <v>99</v>
      </c>
      <c r="AH316" t="s">
        <v>1783</v>
      </c>
      <c r="AI316">
        <v>0</v>
      </c>
    </row>
    <row r="317" spans="5:35" x14ac:dyDescent="0.45">
      <c r="E317" t="s">
        <v>1568</v>
      </c>
      <c r="G317" t="s">
        <v>160</v>
      </c>
      <c r="I317" t="s">
        <v>249</v>
      </c>
      <c r="J317" t="s">
        <v>1784</v>
      </c>
      <c r="K317">
        <v>1.1671842250129418E-5</v>
      </c>
      <c r="L317" t="s">
        <v>251</v>
      </c>
      <c r="N317" t="s">
        <v>419</v>
      </c>
      <c r="O317" t="s">
        <v>1784</v>
      </c>
      <c r="P317">
        <v>4.624270553983008E-5</v>
      </c>
      <c r="Q317" t="s">
        <v>251</v>
      </c>
      <c r="S317" t="s">
        <v>420</v>
      </c>
      <c r="T317" t="s">
        <v>1784</v>
      </c>
      <c r="U317">
        <v>3.0169920480522908E-5</v>
      </c>
      <c r="V317" t="s">
        <v>251</v>
      </c>
      <c r="X317">
        <v>1.1415525114155251E-4</v>
      </c>
      <c r="Y317">
        <v>1.7237235744060203E-4</v>
      </c>
      <c r="Z317" t="s">
        <v>1784</v>
      </c>
      <c r="AA317" t="s">
        <v>25</v>
      </c>
      <c r="AC317" t="s">
        <v>22</v>
      </c>
      <c r="AD317" t="s">
        <v>1784</v>
      </c>
      <c r="AE317">
        <v>8.4374394949475172E-5</v>
      </c>
      <c r="AG317" t="s">
        <v>99</v>
      </c>
      <c r="AH317" t="s">
        <v>1784</v>
      </c>
      <c r="AI317">
        <v>0</v>
      </c>
    </row>
    <row r="318" spans="5:35" x14ac:dyDescent="0.45">
      <c r="E318" t="s">
        <v>1569</v>
      </c>
      <c r="G318" t="s">
        <v>160</v>
      </c>
      <c r="I318" t="s">
        <v>249</v>
      </c>
      <c r="J318" t="s">
        <v>1785</v>
      </c>
      <c r="K318">
        <v>0</v>
      </c>
      <c r="L318" t="s">
        <v>251</v>
      </c>
      <c r="N318" t="s">
        <v>419</v>
      </c>
      <c r="O318" t="s">
        <v>1785</v>
      </c>
      <c r="P318">
        <v>5.0079836510351445E-5</v>
      </c>
      <c r="Q318" t="s">
        <v>251</v>
      </c>
      <c r="S318" t="s">
        <v>420</v>
      </c>
      <c r="T318" t="s">
        <v>1785</v>
      </c>
      <c r="U318">
        <v>3.2142174205211208E-5</v>
      </c>
      <c r="V318" t="s">
        <v>251</v>
      </c>
      <c r="X318">
        <v>1.1415525114155251E-4</v>
      </c>
      <c r="Y318">
        <v>1.5579809230208258E-4</v>
      </c>
      <c r="Z318" t="s">
        <v>1785</v>
      </c>
      <c r="AA318" t="s">
        <v>25</v>
      </c>
      <c r="AC318" t="s">
        <v>22</v>
      </c>
      <c r="AD318" t="s">
        <v>1785</v>
      </c>
      <c r="AE318">
        <v>8.8234377492283508E-5</v>
      </c>
      <c r="AG318" t="s">
        <v>99</v>
      </c>
      <c r="AH318" t="s">
        <v>1785</v>
      </c>
      <c r="AI318">
        <v>0</v>
      </c>
    </row>
    <row r="319" spans="5:35" x14ac:dyDescent="0.45">
      <c r="E319" t="s">
        <v>1570</v>
      </c>
      <c r="G319" t="s">
        <v>160</v>
      </c>
      <c r="I319" t="s">
        <v>249</v>
      </c>
      <c r="J319" t="s">
        <v>1786</v>
      </c>
      <c r="K319">
        <v>0</v>
      </c>
      <c r="L319" t="s">
        <v>251</v>
      </c>
      <c r="N319" t="s">
        <v>419</v>
      </c>
      <c r="O319" t="s">
        <v>1786</v>
      </c>
      <c r="P319">
        <v>5.6709873398114582E-5</v>
      </c>
      <c r="Q319" t="s">
        <v>251</v>
      </c>
      <c r="S319" t="s">
        <v>420</v>
      </c>
      <c r="T319" t="s">
        <v>1786</v>
      </c>
      <c r="U319">
        <v>3.3832059929712814E-5</v>
      </c>
      <c r="V319" t="s">
        <v>251</v>
      </c>
      <c r="X319">
        <v>1.1415525114155251E-4</v>
      </c>
      <c r="Y319">
        <v>1.093901499142282E-4</v>
      </c>
      <c r="Z319" t="s">
        <v>1786</v>
      </c>
      <c r="AA319" t="s">
        <v>25</v>
      </c>
      <c r="AC319" t="s">
        <v>22</v>
      </c>
      <c r="AD319" t="s">
        <v>1786</v>
      </c>
      <c r="AE319">
        <v>9.3154663881727515E-5</v>
      </c>
      <c r="AG319" t="s">
        <v>99</v>
      </c>
      <c r="AH319" t="s">
        <v>1786</v>
      </c>
      <c r="AI319">
        <v>0</v>
      </c>
    </row>
    <row r="320" spans="5:35" x14ac:dyDescent="0.45">
      <c r="E320" t="s">
        <v>1571</v>
      </c>
      <c r="G320" t="s">
        <v>160</v>
      </c>
      <c r="I320" t="s">
        <v>249</v>
      </c>
      <c r="J320" t="s">
        <v>1787</v>
      </c>
      <c r="K320">
        <v>0</v>
      </c>
      <c r="L320" t="s">
        <v>251</v>
      </c>
      <c r="N320" t="s">
        <v>419</v>
      </c>
      <c r="O320" t="s">
        <v>1787</v>
      </c>
      <c r="P320">
        <v>6.1222370015482126E-5</v>
      </c>
      <c r="Q320" t="s">
        <v>251</v>
      </c>
      <c r="S320" t="s">
        <v>420</v>
      </c>
      <c r="T320" t="s">
        <v>1787</v>
      </c>
      <c r="U320">
        <v>3.3836931713922166E-5</v>
      </c>
      <c r="V320" t="s">
        <v>251</v>
      </c>
      <c r="X320">
        <v>1.1415525114155251E-4</v>
      </c>
      <c r="Y320">
        <v>7.9556472664893237E-5</v>
      </c>
      <c r="Z320" t="s">
        <v>1787</v>
      </c>
      <c r="AA320" t="s">
        <v>25</v>
      </c>
      <c r="AC320" t="s">
        <v>22</v>
      </c>
      <c r="AD320" t="s">
        <v>1787</v>
      </c>
      <c r="AE320">
        <v>9.959392488292477E-5</v>
      </c>
      <c r="AG320" t="s">
        <v>99</v>
      </c>
      <c r="AH320" t="s">
        <v>1787</v>
      </c>
      <c r="AI320">
        <v>0</v>
      </c>
    </row>
    <row r="321" spans="5:35" x14ac:dyDescent="0.45">
      <c r="E321" t="s">
        <v>1572</v>
      </c>
      <c r="G321" t="s">
        <v>160</v>
      </c>
      <c r="I321" t="s">
        <v>249</v>
      </c>
      <c r="J321" t="s">
        <v>1788</v>
      </c>
      <c r="K321">
        <v>0</v>
      </c>
      <c r="L321" t="s">
        <v>251</v>
      </c>
      <c r="N321" t="s">
        <v>419</v>
      </c>
      <c r="O321" t="s">
        <v>1788</v>
      </c>
      <c r="P321">
        <v>6.3369760098536883E-5</v>
      </c>
      <c r="Q321" t="s">
        <v>251</v>
      </c>
      <c r="S321" t="s">
        <v>420</v>
      </c>
      <c r="T321" t="s">
        <v>1788</v>
      </c>
      <c r="U321">
        <v>3.1449737037434248E-5</v>
      </c>
      <c r="V321" t="s">
        <v>251</v>
      </c>
      <c r="X321">
        <v>1.1415525114155251E-4</v>
      </c>
      <c r="Y321">
        <v>5.6352501470966035E-5</v>
      </c>
      <c r="Z321" t="s">
        <v>1788</v>
      </c>
      <c r="AA321" t="s">
        <v>25</v>
      </c>
      <c r="AC321" t="s">
        <v>22</v>
      </c>
      <c r="AD321" t="s">
        <v>1788</v>
      </c>
      <c r="AE321">
        <v>1.0586639651498834E-4</v>
      </c>
      <c r="AG321" t="s">
        <v>99</v>
      </c>
      <c r="AH321" t="s">
        <v>1788</v>
      </c>
      <c r="AI321">
        <v>0</v>
      </c>
    </row>
    <row r="322" spans="5:35" x14ac:dyDescent="0.45">
      <c r="E322" t="s">
        <v>1573</v>
      </c>
      <c r="G322" t="s">
        <v>160</v>
      </c>
      <c r="I322" t="s">
        <v>249</v>
      </c>
      <c r="J322" t="s">
        <v>1789</v>
      </c>
      <c r="K322">
        <v>0</v>
      </c>
      <c r="L322" t="s">
        <v>251</v>
      </c>
      <c r="N322" t="s">
        <v>419</v>
      </c>
      <c r="O322" t="s">
        <v>1789</v>
      </c>
      <c r="P322">
        <v>6.5670492440415471E-5</v>
      </c>
      <c r="Q322" t="s">
        <v>251</v>
      </c>
      <c r="S322" t="s">
        <v>420</v>
      </c>
      <c r="T322" t="s">
        <v>1789</v>
      </c>
      <c r="U322">
        <v>3.019915112195392E-5</v>
      </c>
      <c r="V322" t="s">
        <v>251</v>
      </c>
      <c r="X322">
        <v>1.1415525114155251E-4</v>
      </c>
      <c r="Y322">
        <v>2.9833677249334962E-5</v>
      </c>
      <c r="Z322" t="s">
        <v>1789</v>
      </c>
      <c r="AA322" t="s">
        <v>25</v>
      </c>
      <c r="AC322" t="s">
        <v>22</v>
      </c>
      <c r="AD322" t="s">
        <v>1789</v>
      </c>
      <c r="AE322">
        <v>1.1231161427936901E-4</v>
      </c>
      <c r="AG322" t="s">
        <v>99</v>
      </c>
      <c r="AH322" t="s">
        <v>1789</v>
      </c>
      <c r="AI322">
        <v>0</v>
      </c>
    </row>
    <row r="323" spans="5:35" x14ac:dyDescent="0.45">
      <c r="E323" t="s">
        <v>460</v>
      </c>
      <c r="G323" t="s">
        <v>160</v>
      </c>
      <c r="I323" t="s">
        <v>249</v>
      </c>
      <c r="J323" t="s">
        <v>1790</v>
      </c>
      <c r="K323">
        <v>0</v>
      </c>
      <c r="L323" t="s">
        <v>251</v>
      </c>
      <c r="N323" t="s">
        <v>419</v>
      </c>
      <c r="O323" t="s">
        <v>1790</v>
      </c>
      <c r="P323">
        <v>6.9824688166594064E-5</v>
      </c>
      <c r="Q323" t="s">
        <v>251</v>
      </c>
      <c r="S323" t="s">
        <v>420</v>
      </c>
      <c r="T323" t="s">
        <v>1790</v>
      </c>
      <c r="U323">
        <v>3.0524367559600846E-5</v>
      </c>
      <c r="V323" t="s">
        <v>251</v>
      </c>
      <c r="X323">
        <v>1.1415525114155251E-4</v>
      </c>
      <c r="Y323">
        <v>2.1546544680075254E-5</v>
      </c>
      <c r="Z323" t="s">
        <v>1790</v>
      </c>
      <c r="AA323" t="s">
        <v>25</v>
      </c>
      <c r="AC323" t="s">
        <v>22</v>
      </c>
      <c r="AD323" t="s">
        <v>1790</v>
      </c>
      <c r="AE323">
        <v>1.1674344608777859E-4</v>
      </c>
      <c r="AG323" t="s">
        <v>99</v>
      </c>
      <c r="AH323" t="s">
        <v>1790</v>
      </c>
      <c r="AI323">
        <v>0</v>
      </c>
    </row>
    <row r="324" spans="5:35" x14ac:dyDescent="0.45">
      <c r="E324" t="s">
        <v>461</v>
      </c>
      <c r="G324" t="s">
        <v>160</v>
      </c>
      <c r="I324" t="s">
        <v>249</v>
      </c>
      <c r="J324" t="s">
        <v>1791</v>
      </c>
      <c r="K324">
        <v>0</v>
      </c>
      <c r="L324" t="s">
        <v>251</v>
      </c>
      <c r="N324" t="s">
        <v>419</v>
      </c>
      <c r="O324" t="s">
        <v>1791</v>
      </c>
      <c r="P324">
        <v>7.8759177478248199E-5</v>
      </c>
      <c r="Q324" t="s">
        <v>251</v>
      </c>
      <c r="S324" t="s">
        <v>420</v>
      </c>
      <c r="T324" t="s">
        <v>1791</v>
      </c>
      <c r="U324">
        <v>3.3512293408700589E-5</v>
      </c>
      <c r="V324" t="s">
        <v>251</v>
      </c>
      <c r="X324">
        <v>1.1415525114155251E-4</v>
      </c>
      <c r="Y324">
        <v>1.4916838624667481E-5</v>
      </c>
      <c r="Z324" t="s">
        <v>1791</v>
      </c>
      <c r="AA324" t="s">
        <v>25</v>
      </c>
      <c r="AC324" t="s">
        <v>22</v>
      </c>
      <c r="AD324" t="s">
        <v>1791</v>
      </c>
      <c r="AE324">
        <v>1.1770844172348067E-4</v>
      </c>
      <c r="AG324" t="s">
        <v>99</v>
      </c>
      <c r="AH324" t="s">
        <v>1791</v>
      </c>
      <c r="AI324">
        <v>0</v>
      </c>
    </row>
    <row r="325" spans="5:35" x14ac:dyDescent="0.45">
      <c r="E325" t="s">
        <v>462</v>
      </c>
      <c r="G325" t="s">
        <v>160</v>
      </c>
      <c r="I325" t="s">
        <v>249</v>
      </c>
      <c r="J325" t="s">
        <v>1792</v>
      </c>
      <c r="K325">
        <v>0</v>
      </c>
      <c r="L325" t="s">
        <v>251</v>
      </c>
      <c r="N325" t="s">
        <v>419</v>
      </c>
      <c r="O325" t="s">
        <v>1792</v>
      </c>
      <c r="P325">
        <v>8.9507751729084439E-5</v>
      </c>
      <c r="Q325" t="s">
        <v>251</v>
      </c>
      <c r="S325" t="s">
        <v>420</v>
      </c>
      <c r="T325" t="s">
        <v>1792</v>
      </c>
      <c r="U325">
        <v>3.629087871166469E-5</v>
      </c>
      <c r="V325" t="s">
        <v>251</v>
      </c>
      <c r="X325">
        <v>1.1415525114155251E-4</v>
      </c>
      <c r="Y325">
        <v>1.6574265138519424E-5</v>
      </c>
      <c r="Z325" t="s">
        <v>1792</v>
      </c>
      <c r="AA325" t="s">
        <v>25</v>
      </c>
      <c r="AC325" t="s">
        <v>22</v>
      </c>
      <c r="AD325" t="s">
        <v>1792</v>
      </c>
      <c r="AE325">
        <v>1.1782162022396425E-4</v>
      </c>
      <c r="AG325" t="s">
        <v>99</v>
      </c>
      <c r="AH325" t="s">
        <v>1792</v>
      </c>
      <c r="AI325">
        <v>0</v>
      </c>
    </row>
    <row r="326" spans="5:35" x14ac:dyDescent="0.45">
      <c r="E326" t="s">
        <v>463</v>
      </c>
      <c r="G326" t="s">
        <v>160</v>
      </c>
      <c r="I326" t="s">
        <v>249</v>
      </c>
      <c r="J326" t="s">
        <v>1793</v>
      </c>
      <c r="K326">
        <v>0</v>
      </c>
      <c r="L326" t="s">
        <v>251</v>
      </c>
      <c r="N326" t="s">
        <v>419</v>
      </c>
      <c r="O326" t="s">
        <v>1793</v>
      </c>
      <c r="P326">
        <v>9.5953849417990041E-5</v>
      </c>
      <c r="Q326" t="s">
        <v>251</v>
      </c>
      <c r="S326" t="s">
        <v>420</v>
      </c>
      <c r="T326" t="s">
        <v>1793</v>
      </c>
      <c r="U326">
        <v>3.6064382333558536E-5</v>
      </c>
      <c r="V326" t="s">
        <v>251</v>
      </c>
      <c r="X326">
        <v>1.1415525114155251E-4</v>
      </c>
      <c r="Y326">
        <v>1.4585353321897093E-5</v>
      </c>
      <c r="Z326" t="s">
        <v>1793</v>
      </c>
      <c r="AA326" t="s">
        <v>25</v>
      </c>
      <c r="AC326" t="s">
        <v>22</v>
      </c>
      <c r="AD326" t="s">
        <v>1793</v>
      </c>
      <c r="AE326">
        <v>1.1842325330548222E-4</v>
      </c>
      <c r="AG326" t="s">
        <v>99</v>
      </c>
      <c r="AH326" t="s">
        <v>1793</v>
      </c>
      <c r="AI326">
        <v>0</v>
      </c>
    </row>
    <row r="327" spans="5:35" x14ac:dyDescent="0.45">
      <c r="E327" t="s">
        <v>464</v>
      </c>
      <c r="G327" t="s">
        <v>160</v>
      </c>
      <c r="I327" t="s">
        <v>249</v>
      </c>
      <c r="J327" t="s">
        <v>1794</v>
      </c>
      <c r="K327">
        <v>0</v>
      </c>
      <c r="L327" t="s">
        <v>251</v>
      </c>
      <c r="N327" t="s">
        <v>419</v>
      </c>
      <c r="O327" t="s">
        <v>1794</v>
      </c>
      <c r="P327">
        <v>1.012282310381E-4</v>
      </c>
      <c r="Q327" t="s">
        <v>251</v>
      </c>
      <c r="S327" t="s">
        <v>420</v>
      </c>
      <c r="T327" t="s">
        <v>1794</v>
      </c>
      <c r="U327">
        <v>3.5208097265013229E-5</v>
      </c>
      <c r="V327" t="s">
        <v>251</v>
      </c>
      <c r="X327">
        <v>1.1415525114155251E-4</v>
      </c>
      <c r="Y327">
        <v>2.1215059377304864E-5</v>
      </c>
      <c r="Z327" t="s">
        <v>1794</v>
      </c>
      <c r="AA327" t="s">
        <v>25</v>
      </c>
      <c r="AC327" t="s">
        <v>22</v>
      </c>
      <c r="AD327" t="s">
        <v>1794</v>
      </c>
      <c r="AE327">
        <v>1.1382463212793893E-4</v>
      </c>
      <c r="AG327" t="s">
        <v>99</v>
      </c>
      <c r="AH327" t="s">
        <v>1794</v>
      </c>
      <c r="AI327">
        <v>0</v>
      </c>
    </row>
    <row r="328" spans="5:35" x14ac:dyDescent="0.45">
      <c r="E328" t="s">
        <v>465</v>
      </c>
      <c r="G328" t="s">
        <v>160</v>
      </c>
      <c r="I328" t="s">
        <v>249</v>
      </c>
      <c r="J328" t="s">
        <v>1795</v>
      </c>
      <c r="K328">
        <v>0</v>
      </c>
      <c r="L328" t="s">
        <v>251</v>
      </c>
      <c r="N328" t="s">
        <v>419</v>
      </c>
      <c r="O328" t="s">
        <v>1795</v>
      </c>
      <c r="P328">
        <v>1.058109000834E-4</v>
      </c>
      <c r="Q328" t="s">
        <v>251</v>
      </c>
      <c r="S328" t="s">
        <v>420</v>
      </c>
      <c r="T328" t="s">
        <v>1795</v>
      </c>
      <c r="U328">
        <v>3.552211794186867E-5</v>
      </c>
      <c r="V328" t="s">
        <v>251</v>
      </c>
      <c r="X328">
        <v>1.1415525114155251E-4</v>
      </c>
      <c r="Y328">
        <v>5.7678442682047593E-5</v>
      </c>
      <c r="Z328" t="s">
        <v>1795</v>
      </c>
      <c r="AA328" t="s">
        <v>25</v>
      </c>
      <c r="AC328" t="s">
        <v>22</v>
      </c>
      <c r="AD328" t="s">
        <v>1795</v>
      </c>
      <c r="AE328">
        <v>1.1355657778468835E-4</v>
      </c>
      <c r="AG328" t="s">
        <v>99</v>
      </c>
      <c r="AH328" t="s">
        <v>1795</v>
      </c>
      <c r="AI328">
        <v>0</v>
      </c>
    </row>
    <row r="329" spans="5:35" x14ac:dyDescent="0.45">
      <c r="E329" t="s">
        <v>466</v>
      </c>
      <c r="G329" t="s">
        <v>160</v>
      </c>
      <c r="I329" t="s">
        <v>249</v>
      </c>
      <c r="J329" t="s">
        <v>1796</v>
      </c>
      <c r="K329">
        <v>0</v>
      </c>
      <c r="L329" t="s">
        <v>251</v>
      </c>
      <c r="N329" t="s">
        <v>419</v>
      </c>
      <c r="O329" t="s">
        <v>1796</v>
      </c>
      <c r="P329">
        <v>1.119159288113E-4</v>
      </c>
      <c r="Q329" t="s">
        <v>251</v>
      </c>
      <c r="S329" t="s">
        <v>420</v>
      </c>
      <c r="T329" t="s">
        <v>1796</v>
      </c>
      <c r="U329">
        <v>3.6369670185932781E-5</v>
      </c>
      <c r="V329" t="s">
        <v>251</v>
      </c>
      <c r="X329">
        <v>1.1415525114155251E-4</v>
      </c>
      <c r="Y329">
        <v>1.6905750441289813E-4</v>
      </c>
      <c r="Z329" t="s">
        <v>1796</v>
      </c>
      <c r="AA329" t="s">
        <v>25</v>
      </c>
      <c r="AC329" t="s">
        <v>22</v>
      </c>
      <c r="AD329" t="s">
        <v>1796</v>
      </c>
      <c r="AE329">
        <v>1.1462283839450733E-4</v>
      </c>
      <c r="AG329" t="s">
        <v>99</v>
      </c>
      <c r="AH329" t="s">
        <v>1796</v>
      </c>
      <c r="AI329">
        <v>0</v>
      </c>
    </row>
    <row r="330" spans="5:35" x14ac:dyDescent="0.45">
      <c r="E330" t="s">
        <v>467</v>
      </c>
      <c r="G330" t="s">
        <v>160</v>
      </c>
      <c r="I330" t="s">
        <v>249</v>
      </c>
      <c r="J330" t="s">
        <v>1797</v>
      </c>
      <c r="K330">
        <v>2.2128495260735311E-5</v>
      </c>
      <c r="L330" t="s">
        <v>251</v>
      </c>
      <c r="N330" t="s">
        <v>419</v>
      </c>
      <c r="O330" t="s">
        <v>1797</v>
      </c>
      <c r="P330">
        <v>1.175510829304E-4</v>
      </c>
      <c r="Q330" t="s">
        <v>251</v>
      </c>
      <c r="S330" t="s">
        <v>420</v>
      </c>
      <c r="T330" t="s">
        <v>1797</v>
      </c>
      <c r="U330">
        <v>3.974691864418217E-5</v>
      </c>
      <c r="V330" t="s">
        <v>251</v>
      </c>
      <c r="X330">
        <v>1.1415525114155251E-4</v>
      </c>
      <c r="Y330">
        <v>1.9060404909297337E-4</v>
      </c>
      <c r="Z330" t="s">
        <v>1797</v>
      </c>
      <c r="AA330" t="s">
        <v>25</v>
      </c>
      <c r="AC330" t="s">
        <v>22</v>
      </c>
      <c r="AD330" t="s">
        <v>1797</v>
      </c>
      <c r="AE330">
        <v>1.2937178403647255E-4</v>
      </c>
      <c r="AG330" t="s">
        <v>99</v>
      </c>
      <c r="AH330" t="s">
        <v>1797</v>
      </c>
      <c r="AI330">
        <v>0</v>
      </c>
    </row>
    <row r="331" spans="5:35" x14ac:dyDescent="0.45">
      <c r="E331" t="s">
        <v>468</v>
      </c>
      <c r="G331" t="s">
        <v>160</v>
      </c>
      <c r="I331" t="s">
        <v>249</v>
      </c>
      <c r="J331" t="s">
        <v>1798</v>
      </c>
      <c r="K331">
        <v>1.4833352241239999E-4</v>
      </c>
      <c r="L331" t="s">
        <v>251</v>
      </c>
      <c r="N331" t="s">
        <v>419</v>
      </c>
      <c r="O331" t="s">
        <v>1798</v>
      </c>
      <c r="P331">
        <v>1.0899782671400001E-4</v>
      </c>
      <c r="Q331" t="s">
        <v>251</v>
      </c>
      <c r="S331" t="s">
        <v>420</v>
      </c>
      <c r="T331" t="s">
        <v>1798</v>
      </c>
      <c r="U331">
        <v>3.7816542076908289E-5</v>
      </c>
      <c r="V331" t="s">
        <v>251</v>
      </c>
      <c r="X331">
        <v>1.1415525114155251E-4</v>
      </c>
      <c r="Y331">
        <v>1.4585353321897094E-4</v>
      </c>
      <c r="Z331" t="s">
        <v>1798</v>
      </c>
      <c r="AA331" t="s">
        <v>25</v>
      </c>
      <c r="AC331" t="s">
        <v>22</v>
      </c>
      <c r="AD331" t="s">
        <v>1798</v>
      </c>
      <c r="AE331">
        <v>1.363411969609877E-4</v>
      </c>
      <c r="AG331" t="s">
        <v>99</v>
      </c>
      <c r="AH331" t="s">
        <v>1798</v>
      </c>
      <c r="AI331">
        <v>0</v>
      </c>
    </row>
    <row r="332" spans="5:35" x14ac:dyDescent="0.45">
      <c r="E332" t="s">
        <v>469</v>
      </c>
      <c r="G332" t="s">
        <v>160</v>
      </c>
      <c r="I332" t="s">
        <v>249</v>
      </c>
      <c r="J332" t="s">
        <v>1799</v>
      </c>
      <c r="K332">
        <v>1.721498580156E-4</v>
      </c>
      <c r="L332" t="s">
        <v>251</v>
      </c>
      <c r="N332" t="s">
        <v>419</v>
      </c>
      <c r="O332" t="s">
        <v>1799</v>
      </c>
      <c r="P332">
        <v>8.3499177746622875E-5</v>
      </c>
      <c r="Q332" t="s">
        <v>251</v>
      </c>
      <c r="S332" t="s">
        <v>420</v>
      </c>
      <c r="T332" t="s">
        <v>1799</v>
      </c>
      <c r="U332">
        <v>3.4488030996594369E-5</v>
      </c>
      <c r="V332" t="s">
        <v>251</v>
      </c>
      <c r="X332">
        <v>1.1415525114155251E-4</v>
      </c>
      <c r="Y332">
        <v>1.4452759200788939E-4</v>
      </c>
      <c r="Z332" t="s">
        <v>1799</v>
      </c>
      <c r="AA332" t="s">
        <v>25</v>
      </c>
      <c r="AC332" t="s">
        <v>22</v>
      </c>
      <c r="AD332" t="s">
        <v>1799</v>
      </c>
      <c r="AE332">
        <v>1.3595996411725351E-4</v>
      </c>
      <c r="AG332" t="s">
        <v>99</v>
      </c>
      <c r="AH332" t="s">
        <v>1799</v>
      </c>
      <c r="AI332">
        <v>0</v>
      </c>
    </row>
    <row r="333" spans="5:35" x14ac:dyDescent="0.45">
      <c r="E333" t="s">
        <v>470</v>
      </c>
      <c r="G333" t="s">
        <v>160</v>
      </c>
      <c r="I333" t="s">
        <v>249</v>
      </c>
      <c r="J333" t="s">
        <v>1800</v>
      </c>
      <c r="K333">
        <v>1.8018960762299999E-4</v>
      </c>
      <c r="L333" t="s">
        <v>251</v>
      </c>
      <c r="N333" t="s">
        <v>419</v>
      </c>
      <c r="O333" t="s">
        <v>1800</v>
      </c>
      <c r="P333">
        <v>6.5859660833575179E-5</v>
      </c>
      <c r="Q333" t="s">
        <v>251</v>
      </c>
      <c r="S333" t="s">
        <v>420</v>
      </c>
      <c r="T333" t="s">
        <v>1800</v>
      </c>
      <c r="U333">
        <v>3.0947247453033061E-5</v>
      </c>
      <c r="V333" t="s">
        <v>251</v>
      </c>
      <c r="X333">
        <v>1.1415525114155251E-4</v>
      </c>
      <c r="Y333">
        <v>1.408812536774151E-4</v>
      </c>
      <c r="Z333" t="s">
        <v>1800</v>
      </c>
      <c r="AA333" t="s">
        <v>25</v>
      </c>
      <c r="AC333" t="s">
        <v>22</v>
      </c>
      <c r="AD333" t="s">
        <v>1800</v>
      </c>
      <c r="AE333">
        <v>1.39099178314877E-4</v>
      </c>
      <c r="AG333" t="s">
        <v>99</v>
      </c>
      <c r="AH333" t="s">
        <v>1800</v>
      </c>
      <c r="AI333">
        <v>0</v>
      </c>
    </row>
    <row r="334" spans="5:35" x14ac:dyDescent="0.45">
      <c r="E334" t="s">
        <v>471</v>
      </c>
      <c r="G334" t="s">
        <v>160</v>
      </c>
      <c r="I334" t="s">
        <v>249</v>
      </c>
      <c r="J334" t="s">
        <v>1801</v>
      </c>
      <c r="K334">
        <v>1.945245031319E-4</v>
      </c>
      <c r="L334" t="s">
        <v>251</v>
      </c>
      <c r="N334" t="s">
        <v>419</v>
      </c>
      <c r="O334" t="s">
        <v>1801</v>
      </c>
      <c r="P334">
        <v>6.4508465045348868E-5</v>
      </c>
      <c r="Q334" t="s">
        <v>251</v>
      </c>
      <c r="S334" t="s">
        <v>420</v>
      </c>
      <c r="T334" t="s">
        <v>1801</v>
      </c>
      <c r="U334">
        <v>2.7982291362011229E-5</v>
      </c>
      <c r="V334" t="s">
        <v>251</v>
      </c>
      <c r="X334">
        <v>1.1415525114155251E-4</v>
      </c>
      <c r="Y334">
        <v>1.4054976837464471E-4</v>
      </c>
      <c r="Z334" t="s">
        <v>1801</v>
      </c>
      <c r="AA334" t="s">
        <v>25</v>
      </c>
      <c r="AC334" t="s">
        <v>22</v>
      </c>
      <c r="AD334" t="s">
        <v>1801</v>
      </c>
      <c r="AE334">
        <v>1.3321985305291426E-4</v>
      </c>
      <c r="AG334" t="s">
        <v>99</v>
      </c>
      <c r="AH334" t="s">
        <v>1801</v>
      </c>
      <c r="AI334">
        <v>0</v>
      </c>
    </row>
    <row r="335" spans="5:35" x14ac:dyDescent="0.45">
      <c r="E335" t="s">
        <v>472</v>
      </c>
      <c r="G335" t="s">
        <v>160</v>
      </c>
      <c r="I335" t="s">
        <v>249</v>
      </c>
      <c r="J335" t="s">
        <v>1802</v>
      </c>
      <c r="K335">
        <v>2.288921682895E-4</v>
      </c>
      <c r="L335" t="s">
        <v>251</v>
      </c>
      <c r="N335" t="s">
        <v>419</v>
      </c>
      <c r="O335" t="s">
        <v>1802</v>
      </c>
      <c r="P335">
        <v>6.4083674076170942E-5</v>
      </c>
      <c r="Q335" t="s">
        <v>251</v>
      </c>
      <c r="S335" t="s">
        <v>420</v>
      </c>
      <c r="T335" t="s">
        <v>1802</v>
      </c>
      <c r="U335">
        <v>2.4655324299160541E-5</v>
      </c>
      <c r="V335" t="s">
        <v>251</v>
      </c>
      <c r="X335">
        <v>1.1415525114155251E-4</v>
      </c>
      <c r="Y335">
        <v>1.4253868019126702E-4</v>
      </c>
      <c r="Z335" t="s">
        <v>1802</v>
      </c>
      <c r="AA335" t="s">
        <v>25</v>
      </c>
      <c r="AC335" t="s">
        <v>22</v>
      </c>
      <c r="AD335" t="s">
        <v>1802</v>
      </c>
      <c r="AE335">
        <v>1.2516630922903015E-4</v>
      </c>
      <c r="AG335" t="s">
        <v>99</v>
      </c>
      <c r="AH335" t="s">
        <v>1802</v>
      </c>
      <c r="AI335">
        <v>0</v>
      </c>
    </row>
    <row r="336" spans="5:35" x14ac:dyDescent="0.45">
      <c r="E336" t="s">
        <v>473</v>
      </c>
      <c r="G336" t="s">
        <v>160</v>
      </c>
      <c r="I336" t="s">
        <v>249</v>
      </c>
      <c r="J336" t="s">
        <v>1803</v>
      </c>
      <c r="K336">
        <v>2.1725166294869999E-4</v>
      </c>
      <c r="L336" t="s">
        <v>251</v>
      </c>
      <c r="N336" t="s">
        <v>419</v>
      </c>
      <c r="O336" t="s">
        <v>1803</v>
      </c>
      <c r="P336">
        <v>6.4402085093208912E-5</v>
      </c>
      <c r="Q336" t="s">
        <v>251</v>
      </c>
      <c r="S336" t="s">
        <v>420</v>
      </c>
      <c r="T336" t="s">
        <v>1803</v>
      </c>
      <c r="U336">
        <v>2.2530889738931399E-5</v>
      </c>
      <c r="V336" t="s">
        <v>251</v>
      </c>
      <c r="X336">
        <v>1.1415525114155251E-4</v>
      </c>
      <c r="Y336">
        <v>1.4883690094390442E-4</v>
      </c>
      <c r="Z336" t="s">
        <v>1803</v>
      </c>
      <c r="AA336" t="s">
        <v>25</v>
      </c>
      <c r="AC336" t="s">
        <v>22</v>
      </c>
      <c r="AD336" t="s">
        <v>1803</v>
      </c>
      <c r="AE336">
        <v>1.1928698396706741E-4</v>
      </c>
      <c r="AG336" t="s">
        <v>99</v>
      </c>
      <c r="AH336" t="s">
        <v>1803</v>
      </c>
      <c r="AI336">
        <v>0</v>
      </c>
    </row>
    <row r="337" spans="5:35" x14ac:dyDescent="0.45">
      <c r="E337" t="s">
        <v>474</v>
      </c>
      <c r="G337" t="s">
        <v>160</v>
      </c>
      <c r="I337" t="s">
        <v>249</v>
      </c>
      <c r="J337" t="s">
        <v>1804</v>
      </c>
      <c r="K337">
        <v>1.8230834009080001E-4</v>
      </c>
      <c r="L337" t="s">
        <v>251</v>
      </c>
      <c r="N337" t="s">
        <v>419</v>
      </c>
      <c r="O337" t="s">
        <v>1804</v>
      </c>
      <c r="P337">
        <v>6.4283622545850477E-5</v>
      </c>
      <c r="Q337" t="s">
        <v>251</v>
      </c>
      <c r="S337" t="s">
        <v>420</v>
      </c>
      <c r="T337" t="s">
        <v>1804</v>
      </c>
      <c r="U337">
        <v>2.2956099689526929E-5</v>
      </c>
      <c r="V337" t="s">
        <v>251</v>
      </c>
      <c r="X337">
        <v>1.1415525114155251E-4</v>
      </c>
      <c r="Y337">
        <v>1.5049432745775637E-4</v>
      </c>
      <c r="Z337" t="s">
        <v>1804</v>
      </c>
      <c r="AA337" t="s">
        <v>25</v>
      </c>
      <c r="AC337" t="s">
        <v>22</v>
      </c>
      <c r="AD337" t="s">
        <v>1804</v>
      </c>
      <c r="AE337">
        <v>1.0939875708271267E-4</v>
      </c>
      <c r="AG337" t="s">
        <v>99</v>
      </c>
      <c r="AH337" t="s">
        <v>1804</v>
      </c>
      <c r="AI337">
        <v>0</v>
      </c>
    </row>
    <row r="338" spans="5:35" x14ac:dyDescent="0.45">
      <c r="E338" t="s">
        <v>475</v>
      </c>
      <c r="G338" t="s">
        <v>160</v>
      </c>
      <c r="I338" t="s">
        <v>249</v>
      </c>
      <c r="J338" t="s">
        <v>1805</v>
      </c>
      <c r="K338">
        <v>1.56515599016E-4</v>
      </c>
      <c r="L338" t="s">
        <v>251</v>
      </c>
      <c r="N338" t="s">
        <v>419</v>
      </c>
      <c r="O338" t="s">
        <v>1805</v>
      </c>
      <c r="P338">
        <v>5.729354575924595E-5</v>
      </c>
      <c r="Q338" t="s">
        <v>251</v>
      </c>
      <c r="S338" t="s">
        <v>420</v>
      </c>
      <c r="T338" t="s">
        <v>1805</v>
      </c>
      <c r="U338">
        <v>2.450716667957666E-5</v>
      </c>
      <c r="V338" t="s">
        <v>251</v>
      </c>
      <c r="X338">
        <v>1.1415525114155251E-4</v>
      </c>
      <c r="Y338">
        <v>1.7237235744060203E-4</v>
      </c>
      <c r="Z338" t="s">
        <v>1805</v>
      </c>
      <c r="AA338" t="s">
        <v>25</v>
      </c>
      <c r="AC338" t="s">
        <v>22</v>
      </c>
      <c r="AD338" t="s">
        <v>1805</v>
      </c>
      <c r="AE338">
        <v>9.2904479828026965E-5</v>
      </c>
      <c r="AG338" t="s">
        <v>99</v>
      </c>
      <c r="AH338" t="s">
        <v>1805</v>
      </c>
      <c r="AI338">
        <v>0</v>
      </c>
    </row>
    <row r="339" spans="5:35" x14ac:dyDescent="0.45">
      <c r="E339" t="s">
        <v>476</v>
      </c>
      <c r="G339" t="s">
        <v>160</v>
      </c>
      <c r="I339" t="s">
        <v>249</v>
      </c>
      <c r="J339" t="s">
        <v>1806</v>
      </c>
      <c r="K339">
        <v>1.3834876372160001E-4</v>
      </c>
      <c r="L339" t="s">
        <v>251</v>
      </c>
      <c r="N339" t="s">
        <v>419</v>
      </c>
      <c r="O339" t="s">
        <v>1806</v>
      </c>
      <c r="P339">
        <v>4.7036306326032758E-5</v>
      </c>
      <c r="Q339" t="s">
        <v>251</v>
      </c>
      <c r="S339" t="s">
        <v>420</v>
      </c>
      <c r="T339" t="s">
        <v>1806</v>
      </c>
      <c r="U339">
        <v>2.709485291997159E-5</v>
      </c>
      <c r="V339" t="s">
        <v>251</v>
      </c>
      <c r="X339">
        <v>1.1415525114155251E-4</v>
      </c>
      <c r="Y339">
        <v>2.2209515285616027E-4</v>
      </c>
      <c r="Z339" t="s">
        <v>1806</v>
      </c>
      <c r="AA339" t="s">
        <v>25</v>
      </c>
      <c r="AC339" t="s">
        <v>22</v>
      </c>
      <c r="AD339" t="s">
        <v>1806</v>
      </c>
      <c r="AE339">
        <v>8.8567956230550912E-5</v>
      </c>
      <c r="AG339" t="s">
        <v>99</v>
      </c>
      <c r="AH339" t="s">
        <v>1806</v>
      </c>
      <c r="AI339">
        <v>0</v>
      </c>
    </row>
    <row r="340" spans="5:35" x14ac:dyDescent="0.45">
      <c r="E340" t="s">
        <v>477</v>
      </c>
      <c r="G340" t="s">
        <v>160</v>
      </c>
      <c r="I340" t="s">
        <v>249</v>
      </c>
      <c r="J340" t="s">
        <v>1807</v>
      </c>
      <c r="K340">
        <v>1.0937853313559999E-4</v>
      </c>
      <c r="L340" t="s">
        <v>251</v>
      </c>
      <c r="N340" t="s">
        <v>419</v>
      </c>
      <c r="O340" t="s">
        <v>1807</v>
      </c>
      <c r="P340">
        <v>4.474834116411972E-5</v>
      </c>
      <c r="Q340" t="s">
        <v>251</v>
      </c>
      <c r="S340" t="s">
        <v>420</v>
      </c>
      <c r="T340" t="s">
        <v>1807</v>
      </c>
      <c r="U340">
        <v>2.9366094909028099E-5</v>
      </c>
      <c r="V340" t="s">
        <v>251</v>
      </c>
      <c r="X340">
        <v>1.1415525114155251E-4</v>
      </c>
      <c r="Y340">
        <v>2.2209515285616027E-4</v>
      </c>
      <c r="Z340" t="s">
        <v>1807</v>
      </c>
      <c r="AA340" t="s">
        <v>25</v>
      </c>
      <c r="AC340" t="s">
        <v>22</v>
      </c>
      <c r="AD340" t="s">
        <v>1807</v>
      </c>
      <c r="AE340">
        <v>8.3713194236123729E-5</v>
      </c>
      <c r="AG340" t="s">
        <v>99</v>
      </c>
      <c r="AH340" t="s">
        <v>1807</v>
      </c>
      <c r="AI340">
        <v>0</v>
      </c>
    </row>
    <row r="341" spans="5:35" x14ac:dyDescent="0.45">
      <c r="E341" t="s">
        <v>478</v>
      </c>
      <c r="G341" t="s">
        <v>160</v>
      </c>
      <c r="I341" t="s">
        <v>249</v>
      </c>
      <c r="J341" t="s">
        <v>1808</v>
      </c>
      <c r="K341">
        <v>1.089973456517839E-5</v>
      </c>
      <c r="L341" t="s">
        <v>251</v>
      </c>
      <c r="N341" t="s">
        <v>419</v>
      </c>
      <c r="O341" t="s">
        <v>1808</v>
      </c>
      <c r="P341">
        <v>5.487968838084133E-5</v>
      </c>
      <c r="Q341" t="s">
        <v>251</v>
      </c>
      <c r="S341" t="s">
        <v>420</v>
      </c>
      <c r="T341" t="s">
        <v>1808</v>
      </c>
      <c r="U341">
        <v>3.0896663660540759E-5</v>
      </c>
      <c r="V341" t="s">
        <v>251</v>
      </c>
      <c r="X341">
        <v>1.1415525114155251E-4</v>
      </c>
      <c r="Y341">
        <v>1.7237235744060203E-4</v>
      </c>
      <c r="Z341" t="s">
        <v>1808</v>
      </c>
      <c r="AA341" t="s">
        <v>25</v>
      </c>
      <c r="AC341" t="s">
        <v>22</v>
      </c>
      <c r="AD341" t="s">
        <v>1808</v>
      </c>
      <c r="AE341">
        <v>8.3457053419239841E-5</v>
      </c>
      <c r="AG341" t="s">
        <v>99</v>
      </c>
      <c r="AH341" t="s">
        <v>1808</v>
      </c>
      <c r="AI341">
        <v>0</v>
      </c>
    </row>
    <row r="342" spans="5:35" x14ac:dyDescent="0.45">
      <c r="E342" t="s">
        <v>479</v>
      </c>
      <c r="G342" t="s">
        <v>160</v>
      </c>
      <c r="I342" t="s">
        <v>249</v>
      </c>
      <c r="J342" t="s">
        <v>1809</v>
      </c>
      <c r="K342">
        <v>0</v>
      </c>
      <c r="L342" t="s">
        <v>251</v>
      </c>
      <c r="N342" t="s">
        <v>419</v>
      </c>
      <c r="O342" t="s">
        <v>1809</v>
      </c>
      <c r="P342">
        <v>6.7910140526524762E-5</v>
      </c>
      <c r="Q342" t="s">
        <v>251</v>
      </c>
      <c r="S342" t="s">
        <v>420</v>
      </c>
      <c r="T342" t="s">
        <v>1809</v>
      </c>
      <c r="U342">
        <v>2.4308808813678381E-5</v>
      </c>
      <c r="V342" t="s">
        <v>251</v>
      </c>
      <c r="X342">
        <v>1.1415525114155251E-4</v>
      </c>
      <c r="Y342">
        <v>1.5579809230208258E-4</v>
      </c>
      <c r="Z342" t="s">
        <v>1809</v>
      </c>
      <c r="AA342" t="s">
        <v>25</v>
      </c>
      <c r="AC342" t="s">
        <v>22</v>
      </c>
      <c r="AD342" t="s">
        <v>1809</v>
      </c>
      <c r="AE342">
        <v>8.7239598040664702E-5</v>
      </c>
      <c r="AG342" t="s">
        <v>99</v>
      </c>
      <c r="AH342" t="s">
        <v>1809</v>
      </c>
      <c r="AI342">
        <v>0</v>
      </c>
    </row>
    <row r="343" spans="5:35" x14ac:dyDescent="0.45">
      <c r="E343" t="s">
        <v>480</v>
      </c>
      <c r="G343" t="s">
        <v>160</v>
      </c>
      <c r="I343" t="s">
        <v>249</v>
      </c>
      <c r="J343" t="s">
        <v>1810</v>
      </c>
      <c r="K343">
        <v>0</v>
      </c>
      <c r="L343" t="s">
        <v>251</v>
      </c>
      <c r="N343" t="s">
        <v>419</v>
      </c>
      <c r="O343" t="s">
        <v>1810</v>
      </c>
      <c r="P343">
        <v>7.6974444505713066E-5</v>
      </c>
      <c r="Q343" t="s">
        <v>251</v>
      </c>
      <c r="S343" t="s">
        <v>420</v>
      </c>
      <c r="T343" t="s">
        <v>1810</v>
      </c>
      <c r="U343">
        <v>3.0288908462452511E-5</v>
      </c>
      <c r="V343" t="s">
        <v>251</v>
      </c>
      <c r="X343">
        <v>1.1415525114155251E-4</v>
      </c>
      <c r="Y343">
        <v>1.093901499142282E-4</v>
      </c>
      <c r="Z343" t="s">
        <v>1810</v>
      </c>
      <c r="AA343" t="s">
        <v>25</v>
      </c>
      <c r="AC343" t="s">
        <v>22</v>
      </c>
      <c r="AD343" t="s">
        <v>1810</v>
      </c>
      <c r="AE343">
        <v>9.2874696012110243E-5</v>
      </c>
      <c r="AG343" t="s">
        <v>99</v>
      </c>
      <c r="AH343" t="s">
        <v>1810</v>
      </c>
      <c r="AI343">
        <v>0</v>
      </c>
    </row>
    <row r="344" spans="5:35" x14ac:dyDescent="0.45">
      <c r="E344" t="s">
        <v>481</v>
      </c>
      <c r="G344" t="s">
        <v>160</v>
      </c>
      <c r="I344" t="s">
        <v>249</v>
      </c>
      <c r="J344" t="s">
        <v>1811</v>
      </c>
      <c r="K344">
        <v>0</v>
      </c>
      <c r="L344" t="s">
        <v>251</v>
      </c>
      <c r="N344" t="s">
        <v>419</v>
      </c>
      <c r="O344" t="s">
        <v>1811</v>
      </c>
      <c r="P344">
        <v>7.9130527836378416E-5</v>
      </c>
      <c r="Q344" t="s">
        <v>251</v>
      </c>
      <c r="S344" t="s">
        <v>420</v>
      </c>
      <c r="T344" t="s">
        <v>1811</v>
      </c>
      <c r="U344">
        <v>3.508333350895502E-5</v>
      </c>
      <c r="V344" t="s">
        <v>251</v>
      </c>
      <c r="X344">
        <v>1.1415525114155251E-4</v>
      </c>
      <c r="Y344">
        <v>7.9556472664893237E-5</v>
      </c>
      <c r="Z344" t="s">
        <v>1811</v>
      </c>
      <c r="AA344" t="s">
        <v>25</v>
      </c>
      <c r="AC344" t="s">
        <v>22</v>
      </c>
      <c r="AD344" t="s">
        <v>1811</v>
      </c>
      <c r="AE344">
        <v>9.7824766217470958E-5</v>
      </c>
      <c r="AG344" t="s">
        <v>99</v>
      </c>
      <c r="AH344" t="s">
        <v>1811</v>
      </c>
      <c r="AI344">
        <v>0</v>
      </c>
    </row>
    <row r="345" spans="5:35" x14ac:dyDescent="0.45">
      <c r="E345" t="s">
        <v>482</v>
      </c>
      <c r="G345" t="s">
        <v>160</v>
      </c>
      <c r="I345" t="s">
        <v>249</v>
      </c>
      <c r="J345" t="s">
        <v>1812</v>
      </c>
      <c r="K345">
        <v>0</v>
      </c>
      <c r="L345" t="s">
        <v>251</v>
      </c>
      <c r="N345" t="s">
        <v>419</v>
      </c>
      <c r="O345" t="s">
        <v>1812</v>
      </c>
      <c r="P345">
        <v>7.7598836463320793E-5</v>
      </c>
      <c r="Q345" t="s">
        <v>251</v>
      </c>
      <c r="S345" t="s">
        <v>420</v>
      </c>
      <c r="T345" t="s">
        <v>1812</v>
      </c>
      <c r="U345">
        <v>3.8458213724289856E-5</v>
      </c>
      <c r="V345" t="s">
        <v>251</v>
      </c>
      <c r="X345">
        <v>1.1415525114155251E-4</v>
      </c>
      <c r="Y345">
        <v>5.6352501470966035E-5</v>
      </c>
      <c r="Z345" t="s">
        <v>1812</v>
      </c>
      <c r="AA345" t="s">
        <v>25</v>
      </c>
      <c r="AC345" t="s">
        <v>22</v>
      </c>
      <c r="AD345" t="s">
        <v>1812</v>
      </c>
      <c r="AE345">
        <v>1.0448442745645201E-4</v>
      </c>
      <c r="AG345" t="s">
        <v>99</v>
      </c>
      <c r="AH345" t="s">
        <v>1812</v>
      </c>
      <c r="AI345">
        <v>0</v>
      </c>
    </row>
    <row r="346" spans="5:35" x14ac:dyDescent="0.45">
      <c r="E346" t="s">
        <v>483</v>
      </c>
      <c r="G346" t="s">
        <v>160</v>
      </c>
      <c r="I346" t="s">
        <v>249</v>
      </c>
      <c r="J346" t="s">
        <v>1813</v>
      </c>
      <c r="K346">
        <v>0</v>
      </c>
      <c r="L346" t="s">
        <v>251</v>
      </c>
      <c r="N346" t="s">
        <v>419</v>
      </c>
      <c r="O346" t="s">
        <v>1813</v>
      </c>
      <c r="P346">
        <v>7.5796613927947451E-5</v>
      </c>
      <c r="Q346" t="s">
        <v>251</v>
      </c>
      <c r="S346" t="s">
        <v>420</v>
      </c>
      <c r="T346" t="s">
        <v>1813</v>
      </c>
      <c r="U346">
        <v>4.0363345660717456E-5</v>
      </c>
      <c r="V346" t="s">
        <v>251</v>
      </c>
      <c r="X346">
        <v>1.1415525114155251E-4</v>
      </c>
      <c r="Y346">
        <v>2.9833677249334962E-5</v>
      </c>
      <c r="Z346" t="s">
        <v>1813</v>
      </c>
      <c r="AA346" t="s">
        <v>25</v>
      </c>
      <c r="AC346" t="s">
        <v>22</v>
      </c>
      <c r="AD346" t="s">
        <v>1813</v>
      </c>
      <c r="AE346">
        <v>1.0989316842693042E-4</v>
      </c>
      <c r="AG346" t="s">
        <v>99</v>
      </c>
      <c r="AH346" t="s">
        <v>1813</v>
      </c>
      <c r="AI346">
        <v>0</v>
      </c>
    </row>
    <row r="347" spans="5:35" x14ac:dyDescent="0.45">
      <c r="E347" t="s">
        <v>216</v>
      </c>
      <c r="G347" t="s">
        <v>164</v>
      </c>
      <c r="I347" t="s">
        <v>249</v>
      </c>
      <c r="J347" t="s">
        <v>1814</v>
      </c>
      <c r="K347">
        <v>0</v>
      </c>
      <c r="L347" t="s">
        <v>251</v>
      </c>
      <c r="N347" t="s">
        <v>419</v>
      </c>
      <c r="O347" t="s">
        <v>1814</v>
      </c>
      <c r="P347">
        <v>7.5156123683144479E-5</v>
      </c>
      <c r="Q347" t="s">
        <v>251</v>
      </c>
      <c r="S347" t="s">
        <v>420</v>
      </c>
      <c r="T347" t="s">
        <v>1814</v>
      </c>
      <c r="U347">
        <v>4.012023762715654E-5</v>
      </c>
      <c r="V347" t="s">
        <v>251</v>
      </c>
      <c r="X347">
        <v>1.1415525114155251E-4</v>
      </c>
      <c r="Y347">
        <v>2.1546544680075254E-5</v>
      </c>
      <c r="Z347" t="s">
        <v>1814</v>
      </c>
      <c r="AA347" t="s">
        <v>25</v>
      </c>
      <c r="AC347" t="s">
        <v>22</v>
      </c>
      <c r="AD347" t="s">
        <v>1814</v>
      </c>
      <c r="AE347">
        <v>1.1432500023534001E-4</v>
      </c>
      <c r="AG347" t="s">
        <v>99</v>
      </c>
      <c r="AH347" t="s">
        <v>1814</v>
      </c>
      <c r="AI347">
        <v>0</v>
      </c>
    </row>
    <row r="348" spans="5:35" x14ac:dyDescent="0.45">
      <c r="E348" t="s">
        <v>217</v>
      </c>
      <c r="G348" t="s">
        <v>164</v>
      </c>
      <c r="I348" t="s">
        <v>249</v>
      </c>
      <c r="J348" t="s">
        <v>1815</v>
      </c>
      <c r="K348">
        <v>0</v>
      </c>
      <c r="L348" t="s">
        <v>251</v>
      </c>
      <c r="N348" t="s">
        <v>419</v>
      </c>
      <c r="O348" t="s">
        <v>1815</v>
      </c>
      <c r="P348">
        <v>7.684306309930342E-5</v>
      </c>
      <c r="Q348" t="s">
        <v>251</v>
      </c>
      <c r="S348" t="s">
        <v>420</v>
      </c>
      <c r="T348" t="s">
        <v>1815</v>
      </c>
      <c r="U348">
        <v>3.9550848329685896E-5</v>
      </c>
      <c r="V348" t="s">
        <v>251</v>
      </c>
      <c r="X348">
        <v>1.1415525114155251E-4</v>
      </c>
      <c r="Y348">
        <v>1.4916838624667481E-5</v>
      </c>
      <c r="Z348" t="s">
        <v>1815</v>
      </c>
      <c r="AA348" t="s">
        <v>25</v>
      </c>
      <c r="AC348" t="s">
        <v>22</v>
      </c>
      <c r="AD348" t="s">
        <v>1815</v>
      </c>
      <c r="AE348">
        <v>1.162430779803775E-4</v>
      </c>
      <c r="AG348" t="s">
        <v>99</v>
      </c>
      <c r="AH348" t="s">
        <v>1815</v>
      </c>
      <c r="AI348">
        <v>0</v>
      </c>
    </row>
    <row r="349" spans="5:35" x14ac:dyDescent="0.45">
      <c r="E349" t="s">
        <v>218</v>
      </c>
      <c r="G349" t="s">
        <v>164</v>
      </c>
      <c r="I349" t="s">
        <v>249</v>
      </c>
      <c r="J349" t="s">
        <v>1816</v>
      </c>
      <c r="K349">
        <v>0</v>
      </c>
      <c r="L349" t="s">
        <v>251</v>
      </c>
      <c r="N349" t="s">
        <v>419</v>
      </c>
      <c r="O349" t="s">
        <v>1816</v>
      </c>
      <c r="P349">
        <v>8.0648303362577386E-5</v>
      </c>
      <c r="Q349" t="s">
        <v>251</v>
      </c>
      <c r="S349" t="s">
        <v>420</v>
      </c>
      <c r="T349" t="s">
        <v>1816</v>
      </c>
      <c r="U349">
        <v>3.9841125661798072E-5</v>
      </c>
      <c r="V349" t="s">
        <v>251</v>
      </c>
      <c r="X349">
        <v>1.1415525114155251E-4</v>
      </c>
      <c r="Y349">
        <v>1.6574265138519424E-5</v>
      </c>
      <c r="Z349" t="s">
        <v>1816</v>
      </c>
      <c r="AA349" t="s">
        <v>25</v>
      </c>
      <c r="AC349" t="s">
        <v>22</v>
      </c>
      <c r="AD349" t="s">
        <v>1816</v>
      </c>
      <c r="AE349">
        <v>1.1632647266494436E-4</v>
      </c>
      <c r="AG349" t="s">
        <v>99</v>
      </c>
      <c r="AH349" t="s">
        <v>1816</v>
      </c>
      <c r="AI349">
        <v>0</v>
      </c>
    </row>
    <row r="350" spans="5:35" x14ac:dyDescent="0.45">
      <c r="E350" t="s">
        <v>219</v>
      </c>
      <c r="G350" t="s">
        <v>164</v>
      </c>
      <c r="I350" t="s">
        <v>249</v>
      </c>
      <c r="J350" t="s">
        <v>1817</v>
      </c>
      <c r="K350">
        <v>0</v>
      </c>
      <c r="L350" t="s">
        <v>251</v>
      </c>
      <c r="N350" t="s">
        <v>419</v>
      </c>
      <c r="O350" t="s">
        <v>1817</v>
      </c>
      <c r="P350">
        <v>8.325921170945682E-5</v>
      </c>
      <c r="Q350" t="s">
        <v>251</v>
      </c>
      <c r="S350" t="s">
        <v>420</v>
      </c>
      <c r="T350" t="s">
        <v>1817</v>
      </c>
      <c r="U350">
        <v>3.6947233537739349E-5</v>
      </c>
      <c r="V350" t="s">
        <v>251</v>
      </c>
      <c r="X350">
        <v>1.1415525114155251E-4</v>
      </c>
      <c r="Y350">
        <v>1.4585353321897093E-5</v>
      </c>
      <c r="Z350" t="s">
        <v>1817</v>
      </c>
      <c r="AA350" t="s">
        <v>25</v>
      </c>
      <c r="AC350" t="s">
        <v>22</v>
      </c>
      <c r="AD350" t="s">
        <v>1817</v>
      </c>
      <c r="AE350">
        <v>1.1567718547795961E-4</v>
      </c>
      <c r="AG350" t="s">
        <v>99</v>
      </c>
      <c r="AH350" t="s">
        <v>1817</v>
      </c>
      <c r="AI350">
        <v>0</v>
      </c>
    </row>
    <row r="351" spans="5:35" x14ac:dyDescent="0.45">
      <c r="E351" t="s">
        <v>220</v>
      </c>
      <c r="G351" t="s">
        <v>164</v>
      </c>
      <c r="I351" t="s">
        <v>249</v>
      </c>
      <c r="J351" t="s">
        <v>1818</v>
      </c>
      <c r="K351">
        <v>0</v>
      </c>
      <c r="L351" t="s">
        <v>251</v>
      </c>
      <c r="N351" t="s">
        <v>419</v>
      </c>
      <c r="O351" t="s">
        <v>1818</v>
      </c>
      <c r="P351">
        <v>8.4617911026412342E-5</v>
      </c>
      <c r="Q351" t="s">
        <v>251</v>
      </c>
      <c r="S351" t="s">
        <v>420</v>
      </c>
      <c r="T351" t="s">
        <v>1818</v>
      </c>
      <c r="U351">
        <v>3.5932792953851257E-5</v>
      </c>
      <c r="V351" t="s">
        <v>251</v>
      </c>
      <c r="X351">
        <v>1.1415525114155251E-4</v>
      </c>
      <c r="Y351">
        <v>2.1215059377304864E-5</v>
      </c>
      <c r="Z351" t="s">
        <v>1818</v>
      </c>
      <c r="AA351" t="s">
        <v>25</v>
      </c>
      <c r="AC351" t="s">
        <v>22</v>
      </c>
      <c r="AD351" t="s">
        <v>1818</v>
      </c>
      <c r="AE351">
        <v>1.1357444807423838E-4</v>
      </c>
      <c r="AG351" t="s">
        <v>99</v>
      </c>
      <c r="AH351" t="s">
        <v>1818</v>
      </c>
      <c r="AI351">
        <v>0</v>
      </c>
    </row>
    <row r="352" spans="5:35" x14ac:dyDescent="0.45">
      <c r="E352" t="s">
        <v>221</v>
      </c>
      <c r="G352" t="s">
        <v>164</v>
      </c>
      <c r="I352" t="s">
        <v>249</v>
      </c>
      <c r="J352" t="s">
        <v>1819</v>
      </c>
      <c r="K352">
        <v>0</v>
      </c>
      <c r="L352" t="s">
        <v>251</v>
      </c>
      <c r="N352" t="s">
        <v>419</v>
      </c>
      <c r="O352" t="s">
        <v>1819</v>
      </c>
      <c r="P352">
        <v>8.8007889599148902E-5</v>
      </c>
      <c r="Q352" t="s">
        <v>251</v>
      </c>
      <c r="S352" t="s">
        <v>420</v>
      </c>
      <c r="T352" t="s">
        <v>1819</v>
      </c>
      <c r="U352">
        <v>3.5220919796138287E-5</v>
      </c>
      <c r="V352" t="s">
        <v>251</v>
      </c>
      <c r="X352">
        <v>1.1415525114155251E-4</v>
      </c>
      <c r="Y352">
        <v>5.7678442682047593E-5</v>
      </c>
      <c r="Z352" t="s">
        <v>1819</v>
      </c>
      <c r="AA352" t="s">
        <v>25</v>
      </c>
      <c r="AC352" t="s">
        <v>22</v>
      </c>
      <c r="AD352" t="s">
        <v>1819</v>
      </c>
      <c r="AE352">
        <v>1.1355657778468835E-4</v>
      </c>
      <c r="AG352" t="s">
        <v>99</v>
      </c>
      <c r="AH352" t="s">
        <v>1819</v>
      </c>
      <c r="AI352">
        <v>0</v>
      </c>
    </row>
    <row r="353" spans="5:35" x14ac:dyDescent="0.45">
      <c r="E353" t="s">
        <v>222</v>
      </c>
      <c r="G353" t="s">
        <v>164</v>
      </c>
      <c r="I353" t="s">
        <v>249</v>
      </c>
      <c r="J353" t="s">
        <v>1820</v>
      </c>
      <c r="K353">
        <v>0</v>
      </c>
      <c r="L353" t="s">
        <v>251</v>
      </c>
      <c r="N353" t="s">
        <v>419</v>
      </c>
      <c r="O353" t="s">
        <v>1820</v>
      </c>
      <c r="P353">
        <v>8.7646819129073145E-5</v>
      </c>
      <c r="Q353" t="s">
        <v>251</v>
      </c>
      <c r="S353" t="s">
        <v>420</v>
      </c>
      <c r="T353" t="s">
        <v>1820</v>
      </c>
      <c r="U353">
        <v>3.7515944344853227E-5</v>
      </c>
      <c r="V353" t="s">
        <v>251</v>
      </c>
      <c r="X353">
        <v>1.1415525114155251E-4</v>
      </c>
      <c r="Y353">
        <v>1.6905750441289813E-4</v>
      </c>
      <c r="Z353" t="s">
        <v>1820</v>
      </c>
      <c r="AA353" t="s">
        <v>25</v>
      </c>
      <c r="AC353" t="s">
        <v>22</v>
      </c>
      <c r="AD353" t="s">
        <v>1820</v>
      </c>
      <c r="AE353">
        <v>1.1462283839450733E-4</v>
      </c>
      <c r="AG353" t="s">
        <v>99</v>
      </c>
      <c r="AH353" t="s">
        <v>1820</v>
      </c>
      <c r="AI353">
        <v>0</v>
      </c>
    </row>
    <row r="354" spans="5:35" x14ac:dyDescent="0.45">
      <c r="E354" t="s">
        <v>223</v>
      </c>
      <c r="G354" t="s">
        <v>164</v>
      </c>
      <c r="I354" t="s">
        <v>249</v>
      </c>
      <c r="J354" t="s">
        <v>1821</v>
      </c>
      <c r="K354">
        <v>3.1280826915015614E-6</v>
      </c>
      <c r="L354" t="s">
        <v>251</v>
      </c>
      <c r="N354" t="s">
        <v>419</v>
      </c>
      <c r="O354" t="s">
        <v>1821</v>
      </c>
      <c r="P354">
        <v>9.8391962149965359E-5</v>
      </c>
      <c r="Q354" t="s">
        <v>251</v>
      </c>
      <c r="S354" t="s">
        <v>420</v>
      </c>
      <c r="T354" t="s">
        <v>1821</v>
      </c>
      <c r="U354">
        <v>4.0178113895865545E-5</v>
      </c>
      <c r="V354" t="s">
        <v>251</v>
      </c>
      <c r="X354">
        <v>1.1415525114155251E-4</v>
      </c>
      <c r="Y354">
        <v>1.9060404909297337E-4</v>
      </c>
      <c r="Z354" t="s">
        <v>1821</v>
      </c>
      <c r="AA354" t="s">
        <v>25</v>
      </c>
      <c r="AC354" t="s">
        <v>22</v>
      </c>
      <c r="AD354" t="s">
        <v>1821</v>
      </c>
      <c r="AE354">
        <v>1.262683104179492E-4</v>
      </c>
      <c r="AG354" t="s">
        <v>99</v>
      </c>
      <c r="AH354" t="s">
        <v>1821</v>
      </c>
      <c r="AI354">
        <v>0</v>
      </c>
    </row>
    <row r="355" spans="5:35" x14ac:dyDescent="0.45">
      <c r="E355" t="s">
        <v>224</v>
      </c>
      <c r="G355" t="s">
        <v>164</v>
      </c>
      <c r="I355" t="s">
        <v>249</v>
      </c>
      <c r="J355" t="s">
        <v>1822</v>
      </c>
      <c r="K355">
        <v>9.6521414956725603E-5</v>
      </c>
      <c r="L355" t="s">
        <v>251</v>
      </c>
      <c r="N355" t="s">
        <v>419</v>
      </c>
      <c r="O355" t="s">
        <v>1822</v>
      </c>
      <c r="P355">
        <v>9.3371322160291565E-5</v>
      </c>
      <c r="Q355" t="s">
        <v>251</v>
      </c>
      <c r="S355" t="s">
        <v>420</v>
      </c>
      <c r="T355" t="s">
        <v>1822</v>
      </c>
      <c r="U355">
        <v>4.5474072512067807E-5</v>
      </c>
      <c r="V355" t="s">
        <v>251</v>
      </c>
      <c r="X355">
        <v>1.1415525114155251E-4</v>
      </c>
      <c r="Y355">
        <v>1.4585353321897094E-4</v>
      </c>
      <c r="Z355" t="s">
        <v>1822</v>
      </c>
      <c r="AA355" t="s">
        <v>25</v>
      </c>
      <c r="AC355" t="s">
        <v>22</v>
      </c>
      <c r="AD355" t="s">
        <v>1822</v>
      </c>
      <c r="AE355">
        <v>1.3590039648542007E-4</v>
      </c>
      <c r="AG355" t="s">
        <v>99</v>
      </c>
      <c r="AH355" t="s">
        <v>1822</v>
      </c>
      <c r="AI355">
        <v>0</v>
      </c>
    </row>
    <row r="356" spans="5:35" x14ac:dyDescent="0.45">
      <c r="E356" t="s">
        <v>225</v>
      </c>
      <c r="G356" t="s">
        <v>164</v>
      </c>
      <c r="I356" t="s">
        <v>249</v>
      </c>
      <c r="J356" t="s">
        <v>1823</v>
      </c>
      <c r="K356">
        <v>1.200866391075E-4</v>
      </c>
      <c r="L356" t="s">
        <v>251</v>
      </c>
      <c r="N356" t="s">
        <v>419</v>
      </c>
      <c r="O356" t="s">
        <v>1823</v>
      </c>
      <c r="P356">
        <v>6.7192136488793334E-5</v>
      </c>
      <c r="Q356" t="s">
        <v>251</v>
      </c>
      <c r="S356" t="s">
        <v>420</v>
      </c>
      <c r="T356" t="s">
        <v>1823</v>
      </c>
      <c r="U356">
        <v>4.5274527750989971E-5</v>
      </c>
      <c r="V356" t="s">
        <v>251</v>
      </c>
      <c r="X356">
        <v>1.1415525114155251E-4</v>
      </c>
      <c r="Y356">
        <v>1.4452759200788939E-4</v>
      </c>
      <c r="Z356" t="s">
        <v>1823</v>
      </c>
      <c r="AA356" t="s">
        <v>25</v>
      </c>
      <c r="AC356" t="s">
        <v>22</v>
      </c>
      <c r="AD356" t="s">
        <v>1823</v>
      </c>
      <c r="AE356">
        <v>1.3551320687850253E-4</v>
      </c>
      <c r="AG356" t="s">
        <v>99</v>
      </c>
      <c r="AH356" t="s">
        <v>1823</v>
      </c>
      <c r="AI356">
        <v>0</v>
      </c>
    </row>
    <row r="357" spans="5:35" x14ac:dyDescent="0.45">
      <c r="E357" t="s">
        <v>226</v>
      </c>
      <c r="G357" t="s">
        <v>164</v>
      </c>
      <c r="I357" t="s">
        <v>249</v>
      </c>
      <c r="J357" t="s">
        <v>1824</v>
      </c>
      <c r="K357">
        <v>1.215946177923E-4</v>
      </c>
      <c r="L357" t="s">
        <v>251</v>
      </c>
      <c r="N357" t="s">
        <v>419</v>
      </c>
      <c r="O357" t="s">
        <v>1824</v>
      </c>
      <c r="P357">
        <v>5.3142757938155333E-5</v>
      </c>
      <c r="Q357" t="s">
        <v>251</v>
      </c>
      <c r="S357" t="s">
        <v>420</v>
      </c>
      <c r="T357" t="s">
        <v>1824</v>
      </c>
      <c r="U357">
        <v>4.2473977126377056E-5</v>
      </c>
      <c r="V357" t="s">
        <v>251</v>
      </c>
      <c r="X357">
        <v>1.1415525114155251E-4</v>
      </c>
      <c r="Y357">
        <v>1.408812536774151E-4</v>
      </c>
      <c r="Z357" t="s">
        <v>1824</v>
      </c>
      <c r="AA357" t="s">
        <v>25</v>
      </c>
      <c r="AC357" t="s">
        <v>22</v>
      </c>
      <c r="AD357" t="s">
        <v>1824</v>
      </c>
      <c r="AE357">
        <v>1.3724066820167298E-4</v>
      </c>
      <c r="AG357" t="s">
        <v>99</v>
      </c>
      <c r="AH357" t="s">
        <v>1824</v>
      </c>
      <c r="AI357">
        <v>0</v>
      </c>
    </row>
    <row r="358" spans="5:35" x14ac:dyDescent="0.45">
      <c r="E358" t="s">
        <v>227</v>
      </c>
      <c r="G358" t="s">
        <v>164</v>
      </c>
      <c r="I358" t="s">
        <v>249</v>
      </c>
      <c r="J358" t="s">
        <v>1825</v>
      </c>
      <c r="K358">
        <v>1.4506129643300001E-4</v>
      </c>
      <c r="L358" t="s">
        <v>251</v>
      </c>
      <c r="N358" t="s">
        <v>419</v>
      </c>
      <c r="O358" t="s">
        <v>1825</v>
      </c>
      <c r="P358">
        <v>5.4846635470677832E-5</v>
      </c>
      <c r="Q358" t="s">
        <v>251</v>
      </c>
      <c r="S358" t="s">
        <v>420</v>
      </c>
      <c r="T358" t="s">
        <v>1825</v>
      </c>
      <c r="U358">
        <v>3.9695401289578978E-5</v>
      </c>
      <c r="V358" t="s">
        <v>251</v>
      </c>
      <c r="X358">
        <v>1.1415525114155251E-4</v>
      </c>
      <c r="Y358">
        <v>1.4054976837464471E-4</v>
      </c>
      <c r="Z358" t="s">
        <v>1825</v>
      </c>
      <c r="AA358" t="s">
        <v>25</v>
      </c>
      <c r="AC358" t="s">
        <v>22</v>
      </c>
      <c r="AD358" t="s">
        <v>1825</v>
      </c>
      <c r="AE358">
        <v>1.3166513786206087E-4</v>
      </c>
      <c r="AG358" t="s">
        <v>99</v>
      </c>
      <c r="AH358" t="s">
        <v>1825</v>
      </c>
      <c r="AI358">
        <v>0</v>
      </c>
    </row>
    <row r="359" spans="5:35" x14ac:dyDescent="0.45">
      <c r="E359" t="s">
        <v>228</v>
      </c>
      <c r="G359" t="s">
        <v>164</v>
      </c>
      <c r="I359" t="s">
        <v>249</v>
      </c>
      <c r="J359" t="s">
        <v>1826</v>
      </c>
      <c r="K359">
        <v>1.7584687061660001E-4</v>
      </c>
      <c r="L359" t="s">
        <v>251</v>
      </c>
      <c r="N359" t="s">
        <v>419</v>
      </c>
      <c r="O359" t="s">
        <v>1826</v>
      </c>
      <c r="P359">
        <v>6.2052190266442082E-5</v>
      </c>
      <c r="Q359" t="s">
        <v>251</v>
      </c>
      <c r="S359" t="s">
        <v>420</v>
      </c>
      <c r="T359" t="s">
        <v>1826</v>
      </c>
      <c r="U359">
        <v>3.6497069908631238E-5</v>
      </c>
      <c r="V359" t="s">
        <v>251</v>
      </c>
      <c r="X359">
        <v>1.1415525114155251E-4</v>
      </c>
      <c r="Y359">
        <v>1.4253868019126702E-4</v>
      </c>
      <c r="Z359" t="s">
        <v>1826</v>
      </c>
      <c r="AA359" t="s">
        <v>25</v>
      </c>
      <c r="AC359" t="s">
        <v>22</v>
      </c>
      <c r="AD359" t="s">
        <v>1826</v>
      </c>
      <c r="AE359">
        <v>1.2407026480329444E-4</v>
      </c>
      <c r="AG359" t="s">
        <v>99</v>
      </c>
      <c r="AH359" t="s">
        <v>1826</v>
      </c>
      <c r="AI359">
        <v>0</v>
      </c>
    </row>
    <row r="360" spans="5:35" x14ac:dyDescent="0.45">
      <c r="E360" t="s">
        <v>229</v>
      </c>
      <c r="G360" t="s">
        <v>164</v>
      </c>
      <c r="I360" t="s">
        <v>249</v>
      </c>
      <c r="J360" t="s">
        <v>1827</v>
      </c>
      <c r="K360">
        <v>1.600303698608E-4</v>
      </c>
      <c r="L360" t="s">
        <v>251</v>
      </c>
      <c r="N360" t="s">
        <v>419</v>
      </c>
      <c r="O360" t="s">
        <v>1827</v>
      </c>
      <c r="P360">
        <v>6.6447610352433087E-5</v>
      </c>
      <c r="Q360" t="s">
        <v>251</v>
      </c>
      <c r="S360" t="s">
        <v>420</v>
      </c>
      <c r="T360" t="s">
        <v>1827</v>
      </c>
      <c r="U360">
        <v>3.3095029314113929E-5</v>
      </c>
      <c r="V360" t="s">
        <v>251</v>
      </c>
      <c r="X360">
        <v>1.1415525114155251E-4</v>
      </c>
      <c r="Y360">
        <v>1.4883690094390442E-4</v>
      </c>
      <c r="Z360" t="s">
        <v>1827</v>
      </c>
      <c r="AA360" t="s">
        <v>25</v>
      </c>
      <c r="AC360" t="s">
        <v>22</v>
      </c>
      <c r="AD360" t="s">
        <v>1827</v>
      </c>
      <c r="AE360">
        <v>1.1928698396706741E-4</v>
      </c>
      <c r="AG360" t="s">
        <v>99</v>
      </c>
      <c r="AH360" t="s">
        <v>1827</v>
      </c>
      <c r="AI360">
        <v>0</v>
      </c>
    </row>
    <row r="361" spans="5:35" x14ac:dyDescent="0.45">
      <c r="E361" t="s">
        <v>230</v>
      </c>
      <c r="G361" t="s">
        <v>164</v>
      </c>
      <c r="I361" t="s">
        <v>249</v>
      </c>
      <c r="J361" t="s">
        <v>1828</v>
      </c>
      <c r="K361">
        <v>1.3129466978160001E-4</v>
      </c>
      <c r="L361" t="s">
        <v>251</v>
      </c>
      <c r="N361" t="s">
        <v>419</v>
      </c>
      <c r="O361" t="s">
        <v>1828</v>
      </c>
      <c r="P361">
        <v>6.1005166012835846E-5</v>
      </c>
      <c r="Q361" t="s">
        <v>251</v>
      </c>
      <c r="S361" t="s">
        <v>420</v>
      </c>
      <c r="T361" t="s">
        <v>1828</v>
      </c>
      <c r="U361">
        <v>3.2368904827164324E-5</v>
      </c>
      <c r="V361" t="s">
        <v>251</v>
      </c>
      <c r="X361">
        <v>1.1415525114155251E-4</v>
      </c>
      <c r="Y361">
        <v>1.5049432745775637E-4</v>
      </c>
      <c r="Z361" t="s">
        <v>1828</v>
      </c>
      <c r="AA361" t="s">
        <v>25</v>
      </c>
      <c r="AC361" t="s">
        <v>22</v>
      </c>
      <c r="AD361" t="s">
        <v>1828</v>
      </c>
      <c r="AE361">
        <v>1.0903539452852854E-4</v>
      </c>
      <c r="AG361" t="s">
        <v>99</v>
      </c>
      <c r="AH361" t="s">
        <v>1828</v>
      </c>
      <c r="AI361">
        <v>0</v>
      </c>
    </row>
    <row r="362" spans="5:35" x14ac:dyDescent="0.45">
      <c r="E362" t="s">
        <v>231</v>
      </c>
      <c r="G362" t="s">
        <v>164</v>
      </c>
      <c r="I362" t="s">
        <v>249</v>
      </c>
      <c r="J362" t="s">
        <v>1829</v>
      </c>
      <c r="K362">
        <v>9.8885711569219806E-5</v>
      </c>
      <c r="L362" t="s">
        <v>251</v>
      </c>
      <c r="N362" t="s">
        <v>419</v>
      </c>
      <c r="O362" t="s">
        <v>1829</v>
      </c>
      <c r="P362">
        <v>5.2670176516820511E-5</v>
      </c>
      <c r="Q362" t="s">
        <v>251</v>
      </c>
      <c r="S362" t="s">
        <v>420</v>
      </c>
      <c r="T362" t="s">
        <v>1829</v>
      </c>
      <c r="U362">
        <v>3.2301204273776193E-5</v>
      </c>
      <c r="V362" t="s">
        <v>251</v>
      </c>
      <c r="X362">
        <v>1.1415525114155251E-4</v>
      </c>
      <c r="Y362">
        <v>1.7237235744060203E-4</v>
      </c>
      <c r="Z362" t="s">
        <v>1829</v>
      </c>
      <c r="AA362" t="s">
        <v>25</v>
      </c>
      <c r="AC362" t="s">
        <v>22</v>
      </c>
      <c r="AD362" t="s">
        <v>1829</v>
      </c>
      <c r="AE362">
        <v>9.2678122827059798E-5</v>
      </c>
      <c r="AG362" t="s">
        <v>99</v>
      </c>
      <c r="AH362" t="s">
        <v>1829</v>
      </c>
      <c r="AI362">
        <v>0</v>
      </c>
    </row>
    <row r="363" spans="5:35" x14ac:dyDescent="0.45">
      <c r="E363" t="s">
        <v>232</v>
      </c>
      <c r="G363" t="s">
        <v>164</v>
      </c>
      <c r="I363" t="s">
        <v>249</v>
      </c>
      <c r="J363" t="s">
        <v>1830</v>
      </c>
      <c r="K363">
        <v>8.5470223411660191E-5</v>
      </c>
      <c r="L363" t="s">
        <v>251</v>
      </c>
      <c r="N363" t="s">
        <v>419</v>
      </c>
      <c r="O363" t="s">
        <v>1830</v>
      </c>
      <c r="P363">
        <v>5.0809428080665562E-5</v>
      </c>
      <c r="Q363" t="s">
        <v>251</v>
      </c>
      <c r="S363" t="s">
        <v>420</v>
      </c>
      <c r="T363" t="s">
        <v>1830</v>
      </c>
      <c r="U363">
        <v>3.4188991532998189E-5</v>
      </c>
      <c r="V363" t="s">
        <v>251</v>
      </c>
      <c r="X363">
        <v>1.1415525114155251E-4</v>
      </c>
      <c r="Y363">
        <v>2.2209515285616027E-4</v>
      </c>
      <c r="Z363" t="s">
        <v>1830</v>
      </c>
      <c r="AA363" t="s">
        <v>25</v>
      </c>
      <c r="AC363" t="s">
        <v>22</v>
      </c>
      <c r="AD363" t="s">
        <v>1830</v>
      </c>
      <c r="AE363">
        <v>8.962230331400319E-5</v>
      </c>
      <c r="AG363" t="s">
        <v>99</v>
      </c>
      <c r="AH363" t="s">
        <v>1830</v>
      </c>
      <c r="AI363">
        <v>0</v>
      </c>
    </row>
    <row r="364" spans="5:35" x14ac:dyDescent="0.45">
      <c r="E364" t="s">
        <v>233</v>
      </c>
      <c r="G364" t="s">
        <v>164</v>
      </c>
      <c r="I364" t="s">
        <v>249</v>
      </c>
      <c r="J364" t="s">
        <v>1831</v>
      </c>
      <c r="K364">
        <v>5.9288242306511673E-5</v>
      </c>
      <c r="L364" t="s">
        <v>251</v>
      </c>
      <c r="N364" t="s">
        <v>419</v>
      </c>
      <c r="O364" t="s">
        <v>1831</v>
      </c>
      <c r="P364">
        <v>4.7149268751577598E-5</v>
      </c>
      <c r="Q364" t="s">
        <v>251</v>
      </c>
      <c r="S364" t="s">
        <v>420</v>
      </c>
      <c r="T364" t="s">
        <v>1831</v>
      </c>
      <c r="U364">
        <v>3.9244739537926739E-5</v>
      </c>
      <c r="V364" t="s">
        <v>251</v>
      </c>
      <c r="X364">
        <v>1.1415525114155251E-4</v>
      </c>
      <c r="Y364">
        <v>2.2209515285616027E-4</v>
      </c>
      <c r="Z364" t="s">
        <v>1831</v>
      </c>
      <c r="AA364" t="s">
        <v>25</v>
      </c>
      <c r="AC364" t="s">
        <v>22</v>
      </c>
      <c r="AD364" t="s">
        <v>1831</v>
      </c>
      <c r="AE364">
        <v>8.5952937193061919E-5</v>
      </c>
      <c r="AG364" t="s">
        <v>99</v>
      </c>
      <c r="AH364" t="s">
        <v>1831</v>
      </c>
      <c r="AI364">
        <v>0</v>
      </c>
    </row>
    <row r="365" spans="5:35" x14ac:dyDescent="0.45">
      <c r="E365" t="s">
        <v>234</v>
      </c>
      <c r="G365" t="s">
        <v>164</v>
      </c>
      <c r="I365" t="s">
        <v>249</v>
      </c>
      <c r="J365" t="s">
        <v>1832</v>
      </c>
      <c r="K365">
        <v>8.7252892712160441E-7</v>
      </c>
      <c r="L365" t="s">
        <v>251</v>
      </c>
      <c r="N365" t="s">
        <v>419</v>
      </c>
      <c r="O365" t="s">
        <v>1832</v>
      </c>
      <c r="P365">
        <v>4.9630209133769043E-5</v>
      </c>
      <c r="Q365" t="s">
        <v>251</v>
      </c>
      <c r="S365" t="s">
        <v>420</v>
      </c>
      <c r="T365" t="s">
        <v>1832</v>
      </c>
      <c r="U365">
        <v>4.3323687128441858E-5</v>
      </c>
      <c r="V365" t="s">
        <v>251</v>
      </c>
      <c r="X365">
        <v>1.1415525114155251E-4</v>
      </c>
      <c r="Y365">
        <v>1.7237235744060203E-4</v>
      </c>
      <c r="Z365" t="s">
        <v>1832</v>
      </c>
      <c r="AA365" t="s">
        <v>25</v>
      </c>
      <c r="AC365" t="s">
        <v>22</v>
      </c>
      <c r="AD365" t="s">
        <v>1832</v>
      </c>
      <c r="AE365">
        <v>8.7168116882464539E-5</v>
      </c>
      <c r="AG365" t="s">
        <v>99</v>
      </c>
      <c r="AH365" t="s">
        <v>1832</v>
      </c>
      <c r="AI365">
        <v>0</v>
      </c>
    </row>
    <row r="366" spans="5:35" x14ac:dyDescent="0.45">
      <c r="E366" t="s">
        <v>235</v>
      </c>
      <c r="G366" t="s">
        <v>164</v>
      </c>
      <c r="I366" t="s">
        <v>249</v>
      </c>
      <c r="J366" t="s">
        <v>1833</v>
      </c>
      <c r="K366">
        <v>0</v>
      </c>
      <c r="L366" t="s">
        <v>251</v>
      </c>
      <c r="N366" t="s">
        <v>419</v>
      </c>
      <c r="O366" t="s">
        <v>1833</v>
      </c>
      <c r="P366">
        <v>5.344527959016403E-5</v>
      </c>
      <c r="Q366" t="s">
        <v>251</v>
      </c>
      <c r="S366" t="s">
        <v>420</v>
      </c>
      <c r="T366" t="s">
        <v>1833</v>
      </c>
      <c r="U366">
        <v>4.3928613147971689E-5</v>
      </c>
      <c r="V366" t="s">
        <v>251</v>
      </c>
      <c r="X366">
        <v>1.1415525114155251E-4</v>
      </c>
      <c r="Y366">
        <v>1.5579809230208258E-4</v>
      </c>
      <c r="Z366" t="s">
        <v>1833</v>
      </c>
      <c r="AA366" t="s">
        <v>25</v>
      </c>
      <c r="AC366" t="s">
        <v>22</v>
      </c>
      <c r="AD366" t="s">
        <v>1833</v>
      </c>
      <c r="AE366">
        <v>9.2684079590243164E-5</v>
      </c>
      <c r="AG366" t="s">
        <v>99</v>
      </c>
      <c r="AH366" t="s">
        <v>1833</v>
      </c>
      <c r="AI366">
        <v>0</v>
      </c>
    </row>
    <row r="367" spans="5:35" x14ac:dyDescent="0.45">
      <c r="E367" t="s">
        <v>236</v>
      </c>
      <c r="G367" t="s">
        <v>164</v>
      </c>
      <c r="I367" t="s">
        <v>249</v>
      </c>
      <c r="J367" t="s">
        <v>1834</v>
      </c>
      <c r="K367">
        <v>0</v>
      </c>
      <c r="L367" t="s">
        <v>251</v>
      </c>
      <c r="N367" t="s">
        <v>419</v>
      </c>
      <c r="O367" t="s">
        <v>1834</v>
      </c>
      <c r="P367">
        <v>5.9912976810058958E-5</v>
      </c>
      <c r="Q367" t="s">
        <v>251</v>
      </c>
      <c r="S367" t="s">
        <v>420</v>
      </c>
      <c r="T367" t="s">
        <v>1834</v>
      </c>
      <c r="U367">
        <v>4.7495048557829407E-5</v>
      </c>
      <c r="V367" t="s">
        <v>251</v>
      </c>
      <c r="X367">
        <v>1.1415525114155251E-4</v>
      </c>
      <c r="Y367">
        <v>1.093901499142282E-4</v>
      </c>
      <c r="Z367" t="s">
        <v>1834</v>
      </c>
      <c r="AA367" t="s">
        <v>25</v>
      </c>
      <c r="AC367" t="s">
        <v>22</v>
      </c>
      <c r="AD367" t="s">
        <v>1834</v>
      </c>
      <c r="AE367">
        <v>1.1050671503481506E-4</v>
      </c>
      <c r="AG367" t="s">
        <v>99</v>
      </c>
      <c r="AH367" t="s">
        <v>1834</v>
      </c>
      <c r="AI367">
        <v>0</v>
      </c>
    </row>
    <row r="368" spans="5:35" x14ac:dyDescent="0.45">
      <c r="E368" t="s">
        <v>237</v>
      </c>
      <c r="G368" t="s">
        <v>164</v>
      </c>
      <c r="I368" t="s">
        <v>249</v>
      </c>
      <c r="J368" t="s">
        <v>1835</v>
      </c>
      <c r="K368">
        <v>0</v>
      </c>
      <c r="L368" t="s">
        <v>251</v>
      </c>
      <c r="N368" t="s">
        <v>419</v>
      </c>
      <c r="O368" t="s">
        <v>1835</v>
      </c>
      <c r="P368">
        <v>7.1849252103724272E-5</v>
      </c>
      <c r="Q368" t="s">
        <v>251</v>
      </c>
      <c r="S368" t="s">
        <v>420</v>
      </c>
      <c r="T368" t="s">
        <v>1835</v>
      </c>
      <c r="U368">
        <v>4.7337591723513671E-5</v>
      </c>
      <c r="V368" t="s">
        <v>251</v>
      </c>
      <c r="X368">
        <v>1.1415525114155251E-4</v>
      </c>
      <c r="Y368">
        <v>7.9556472664893237E-5</v>
      </c>
      <c r="Z368" t="s">
        <v>1835</v>
      </c>
      <c r="AA368" t="s">
        <v>25</v>
      </c>
      <c r="AC368" t="s">
        <v>22</v>
      </c>
      <c r="AD368" t="s">
        <v>1835</v>
      </c>
      <c r="AE368">
        <v>1.2907990264048863E-4</v>
      </c>
      <c r="AG368" t="s">
        <v>99</v>
      </c>
      <c r="AH368" t="s">
        <v>1835</v>
      </c>
      <c r="AI368">
        <v>0</v>
      </c>
    </row>
    <row r="369" spans="5:35" x14ac:dyDescent="0.45">
      <c r="E369" t="s">
        <v>238</v>
      </c>
      <c r="G369" t="s">
        <v>164</v>
      </c>
      <c r="I369" t="s">
        <v>249</v>
      </c>
      <c r="J369" t="s">
        <v>1836</v>
      </c>
      <c r="K369">
        <v>0</v>
      </c>
      <c r="L369" t="s">
        <v>251</v>
      </c>
      <c r="N369" t="s">
        <v>419</v>
      </c>
      <c r="O369" t="s">
        <v>1836</v>
      </c>
      <c r="P369">
        <v>7.8873554683572933E-5</v>
      </c>
      <c r="Q369" t="s">
        <v>251</v>
      </c>
      <c r="S369" t="s">
        <v>420</v>
      </c>
      <c r="T369" t="s">
        <v>1836</v>
      </c>
      <c r="U369">
        <v>4.5307898973889929E-5</v>
      </c>
      <c r="V369" t="s">
        <v>251</v>
      </c>
      <c r="X369">
        <v>1.1415525114155251E-4</v>
      </c>
      <c r="Y369">
        <v>5.6352501470966035E-5</v>
      </c>
      <c r="Z369" t="s">
        <v>1836</v>
      </c>
      <c r="AA369" t="s">
        <v>25</v>
      </c>
      <c r="AC369" t="s">
        <v>22</v>
      </c>
      <c r="AD369" t="s">
        <v>1836</v>
      </c>
      <c r="AE369">
        <v>1.3696665709523904E-4</v>
      </c>
      <c r="AG369" t="s">
        <v>99</v>
      </c>
      <c r="AH369" t="s">
        <v>1836</v>
      </c>
      <c r="AI369">
        <v>0</v>
      </c>
    </row>
    <row r="370" spans="5:35" x14ac:dyDescent="0.45">
      <c r="E370" t="s">
        <v>239</v>
      </c>
      <c r="G370" t="s">
        <v>164</v>
      </c>
      <c r="I370" t="s">
        <v>249</v>
      </c>
      <c r="J370" t="s">
        <v>1837</v>
      </c>
      <c r="K370">
        <v>0</v>
      </c>
      <c r="L370" t="s">
        <v>251</v>
      </c>
      <c r="N370" t="s">
        <v>419</v>
      </c>
      <c r="O370" t="s">
        <v>1837</v>
      </c>
      <c r="P370">
        <v>7.6095043654331854E-5</v>
      </c>
      <c r="Q370" t="s">
        <v>251</v>
      </c>
      <c r="S370" t="s">
        <v>420</v>
      </c>
      <c r="T370" t="s">
        <v>1837</v>
      </c>
      <c r="U370">
        <v>4.167455349220697E-5</v>
      </c>
      <c r="V370" t="s">
        <v>251</v>
      </c>
      <c r="X370">
        <v>1.1415525114155251E-4</v>
      </c>
      <c r="Y370">
        <v>2.9833677249334962E-5</v>
      </c>
      <c r="Z370" t="s">
        <v>1837</v>
      </c>
      <c r="AA370" t="s">
        <v>25</v>
      </c>
      <c r="AC370" t="s">
        <v>22</v>
      </c>
      <c r="AD370" t="s">
        <v>1837</v>
      </c>
      <c r="AE370">
        <v>1.4721824653377792E-4</v>
      </c>
      <c r="AG370" t="s">
        <v>99</v>
      </c>
      <c r="AH370" t="s">
        <v>1837</v>
      </c>
      <c r="AI370">
        <v>0</v>
      </c>
    </row>
    <row r="371" spans="5:35" x14ac:dyDescent="0.45">
      <c r="E371" t="s">
        <v>532</v>
      </c>
      <c r="G371" t="s">
        <v>434</v>
      </c>
      <c r="I371" t="s">
        <v>249</v>
      </c>
      <c r="J371" t="s">
        <v>1838</v>
      </c>
      <c r="K371">
        <v>0</v>
      </c>
      <c r="L371" t="s">
        <v>251</v>
      </c>
      <c r="N371" t="s">
        <v>419</v>
      </c>
      <c r="O371" t="s">
        <v>1838</v>
      </c>
      <c r="P371">
        <v>7.2973699732356863E-5</v>
      </c>
      <c r="Q371" t="s">
        <v>251</v>
      </c>
      <c r="S371" t="s">
        <v>420</v>
      </c>
      <c r="T371" t="s">
        <v>1838</v>
      </c>
      <c r="U371">
        <v>3.8970374488624574E-5</v>
      </c>
      <c r="V371" t="s">
        <v>251</v>
      </c>
      <c r="X371">
        <v>1.1415525114155251E-4</v>
      </c>
      <c r="Y371">
        <v>2.1546544680075254E-5</v>
      </c>
      <c r="Z371" t="s">
        <v>1838</v>
      </c>
      <c r="AA371" t="s">
        <v>25</v>
      </c>
      <c r="AC371" t="s">
        <v>22</v>
      </c>
      <c r="AD371" t="s">
        <v>1838</v>
      </c>
      <c r="AE371">
        <v>1.4677148929502693E-4</v>
      </c>
      <c r="AG371" t="s">
        <v>99</v>
      </c>
      <c r="AH371" t="s">
        <v>1838</v>
      </c>
      <c r="AI371">
        <v>0</v>
      </c>
    </row>
    <row r="372" spans="5:35" x14ac:dyDescent="0.45">
      <c r="E372" t="s">
        <v>533</v>
      </c>
      <c r="G372" t="s">
        <v>434</v>
      </c>
      <c r="I372" t="s">
        <v>249</v>
      </c>
      <c r="J372" t="s">
        <v>1839</v>
      </c>
      <c r="K372">
        <v>0</v>
      </c>
      <c r="L372" t="s">
        <v>251</v>
      </c>
      <c r="N372" t="s">
        <v>419</v>
      </c>
      <c r="O372" t="s">
        <v>1839</v>
      </c>
      <c r="P372">
        <v>6.883737176469217E-5</v>
      </c>
      <c r="Q372" t="s">
        <v>251</v>
      </c>
      <c r="S372" t="s">
        <v>420</v>
      </c>
      <c r="T372" t="s">
        <v>1839</v>
      </c>
      <c r="U372">
        <v>3.6793584770758812E-5</v>
      </c>
      <c r="V372" t="s">
        <v>251</v>
      </c>
      <c r="X372">
        <v>1.1415525114155251E-4</v>
      </c>
      <c r="Y372">
        <v>1.4916838624667481E-5</v>
      </c>
      <c r="Z372" t="s">
        <v>1839</v>
      </c>
      <c r="AA372" t="s">
        <v>25</v>
      </c>
      <c r="AC372" t="s">
        <v>22</v>
      </c>
      <c r="AD372" t="s">
        <v>1839</v>
      </c>
      <c r="AE372">
        <v>1.3903961068304353E-4</v>
      </c>
      <c r="AG372" t="s">
        <v>99</v>
      </c>
      <c r="AH372" t="s">
        <v>1839</v>
      </c>
      <c r="AI372">
        <v>0</v>
      </c>
    </row>
    <row r="373" spans="5:35" x14ac:dyDescent="0.45">
      <c r="E373" t="s">
        <v>534</v>
      </c>
      <c r="G373" t="s">
        <v>434</v>
      </c>
      <c r="I373" t="s">
        <v>249</v>
      </c>
      <c r="J373" t="s">
        <v>1840</v>
      </c>
      <c r="K373">
        <v>0</v>
      </c>
      <c r="L373" t="s">
        <v>251</v>
      </c>
      <c r="N373" t="s">
        <v>419</v>
      </c>
      <c r="O373" t="s">
        <v>1840</v>
      </c>
      <c r="P373">
        <v>6.7775409987295396E-5</v>
      </c>
      <c r="Q373" t="s">
        <v>251</v>
      </c>
      <c r="S373" t="s">
        <v>420</v>
      </c>
      <c r="T373" t="s">
        <v>1840</v>
      </c>
      <c r="U373">
        <v>3.6668995115145148E-5</v>
      </c>
      <c r="V373" t="s">
        <v>251</v>
      </c>
      <c r="X373">
        <v>1.1415525114155251E-4</v>
      </c>
      <c r="Y373">
        <v>1.6574265138519424E-5</v>
      </c>
      <c r="Z373" t="s">
        <v>1840</v>
      </c>
      <c r="AA373" t="s">
        <v>25</v>
      </c>
      <c r="AC373" t="s">
        <v>22</v>
      </c>
      <c r="AD373" t="s">
        <v>1840</v>
      </c>
      <c r="AE373">
        <v>1.4000460631874561E-4</v>
      </c>
      <c r="AG373" t="s">
        <v>99</v>
      </c>
      <c r="AH373" t="s">
        <v>1840</v>
      </c>
      <c r="AI373">
        <v>0</v>
      </c>
    </row>
    <row r="374" spans="5:35" x14ac:dyDescent="0.45">
      <c r="E374" t="s">
        <v>535</v>
      </c>
      <c r="G374" t="s">
        <v>434</v>
      </c>
      <c r="I374" t="s">
        <v>249</v>
      </c>
      <c r="J374" t="s">
        <v>1841</v>
      </c>
      <c r="K374">
        <v>0</v>
      </c>
      <c r="L374" t="s">
        <v>251</v>
      </c>
      <c r="N374" t="s">
        <v>419</v>
      </c>
      <c r="O374" t="s">
        <v>1841</v>
      </c>
      <c r="P374">
        <v>6.3925502095942184E-5</v>
      </c>
      <c r="Q374" t="s">
        <v>251</v>
      </c>
      <c r="S374" t="s">
        <v>420</v>
      </c>
      <c r="T374" t="s">
        <v>1841</v>
      </c>
      <c r="U374">
        <v>3.6937923755471966E-5</v>
      </c>
      <c r="V374" t="s">
        <v>251</v>
      </c>
      <c r="X374">
        <v>1.1415525114155251E-4</v>
      </c>
      <c r="Y374">
        <v>1.4585353321897093E-5</v>
      </c>
      <c r="Z374" t="s">
        <v>1841</v>
      </c>
      <c r="AA374" t="s">
        <v>25</v>
      </c>
      <c r="AC374" t="s">
        <v>22</v>
      </c>
      <c r="AD374" t="s">
        <v>1841</v>
      </c>
      <c r="AE374">
        <v>1.3911109184124368E-4</v>
      </c>
      <c r="AG374" t="s">
        <v>99</v>
      </c>
      <c r="AH374" t="s">
        <v>1841</v>
      </c>
      <c r="AI374">
        <v>0</v>
      </c>
    </row>
    <row r="375" spans="5:35" x14ac:dyDescent="0.45">
      <c r="E375" t="s">
        <v>536</v>
      </c>
      <c r="G375" t="s">
        <v>434</v>
      </c>
      <c r="I375" t="s">
        <v>249</v>
      </c>
      <c r="J375" t="s">
        <v>1842</v>
      </c>
      <c r="K375">
        <v>0</v>
      </c>
      <c r="L375" t="s">
        <v>251</v>
      </c>
      <c r="N375" t="s">
        <v>419</v>
      </c>
      <c r="O375" t="s">
        <v>1842</v>
      </c>
      <c r="P375">
        <v>6.7481980844843022E-5</v>
      </c>
      <c r="Q375" t="s">
        <v>251</v>
      </c>
      <c r="S375" t="s">
        <v>420</v>
      </c>
      <c r="T375" t="s">
        <v>1842</v>
      </c>
      <c r="U375">
        <v>3.6439771753160701E-5</v>
      </c>
      <c r="V375" t="s">
        <v>251</v>
      </c>
      <c r="X375">
        <v>1.1415525114155251E-4</v>
      </c>
      <c r="Y375">
        <v>2.1215059377304864E-5</v>
      </c>
      <c r="Z375" t="s">
        <v>1842</v>
      </c>
      <c r="AA375" t="s">
        <v>25</v>
      </c>
      <c r="AC375" t="s">
        <v>22</v>
      </c>
      <c r="AD375" t="s">
        <v>1842</v>
      </c>
      <c r="AE375">
        <v>1.3550725011531921E-4</v>
      </c>
      <c r="AG375" t="s">
        <v>99</v>
      </c>
      <c r="AH375" t="s">
        <v>1842</v>
      </c>
      <c r="AI375">
        <v>0</v>
      </c>
    </row>
    <row r="376" spans="5:35" x14ac:dyDescent="0.45">
      <c r="E376" t="s">
        <v>537</v>
      </c>
      <c r="G376" t="s">
        <v>434</v>
      </c>
      <c r="I376" t="s">
        <v>249</v>
      </c>
      <c r="J376" t="s">
        <v>1843</v>
      </c>
      <c r="K376">
        <v>0</v>
      </c>
      <c r="L376" t="s">
        <v>251</v>
      </c>
      <c r="N376" t="s">
        <v>419</v>
      </c>
      <c r="O376" t="s">
        <v>1843</v>
      </c>
      <c r="P376">
        <v>6.8214760042182492E-5</v>
      </c>
      <c r="Q376" t="s">
        <v>251</v>
      </c>
      <c r="S376" t="s">
        <v>420</v>
      </c>
      <c r="T376" t="s">
        <v>1843</v>
      </c>
      <c r="U376">
        <v>3.8139184452725441E-5</v>
      </c>
      <c r="V376" t="s">
        <v>251</v>
      </c>
      <c r="X376">
        <v>1.1415525114155251E-4</v>
      </c>
      <c r="Y376">
        <v>5.7678442682047593E-5</v>
      </c>
      <c r="Z376" t="s">
        <v>1843</v>
      </c>
      <c r="AA376" t="s">
        <v>25</v>
      </c>
      <c r="AC376" t="s">
        <v>22</v>
      </c>
      <c r="AD376" t="s">
        <v>1843</v>
      </c>
      <c r="AE376">
        <v>1.3436950834730006E-4</v>
      </c>
      <c r="AG376" t="s">
        <v>99</v>
      </c>
      <c r="AH376" t="s">
        <v>1843</v>
      </c>
      <c r="AI376">
        <v>0</v>
      </c>
    </row>
    <row r="377" spans="5:35" x14ac:dyDescent="0.45">
      <c r="E377" t="s">
        <v>538</v>
      </c>
      <c r="G377" t="s">
        <v>434</v>
      </c>
      <c r="I377" t="s">
        <v>249</v>
      </c>
      <c r="J377" t="s">
        <v>1844</v>
      </c>
      <c r="K377">
        <v>0</v>
      </c>
      <c r="L377" t="s">
        <v>251</v>
      </c>
      <c r="N377" t="s">
        <v>419</v>
      </c>
      <c r="O377" t="s">
        <v>1844</v>
      </c>
      <c r="P377">
        <v>6.1413311171511535E-5</v>
      </c>
      <c r="Q377" t="s">
        <v>251</v>
      </c>
      <c r="S377" t="s">
        <v>420</v>
      </c>
      <c r="T377" t="s">
        <v>1844</v>
      </c>
      <c r="U377">
        <v>4.419053891106071E-5</v>
      </c>
      <c r="V377" t="s">
        <v>251</v>
      </c>
      <c r="X377">
        <v>1.1415525114155251E-4</v>
      </c>
      <c r="Y377">
        <v>1.6905750441289813E-4</v>
      </c>
      <c r="Z377" t="s">
        <v>1844</v>
      </c>
      <c r="AA377" t="s">
        <v>25</v>
      </c>
      <c r="AC377" t="s">
        <v>22</v>
      </c>
      <c r="AD377" t="s">
        <v>1844</v>
      </c>
      <c r="AE377">
        <v>1.3591231001178677E-4</v>
      </c>
      <c r="AG377" t="s">
        <v>99</v>
      </c>
      <c r="AH377" t="s">
        <v>1844</v>
      </c>
      <c r="AI377">
        <v>0</v>
      </c>
    </row>
    <row r="378" spans="5:35" x14ac:dyDescent="0.45">
      <c r="E378" t="s">
        <v>539</v>
      </c>
      <c r="G378" t="s">
        <v>434</v>
      </c>
      <c r="I378" t="s">
        <v>249</v>
      </c>
      <c r="J378" t="s">
        <v>1845</v>
      </c>
      <c r="K378">
        <v>2.2376940184213463E-6</v>
      </c>
      <c r="L378" t="s">
        <v>251</v>
      </c>
      <c r="N378" t="s">
        <v>419</v>
      </c>
      <c r="O378" t="s">
        <v>1845</v>
      </c>
      <c r="P378">
        <v>5.7096233341967625E-5</v>
      </c>
      <c r="Q378" t="s">
        <v>251</v>
      </c>
      <c r="S378" t="s">
        <v>420</v>
      </c>
      <c r="T378" t="s">
        <v>1845</v>
      </c>
      <c r="U378">
        <v>5.9886036052209953E-5</v>
      </c>
      <c r="V378" t="s">
        <v>251</v>
      </c>
      <c r="X378">
        <v>1.1415525114155251E-4</v>
      </c>
      <c r="Y378">
        <v>1.9060404909297337E-4</v>
      </c>
      <c r="Z378" t="s">
        <v>1845</v>
      </c>
      <c r="AA378" t="s">
        <v>25</v>
      </c>
      <c r="AC378" t="s">
        <v>22</v>
      </c>
      <c r="AD378" t="s">
        <v>1845</v>
      </c>
      <c r="AE378">
        <v>1.4711102479647768E-4</v>
      </c>
      <c r="AG378" t="s">
        <v>99</v>
      </c>
      <c r="AH378" t="s">
        <v>1845</v>
      </c>
      <c r="AI378">
        <v>0</v>
      </c>
    </row>
    <row r="379" spans="5:35" x14ac:dyDescent="0.45">
      <c r="E379" t="s">
        <v>540</v>
      </c>
      <c r="G379" t="s">
        <v>434</v>
      </c>
      <c r="I379" t="s">
        <v>249</v>
      </c>
      <c r="J379" t="s">
        <v>1846</v>
      </c>
      <c r="K379">
        <v>5.2957596607750109E-5</v>
      </c>
      <c r="L379" t="s">
        <v>251</v>
      </c>
      <c r="N379" t="s">
        <v>419</v>
      </c>
      <c r="O379" t="s">
        <v>1846</v>
      </c>
      <c r="P379">
        <v>5.9866010489506527E-5</v>
      </c>
      <c r="Q379" t="s">
        <v>251</v>
      </c>
      <c r="S379" t="s">
        <v>420</v>
      </c>
      <c r="T379" t="s">
        <v>1846</v>
      </c>
      <c r="U379">
        <v>6.7831780756368935E-5</v>
      </c>
      <c r="V379" t="s">
        <v>251</v>
      </c>
      <c r="X379">
        <v>1.1415525114155251E-4</v>
      </c>
      <c r="Y379">
        <v>1.4585353321897094E-4</v>
      </c>
      <c r="Z379" t="s">
        <v>1846</v>
      </c>
      <c r="AA379" t="s">
        <v>25</v>
      </c>
      <c r="AC379" t="s">
        <v>22</v>
      </c>
      <c r="AD379" t="s">
        <v>1846</v>
      </c>
      <c r="AE379">
        <v>1.4953542741209962E-4</v>
      </c>
      <c r="AG379" t="s">
        <v>99</v>
      </c>
      <c r="AH379" t="s">
        <v>1846</v>
      </c>
      <c r="AI379">
        <v>0</v>
      </c>
    </row>
    <row r="380" spans="5:35" x14ac:dyDescent="0.45">
      <c r="E380" t="s">
        <v>541</v>
      </c>
      <c r="G380" t="s">
        <v>434</v>
      </c>
      <c r="I380" t="s">
        <v>249</v>
      </c>
      <c r="J380" t="s">
        <v>1847</v>
      </c>
      <c r="K380">
        <v>6.7294795175802384E-5</v>
      </c>
      <c r="L380" t="s">
        <v>251</v>
      </c>
      <c r="N380" t="s">
        <v>419</v>
      </c>
      <c r="O380" t="s">
        <v>1847</v>
      </c>
      <c r="P380">
        <v>5.0760434280603593E-5</v>
      </c>
      <c r="Q380" t="s">
        <v>251</v>
      </c>
      <c r="S380" t="s">
        <v>420</v>
      </c>
      <c r="T380" t="s">
        <v>1847</v>
      </c>
      <c r="U380">
        <v>6.9204176668041304E-5</v>
      </c>
      <c r="V380" t="s">
        <v>251</v>
      </c>
      <c r="X380">
        <v>1.1415525114155251E-4</v>
      </c>
      <c r="Y380">
        <v>1.4452759200788939E-4</v>
      </c>
      <c r="Z380" t="s">
        <v>1847</v>
      </c>
      <c r="AA380" t="s">
        <v>25</v>
      </c>
      <c r="AC380" t="s">
        <v>22</v>
      </c>
      <c r="AD380" t="s">
        <v>1847</v>
      </c>
      <c r="AE380">
        <v>1.5155477013125394E-4</v>
      </c>
      <c r="AG380" t="s">
        <v>99</v>
      </c>
      <c r="AH380" t="s">
        <v>1847</v>
      </c>
      <c r="AI380">
        <v>0</v>
      </c>
    </row>
    <row r="381" spans="5:35" x14ac:dyDescent="0.45">
      <c r="E381" t="s">
        <v>542</v>
      </c>
      <c r="G381" t="s">
        <v>434</v>
      </c>
      <c r="I381" t="s">
        <v>249</v>
      </c>
      <c r="J381" t="s">
        <v>1848</v>
      </c>
      <c r="K381">
        <v>7.9426807070358754E-5</v>
      </c>
      <c r="L381" t="s">
        <v>251</v>
      </c>
      <c r="N381" t="s">
        <v>419</v>
      </c>
      <c r="O381" t="s">
        <v>1848</v>
      </c>
      <c r="P381">
        <v>4.3643839762781532E-5</v>
      </c>
      <c r="Q381" t="s">
        <v>251</v>
      </c>
      <c r="S381" t="s">
        <v>420</v>
      </c>
      <c r="T381" t="s">
        <v>1848</v>
      </c>
      <c r="U381">
        <v>6.8843825535950029E-5</v>
      </c>
      <c r="V381" t="s">
        <v>251</v>
      </c>
      <c r="X381">
        <v>1.1415525114155251E-4</v>
      </c>
      <c r="Y381">
        <v>1.408812536774151E-4</v>
      </c>
      <c r="Z381" t="s">
        <v>1848</v>
      </c>
      <c r="AA381" t="s">
        <v>25</v>
      </c>
      <c r="AC381" t="s">
        <v>22</v>
      </c>
      <c r="AD381" t="s">
        <v>1848</v>
      </c>
      <c r="AE381">
        <v>1.5910198908455363E-4</v>
      </c>
      <c r="AG381" t="s">
        <v>99</v>
      </c>
      <c r="AH381" t="s">
        <v>1848</v>
      </c>
      <c r="AI381">
        <v>0</v>
      </c>
    </row>
    <row r="382" spans="5:35" x14ac:dyDescent="0.45">
      <c r="E382" t="s">
        <v>543</v>
      </c>
      <c r="G382" t="s">
        <v>434</v>
      </c>
      <c r="I382" t="s">
        <v>249</v>
      </c>
      <c r="J382" t="s">
        <v>1849</v>
      </c>
      <c r="K382">
        <v>9.5399329445278755E-5</v>
      </c>
      <c r="L382" t="s">
        <v>251</v>
      </c>
      <c r="N382" t="s">
        <v>419</v>
      </c>
      <c r="O382" t="s">
        <v>1849</v>
      </c>
      <c r="P382">
        <v>3.6979236713451777E-5</v>
      </c>
      <c r="Q382" t="s">
        <v>251</v>
      </c>
      <c r="S382" t="s">
        <v>420</v>
      </c>
      <c r="T382" t="s">
        <v>1849</v>
      </c>
      <c r="U382">
        <v>6.8043990300268532E-5</v>
      </c>
      <c r="V382" t="s">
        <v>251</v>
      </c>
      <c r="X382">
        <v>1.1415525114155251E-4</v>
      </c>
      <c r="Y382">
        <v>1.4054976837464471E-4</v>
      </c>
      <c r="Z382" t="s">
        <v>1849</v>
      </c>
      <c r="AA382" t="s">
        <v>25</v>
      </c>
      <c r="AC382" t="s">
        <v>22</v>
      </c>
      <c r="AD382" t="s">
        <v>1849</v>
      </c>
      <c r="AE382">
        <v>1.5422935680057642E-4</v>
      </c>
      <c r="AG382" t="s">
        <v>99</v>
      </c>
      <c r="AH382" t="s">
        <v>1849</v>
      </c>
      <c r="AI382">
        <v>0</v>
      </c>
    </row>
    <row r="383" spans="5:35" x14ac:dyDescent="0.45">
      <c r="E383" t="s">
        <v>544</v>
      </c>
      <c r="G383" t="s">
        <v>434</v>
      </c>
      <c r="I383" t="s">
        <v>249</v>
      </c>
      <c r="J383" t="s">
        <v>1850</v>
      </c>
      <c r="K383">
        <v>1.1216830636730001E-4</v>
      </c>
      <c r="L383" t="s">
        <v>251</v>
      </c>
      <c r="N383" t="s">
        <v>419</v>
      </c>
      <c r="O383" t="s">
        <v>1850</v>
      </c>
      <c r="P383">
        <v>3.1842974756684173E-5</v>
      </c>
      <c r="Q383" t="s">
        <v>251</v>
      </c>
      <c r="S383" t="s">
        <v>420</v>
      </c>
      <c r="T383" t="s">
        <v>1850</v>
      </c>
      <c r="U383">
        <v>6.338165040866804E-5</v>
      </c>
      <c r="V383" t="s">
        <v>251</v>
      </c>
      <c r="X383">
        <v>1.1415525114155251E-4</v>
      </c>
      <c r="Y383">
        <v>1.4253868019126702E-4</v>
      </c>
      <c r="Z383" t="s">
        <v>1850</v>
      </c>
      <c r="AA383" t="s">
        <v>25</v>
      </c>
      <c r="AC383" t="s">
        <v>22</v>
      </c>
      <c r="AD383" t="s">
        <v>1850</v>
      </c>
      <c r="AE383">
        <v>1.3928383797356071E-4</v>
      </c>
      <c r="AG383" t="s">
        <v>99</v>
      </c>
      <c r="AH383" t="s">
        <v>1850</v>
      </c>
      <c r="AI383">
        <v>0</v>
      </c>
    </row>
    <row r="384" spans="5:35" x14ac:dyDescent="0.45">
      <c r="E384" t="s">
        <v>545</v>
      </c>
      <c r="G384" t="s">
        <v>434</v>
      </c>
      <c r="I384" t="s">
        <v>249</v>
      </c>
      <c r="J384" t="s">
        <v>1851</v>
      </c>
      <c r="K384">
        <v>1.0351355807949999E-4</v>
      </c>
      <c r="L384" t="s">
        <v>251</v>
      </c>
      <c r="N384" t="s">
        <v>419</v>
      </c>
      <c r="O384" t="s">
        <v>1851</v>
      </c>
      <c r="P384">
        <v>2.6184559545582505E-5</v>
      </c>
      <c r="Q384" t="s">
        <v>251</v>
      </c>
      <c r="S384" t="s">
        <v>420</v>
      </c>
      <c r="T384" t="s">
        <v>1851</v>
      </c>
      <c r="U384">
        <v>5.770684587107647E-5</v>
      </c>
      <c r="V384" t="s">
        <v>251</v>
      </c>
      <c r="X384">
        <v>1.1415525114155251E-4</v>
      </c>
      <c r="Y384">
        <v>1.4883690094390442E-4</v>
      </c>
      <c r="Z384" t="s">
        <v>1851</v>
      </c>
      <c r="AA384" t="s">
        <v>25</v>
      </c>
      <c r="AC384" t="s">
        <v>22</v>
      </c>
      <c r="AD384" t="s">
        <v>1851</v>
      </c>
      <c r="AE384">
        <v>1.2283125806115844E-4</v>
      </c>
      <c r="AG384" t="s">
        <v>99</v>
      </c>
      <c r="AH384" t="s">
        <v>1851</v>
      </c>
      <c r="AI384">
        <v>0</v>
      </c>
    </row>
    <row r="385" spans="5:35" x14ac:dyDescent="0.45">
      <c r="E385" t="s">
        <v>546</v>
      </c>
      <c r="G385" t="s">
        <v>434</v>
      </c>
      <c r="I385" t="s">
        <v>249</v>
      </c>
      <c r="J385" t="s">
        <v>1852</v>
      </c>
      <c r="K385">
        <v>8.6392292498530871E-5</v>
      </c>
      <c r="L385" t="s">
        <v>251</v>
      </c>
      <c r="N385" t="s">
        <v>419</v>
      </c>
      <c r="O385" t="s">
        <v>1852</v>
      </c>
      <c r="P385">
        <v>2.3880309378920752E-5</v>
      </c>
      <c r="Q385" t="s">
        <v>251</v>
      </c>
      <c r="S385" t="s">
        <v>420</v>
      </c>
      <c r="T385" t="s">
        <v>1852</v>
      </c>
      <c r="U385">
        <v>5.0288246465792637E-5</v>
      </c>
      <c r="V385" t="s">
        <v>251</v>
      </c>
      <c r="X385">
        <v>1.1415525114155251E-4</v>
      </c>
      <c r="Y385">
        <v>1.5049432745775637E-4</v>
      </c>
      <c r="Z385" t="s">
        <v>1852</v>
      </c>
      <c r="AA385" t="s">
        <v>25</v>
      </c>
      <c r="AC385" t="s">
        <v>22</v>
      </c>
      <c r="AD385" t="s">
        <v>1852</v>
      </c>
      <c r="AE385">
        <v>1.1295494470317039E-4</v>
      </c>
      <c r="AG385" t="s">
        <v>99</v>
      </c>
      <c r="AH385" t="s">
        <v>1852</v>
      </c>
      <c r="AI385">
        <v>0</v>
      </c>
    </row>
    <row r="386" spans="5:35" x14ac:dyDescent="0.45">
      <c r="E386" t="s">
        <v>547</v>
      </c>
      <c r="G386" t="s">
        <v>434</v>
      </c>
      <c r="I386" t="s">
        <v>249</v>
      </c>
      <c r="J386" t="s">
        <v>1853</v>
      </c>
      <c r="K386">
        <v>7.5979244501276009E-5</v>
      </c>
      <c r="L386" t="s">
        <v>251</v>
      </c>
      <c r="N386" t="s">
        <v>419</v>
      </c>
      <c r="O386" t="s">
        <v>1853</v>
      </c>
      <c r="P386">
        <v>2.3752855161685543E-5</v>
      </c>
      <c r="Q386" t="s">
        <v>251</v>
      </c>
      <c r="S386" t="s">
        <v>420</v>
      </c>
      <c r="T386" t="s">
        <v>1853</v>
      </c>
      <c r="U386">
        <v>4.7420062005439659E-5</v>
      </c>
      <c r="V386" t="s">
        <v>251</v>
      </c>
      <c r="X386">
        <v>1.1415525114155251E-4</v>
      </c>
      <c r="Y386">
        <v>1.7237235744060203E-4</v>
      </c>
      <c r="Z386" t="s">
        <v>1853</v>
      </c>
      <c r="AA386" t="s">
        <v>25</v>
      </c>
      <c r="AC386" t="s">
        <v>22</v>
      </c>
      <c r="AD386" t="s">
        <v>1853</v>
      </c>
      <c r="AE386">
        <v>9.1278283478973438E-5</v>
      </c>
      <c r="AG386" t="s">
        <v>99</v>
      </c>
      <c r="AH386" t="s">
        <v>1853</v>
      </c>
      <c r="AI386">
        <v>0</v>
      </c>
    </row>
    <row r="387" spans="5:35" x14ac:dyDescent="0.45">
      <c r="E387" t="s">
        <v>548</v>
      </c>
      <c r="G387" t="s">
        <v>434</v>
      </c>
      <c r="I387" t="s">
        <v>249</v>
      </c>
      <c r="J387" t="s">
        <v>1854</v>
      </c>
      <c r="K387">
        <v>5.1895532962596335E-5</v>
      </c>
      <c r="L387" t="s">
        <v>251</v>
      </c>
      <c r="N387" t="s">
        <v>419</v>
      </c>
      <c r="O387" t="s">
        <v>1854</v>
      </c>
      <c r="P387">
        <v>2.6232335266658249E-5</v>
      </c>
      <c r="Q387" t="s">
        <v>251</v>
      </c>
      <c r="S387" t="s">
        <v>420</v>
      </c>
      <c r="T387" t="s">
        <v>1854</v>
      </c>
      <c r="U387">
        <v>4.9107457438109353E-5</v>
      </c>
      <c r="V387" t="s">
        <v>251</v>
      </c>
      <c r="X387">
        <v>1.1415525114155251E-4</v>
      </c>
      <c r="Y387">
        <v>2.2209515285616027E-4</v>
      </c>
      <c r="Z387" t="s">
        <v>1854</v>
      </c>
      <c r="AA387" t="s">
        <v>25</v>
      </c>
      <c r="AC387" t="s">
        <v>22</v>
      </c>
      <c r="AD387" t="s">
        <v>1854</v>
      </c>
      <c r="AE387">
        <v>8.8162896334083372E-5</v>
      </c>
      <c r="AG387" t="s">
        <v>99</v>
      </c>
      <c r="AH387" t="s">
        <v>1854</v>
      </c>
      <c r="AI387">
        <v>0</v>
      </c>
    </row>
    <row r="388" spans="5:35" x14ac:dyDescent="0.45">
      <c r="E388" t="s">
        <v>549</v>
      </c>
      <c r="G388" t="s">
        <v>434</v>
      </c>
      <c r="I388" t="s">
        <v>249</v>
      </c>
      <c r="J388" t="s">
        <v>1855</v>
      </c>
      <c r="K388">
        <v>2.5421013305160534E-5</v>
      </c>
      <c r="L388" t="s">
        <v>251</v>
      </c>
      <c r="N388" t="s">
        <v>419</v>
      </c>
      <c r="O388" t="s">
        <v>1855</v>
      </c>
      <c r="P388">
        <v>3.2338884070188822E-5</v>
      </c>
      <c r="Q388" t="s">
        <v>251</v>
      </c>
      <c r="S388" t="s">
        <v>420</v>
      </c>
      <c r="T388" t="s">
        <v>1855</v>
      </c>
      <c r="U388">
        <v>5.6139944159992667E-5</v>
      </c>
      <c r="V388" t="s">
        <v>251</v>
      </c>
      <c r="X388">
        <v>1.1415525114155251E-4</v>
      </c>
      <c r="Y388">
        <v>2.2209515285616027E-4</v>
      </c>
      <c r="Z388" t="s">
        <v>1855</v>
      </c>
      <c r="AA388" t="s">
        <v>25</v>
      </c>
      <c r="AC388" t="s">
        <v>22</v>
      </c>
      <c r="AD388" t="s">
        <v>1855</v>
      </c>
      <c r="AE388">
        <v>8.4159951474874697E-5</v>
      </c>
      <c r="AG388" t="s">
        <v>99</v>
      </c>
      <c r="AH388" t="s">
        <v>1855</v>
      </c>
      <c r="AI388">
        <v>0</v>
      </c>
    </row>
    <row r="389" spans="5:35" x14ac:dyDescent="0.45">
      <c r="E389" t="s">
        <v>550</v>
      </c>
      <c r="G389" t="s">
        <v>434</v>
      </c>
      <c r="I389" t="s">
        <v>249</v>
      </c>
      <c r="J389" t="s">
        <v>1856</v>
      </c>
      <c r="K389">
        <v>8.2856735838806223E-8</v>
      </c>
      <c r="L389" t="s">
        <v>251</v>
      </c>
      <c r="N389" t="s">
        <v>419</v>
      </c>
      <c r="O389" t="s">
        <v>1856</v>
      </c>
      <c r="P389">
        <v>3.9504391147228681E-5</v>
      </c>
      <c r="Q389" t="s">
        <v>251</v>
      </c>
      <c r="S389" t="s">
        <v>420</v>
      </c>
      <c r="T389" t="s">
        <v>1856</v>
      </c>
      <c r="U389">
        <v>6.5145323550747149E-5</v>
      </c>
      <c r="V389" t="s">
        <v>251</v>
      </c>
      <c r="X389">
        <v>1.1415525114155251E-4</v>
      </c>
      <c r="Y389">
        <v>1.7237235744060203E-4</v>
      </c>
      <c r="Z389" t="s">
        <v>1856</v>
      </c>
      <c r="AA389" t="s">
        <v>25</v>
      </c>
      <c r="AC389" t="s">
        <v>22</v>
      </c>
      <c r="AD389" t="s">
        <v>1856</v>
      </c>
      <c r="AE389">
        <v>8.5369174401093992E-5</v>
      </c>
      <c r="AG389" t="s">
        <v>99</v>
      </c>
      <c r="AH389" t="s">
        <v>1856</v>
      </c>
      <c r="AI389">
        <v>0</v>
      </c>
    </row>
    <row r="390" spans="5:35" x14ac:dyDescent="0.45">
      <c r="E390" t="s">
        <v>551</v>
      </c>
      <c r="G390" t="s">
        <v>434</v>
      </c>
      <c r="I390" t="s">
        <v>249</v>
      </c>
      <c r="J390" t="s">
        <v>1857</v>
      </c>
      <c r="K390">
        <v>0</v>
      </c>
      <c r="L390" t="s">
        <v>251</v>
      </c>
      <c r="N390" t="s">
        <v>419</v>
      </c>
      <c r="O390" t="s">
        <v>1857</v>
      </c>
      <c r="P390">
        <v>4.5432406240170072E-5</v>
      </c>
      <c r="Q390" t="s">
        <v>251</v>
      </c>
      <c r="S390" t="s">
        <v>420</v>
      </c>
      <c r="T390" t="s">
        <v>1857</v>
      </c>
      <c r="U390">
        <v>7.1621115679729004E-5</v>
      </c>
      <c r="V390" t="s">
        <v>251</v>
      </c>
      <c r="X390">
        <v>1.1415525114155251E-4</v>
      </c>
      <c r="Y390">
        <v>1.5579809230208258E-4</v>
      </c>
      <c r="Z390" t="s">
        <v>1857</v>
      </c>
      <c r="AA390" t="s">
        <v>25</v>
      </c>
      <c r="AC390" t="s">
        <v>22</v>
      </c>
      <c r="AD390" t="s">
        <v>1857</v>
      </c>
      <c r="AE390">
        <v>8.9378076023486006E-5</v>
      </c>
      <c r="AG390" t="s">
        <v>99</v>
      </c>
      <c r="AH390" t="s">
        <v>1857</v>
      </c>
      <c r="AI390">
        <v>0</v>
      </c>
    </row>
    <row r="391" spans="5:35" x14ac:dyDescent="0.45">
      <c r="E391" t="s">
        <v>552</v>
      </c>
      <c r="G391" t="s">
        <v>434</v>
      </c>
      <c r="I391" t="s">
        <v>249</v>
      </c>
      <c r="J391" t="s">
        <v>1858</v>
      </c>
      <c r="K391">
        <v>0</v>
      </c>
      <c r="L391" t="s">
        <v>251</v>
      </c>
      <c r="N391" t="s">
        <v>419</v>
      </c>
      <c r="O391" t="s">
        <v>1858</v>
      </c>
      <c r="P391">
        <v>4.7555580915096098E-5</v>
      </c>
      <c r="Q391" t="s">
        <v>251</v>
      </c>
      <c r="S391" t="s">
        <v>420</v>
      </c>
      <c r="T391" t="s">
        <v>1858</v>
      </c>
      <c r="U391">
        <v>7.1979919212038148E-5</v>
      </c>
      <c r="V391" t="s">
        <v>251</v>
      </c>
      <c r="X391">
        <v>1.1415525114155251E-4</v>
      </c>
      <c r="Y391">
        <v>1.093901499142282E-4</v>
      </c>
      <c r="Z391" t="s">
        <v>1858</v>
      </c>
      <c r="AA391" t="s">
        <v>25</v>
      </c>
      <c r="AC391" t="s">
        <v>22</v>
      </c>
      <c r="AD391" t="s">
        <v>1858</v>
      </c>
      <c r="AE391">
        <v>1.0783808512867598E-4</v>
      </c>
      <c r="AG391" t="s">
        <v>99</v>
      </c>
      <c r="AH391" t="s">
        <v>1858</v>
      </c>
      <c r="AI391">
        <v>0</v>
      </c>
    </row>
    <row r="392" spans="5:35" x14ac:dyDescent="0.45">
      <c r="E392" t="s">
        <v>553</v>
      </c>
      <c r="G392" t="s">
        <v>434</v>
      </c>
      <c r="I392" t="s">
        <v>249</v>
      </c>
      <c r="J392" t="s">
        <v>1859</v>
      </c>
      <c r="K392">
        <v>0</v>
      </c>
      <c r="L392" t="s">
        <v>251</v>
      </c>
      <c r="N392" t="s">
        <v>419</v>
      </c>
      <c r="O392" t="s">
        <v>1859</v>
      </c>
      <c r="P392">
        <v>4.9437690242407299E-5</v>
      </c>
      <c r="Q392" t="s">
        <v>251</v>
      </c>
      <c r="S392" t="s">
        <v>420</v>
      </c>
      <c r="T392" t="s">
        <v>1859</v>
      </c>
      <c r="U392">
        <v>7.1644095904857603E-5</v>
      </c>
      <c r="V392" t="s">
        <v>251</v>
      </c>
      <c r="X392">
        <v>1.1415525114155251E-4</v>
      </c>
      <c r="Y392">
        <v>7.9556472664893237E-5</v>
      </c>
      <c r="Z392" t="s">
        <v>1859</v>
      </c>
      <c r="AA392" t="s">
        <v>25</v>
      </c>
      <c r="AC392" t="s">
        <v>22</v>
      </c>
      <c r="AD392" t="s">
        <v>1859</v>
      </c>
      <c r="AE392">
        <v>1.2625044012839917E-4</v>
      </c>
      <c r="AG392" t="s">
        <v>99</v>
      </c>
      <c r="AH392" t="s">
        <v>1859</v>
      </c>
      <c r="AI392">
        <v>0</v>
      </c>
    </row>
    <row r="393" spans="5:35" x14ac:dyDescent="0.45">
      <c r="E393" t="s">
        <v>554</v>
      </c>
      <c r="G393" t="s">
        <v>434</v>
      </c>
      <c r="I393" t="s">
        <v>249</v>
      </c>
      <c r="J393" t="s">
        <v>1860</v>
      </c>
      <c r="K393">
        <v>0</v>
      </c>
      <c r="L393" t="s">
        <v>251</v>
      </c>
      <c r="N393" t="s">
        <v>419</v>
      </c>
      <c r="O393" t="s">
        <v>1860</v>
      </c>
      <c r="P393">
        <v>4.8899936422588323E-5</v>
      </c>
      <c r="Q393" t="s">
        <v>251</v>
      </c>
      <c r="S393" t="s">
        <v>420</v>
      </c>
      <c r="T393" t="s">
        <v>1860</v>
      </c>
      <c r="U393">
        <v>7.694564301510884E-5</v>
      </c>
      <c r="V393" t="s">
        <v>251</v>
      </c>
      <c r="X393">
        <v>1.1415525114155251E-4</v>
      </c>
      <c r="Y393">
        <v>5.6352501470966035E-5</v>
      </c>
      <c r="Z393" t="s">
        <v>1860</v>
      </c>
      <c r="AA393" t="s">
        <v>25</v>
      </c>
      <c r="AC393" t="s">
        <v>22</v>
      </c>
      <c r="AD393" t="s">
        <v>1860</v>
      </c>
      <c r="AE393">
        <v>1.3696665709523904E-4</v>
      </c>
      <c r="AG393" t="s">
        <v>99</v>
      </c>
      <c r="AH393" t="s">
        <v>1860</v>
      </c>
      <c r="AI393">
        <v>0</v>
      </c>
    </row>
    <row r="394" spans="5:35" x14ac:dyDescent="0.45">
      <c r="E394" t="s">
        <v>555</v>
      </c>
      <c r="G394" t="s">
        <v>434</v>
      </c>
      <c r="I394" t="s">
        <v>249</v>
      </c>
      <c r="J394" t="s">
        <v>1861</v>
      </c>
      <c r="K394">
        <v>0</v>
      </c>
      <c r="L394" t="s">
        <v>251</v>
      </c>
      <c r="N394" t="s">
        <v>419</v>
      </c>
      <c r="O394" t="s">
        <v>1861</v>
      </c>
      <c r="P394">
        <v>4.812529291456436E-5</v>
      </c>
      <c r="Q394" t="s">
        <v>251</v>
      </c>
      <c r="S394" t="s">
        <v>420</v>
      </c>
      <c r="T394" t="s">
        <v>1861</v>
      </c>
      <c r="U394">
        <v>7.9181033753468051E-5</v>
      </c>
      <c r="V394" t="s">
        <v>251</v>
      </c>
      <c r="X394">
        <v>1.1415525114155251E-4</v>
      </c>
      <c r="Y394">
        <v>2.9833677249334962E-5</v>
      </c>
      <c r="Z394" t="s">
        <v>1861</v>
      </c>
      <c r="AA394" t="s">
        <v>25</v>
      </c>
      <c r="AC394" t="s">
        <v>22</v>
      </c>
      <c r="AD394" t="s">
        <v>1861</v>
      </c>
      <c r="AE394">
        <v>1.4573501250112467E-4</v>
      </c>
      <c r="AG394" t="s">
        <v>99</v>
      </c>
      <c r="AH394" t="s">
        <v>1861</v>
      </c>
      <c r="AI394">
        <v>0</v>
      </c>
    </row>
    <row r="395" spans="5:35" x14ac:dyDescent="0.45">
      <c r="E395" t="s">
        <v>240</v>
      </c>
      <c r="G395" t="s">
        <v>152</v>
      </c>
      <c r="I395" t="s">
        <v>249</v>
      </c>
      <c r="J395" t="s">
        <v>323</v>
      </c>
      <c r="K395">
        <v>0</v>
      </c>
      <c r="L395" t="s">
        <v>251</v>
      </c>
      <c r="N395" t="s">
        <v>419</v>
      </c>
      <c r="O395" t="s">
        <v>323</v>
      </c>
      <c r="P395">
        <v>2.4141775459495713E-2</v>
      </c>
      <c r="Q395" t="s">
        <v>251</v>
      </c>
      <c r="S395" t="s">
        <v>420</v>
      </c>
      <c r="T395" t="s">
        <v>323</v>
      </c>
      <c r="U395">
        <v>2.2693313561102026E-2</v>
      </c>
      <c r="V395" t="s">
        <v>251</v>
      </c>
      <c r="X395">
        <v>2.1232876712328767E-2</v>
      </c>
      <c r="Y395">
        <v>4.5420116185598634E-3</v>
      </c>
      <c r="Z395" t="s">
        <v>323</v>
      </c>
      <c r="AA395" t="s">
        <v>25</v>
      </c>
      <c r="AC395" t="s">
        <v>22</v>
      </c>
      <c r="AD395" t="s">
        <v>323</v>
      </c>
      <c r="AE395">
        <v>2.3979920575086799E-2</v>
      </c>
      <c r="AG395" t="s">
        <v>99</v>
      </c>
      <c r="AH395" t="s">
        <v>323</v>
      </c>
      <c r="AI395">
        <v>0.1032275574828907</v>
      </c>
    </row>
    <row r="396" spans="5:35" x14ac:dyDescent="0.45">
      <c r="E396" t="s">
        <v>241</v>
      </c>
      <c r="G396" t="s">
        <v>152</v>
      </c>
      <c r="I396" t="s">
        <v>249</v>
      </c>
      <c r="J396" t="s">
        <v>324</v>
      </c>
      <c r="K396">
        <v>0</v>
      </c>
      <c r="L396" t="s">
        <v>251</v>
      </c>
      <c r="N396" t="s">
        <v>419</v>
      </c>
      <c r="O396" t="s">
        <v>324</v>
      </c>
      <c r="P396">
        <v>3.8362604124315223E-3</v>
      </c>
      <c r="Q396" t="s">
        <v>251</v>
      </c>
      <c r="S396" t="s">
        <v>420</v>
      </c>
      <c r="T396" t="s">
        <v>324</v>
      </c>
      <c r="U396">
        <v>3.686837046252508E-3</v>
      </c>
      <c r="V396" t="s">
        <v>251</v>
      </c>
      <c r="X396">
        <v>3.5388127853881279E-3</v>
      </c>
      <c r="Y396">
        <v>5.240782636799844E-3</v>
      </c>
      <c r="Z396" t="s">
        <v>324</v>
      </c>
      <c r="AA396" t="s">
        <v>25</v>
      </c>
      <c r="AC396" t="s">
        <v>22</v>
      </c>
      <c r="AD396" t="s">
        <v>324</v>
      </c>
      <c r="AE396">
        <v>3.986693721138578E-3</v>
      </c>
      <c r="AG396" t="s">
        <v>99</v>
      </c>
      <c r="AH396" t="s">
        <v>324</v>
      </c>
      <c r="AI396">
        <v>5.6498111575230325E-2</v>
      </c>
    </row>
    <row r="397" spans="5:35" x14ac:dyDescent="0.45">
      <c r="E397" t="s">
        <v>242</v>
      </c>
      <c r="G397" t="s">
        <v>152</v>
      </c>
      <c r="I397" t="s">
        <v>249</v>
      </c>
      <c r="J397" t="s">
        <v>325</v>
      </c>
      <c r="K397">
        <v>7.8052309015312832E-4</v>
      </c>
      <c r="L397" t="s">
        <v>251</v>
      </c>
      <c r="N397" t="s">
        <v>419</v>
      </c>
      <c r="O397" t="s">
        <v>325</v>
      </c>
      <c r="P397">
        <v>3.7884128657880421E-3</v>
      </c>
      <c r="Q397" t="s">
        <v>251</v>
      </c>
      <c r="S397" t="s">
        <v>420</v>
      </c>
      <c r="T397" t="s">
        <v>325</v>
      </c>
      <c r="U397">
        <v>3.5999580091018047E-3</v>
      </c>
      <c r="V397" t="s">
        <v>251</v>
      </c>
      <c r="X397">
        <v>3.5388127853881279E-3</v>
      </c>
      <c r="Y397">
        <v>5.9087255218821738E-3</v>
      </c>
      <c r="Z397" t="s">
        <v>325</v>
      </c>
      <c r="AA397" t="s">
        <v>25</v>
      </c>
      <c r="AC397" t="s">
        <v>22</v>
      </c>
      <c r="AD397" t="s">
        <v>325</v>
      </c>
      <c r="AE397">
        <v>4.2316119961850413E-3</v>
      </c>
      <c r="AG397" t="s">
        <v>99</v>
      </c>
      <c r="AH397" t="s">
        <v>325</v>
      </c>
      <c r="AI397">
        <v>9.3579735387869789E-2</v>
      </c>
    </row>
    <row r="398" spans="5:35" x14ac:dyDescent="0.45">
      <c r="E398" t="s">
        <v>243</v>
      </c>
      <c r="G398" t="s">
        <v>152</v>
      </c>
      <c r="I398" t="s">
        <v>249</v>
      </c>
      <c r="J398" t="s">
        <v>326</v>
      </c>
      <c r="K398">
        <v>3.598844042367861E-2</v>
      </c>
      <c r="L398" t="s">
        <v>251</v>
      </c>
      <c r="N398" t="s">
        <v>419</v>
      </c>
      <c r="O398" t="s">
        <v>326</v>
      </c>
      <c r="P398">
        <v>1.7718370554977197E-2</v>
      </c>
      <c r="Q398" t="s">
        <v>251</v>
      </c>
      <c r="S398" t="s">
        <v>420</v>
      </c>
      <c r="T398" t="s">
        <v>326</v>
      </c>
      <c r="U398">
        <v>2.1919812724936486E-2</v>
      </c>
      <c r="V398" t="s">
        <v>251</v>
      </c>
      <c r="X398">
        <v>2.1232876712328767E-2</v>
      </c>
      <c r="Y398">
        <v>2.6758819580836844E-2</v>
      </c>
      <c r="Z398" t="s">
        <v>326</v>
      </c>
      <c r="AA398" t="s">
        <v>25</v>
      </c>
      <c r="AC398" t="s">
        <v>22</v>
      </c>
      <c r="AD398" t="s">
        <v>326</v>
      </c>
      <c r="AE398">
        <v>2.52893600851027E-2</v>
      </c>
      <c r="AG398" t="s">
        <v>99</v>
      </c>
      <c r="AH398" t="s">
        <v>326</v>
      </c>
      <c r="AI398">
        <v>0.13028808653136692</v>
      </c>
    </row>
    <row r="399" spans="5:35" x14ac:dyDescent="0.45">
      <c r="E399" t="s">
        <v>244</v>
      </c>
      <c r="G399" t="s">
        <v>152</v>
      </c>
      <c r="I399" t="s">
        <v>249</v>
      </c>
      <c r="J399" t="s">
        <v>327</v>
      </c>
      <c r="K399">
        <v>1.6768638501399199E-2</v>
      </c>
      <c r="L399" t="s">
        <v>251</v>
      </c>
      <c r="N399" t="s">
        <v>419</v>
      </c>
      <c r="O399" t="s">
        <v>327</v>
      </c>
      <c r="P399">
        <v>8.0509621699873263E-3</v>
      </c>
      <c r="Q399" t="s">
        <v>251</v>
      </c>
      <c r="S399" t="s">
        <v>420</v>
      </c>
      <c r="T399" t="s">
        <v>327</v>
      </c>
      <c r="U399">
        <v>1.0995196107660529E-2</v>
      </c>
      <c r="V399" t="s">
        <v>251</v>
      </c>
      <c r="X399">
        <v>1.0616438356164383E-2</v>
      </c>
      <c r="Y399">
        <v>1.6893816970390073E-2</v>
      </c>
      <c r="Z399" t="s">
        <v>327</v>
      </c>
      <c r="AA399" t="s">
        <v>25</v>
      </c>
      <c r="AC399" t="s">
        <v>22</v>
      </c>
      <c r="AD399" t="s">
        <v>327</v>
      </c>
      <c r="AE399">
        <v>8.9752722242677878E-3</v>
      </c>
      <c r="AG399" t="s">
        <v>99</v>
      </c>
      <c r="AH399" t="s">
        <v>327</v>
      </c>
      <c r="AI399">
        <v>0.11180787818753379</v>
      </c>
    </row>
    <row r="400" spans="5:35" x14ac:dyDescent="0.45">
      <c r="E400" t="s">
        <v>245</v>
      </c>
      <c r="G400" t="s">
        <v>152</v>
      </c>
      <c r="I400" t="s">
        <v>249</v>
      </c>
      <c r="J400" t="s">
        <v>328</v>
      </c>
      <c r="K400">
        <v>3.9152964462415398E-3</v>
      </c>
      <c r="L400" t="s">
        <v>251</v>
      </c>
      <c r="N400" t="s">
        <v>419</v>
      </c>
      <c r="O400" t="s">
        <v>328</v>
      </c>
      <c r="P400">
        <v>2.6456635384339232E-3</v>
      </c>
      <c r="Q400" t="s">
        <v>251</v>
      </c>
      <c r="S400" t="s">
        <v>420</v>
      </c>
      <c r="T400" t="s">
        <v>328</v>
      </c>
      <c r="U400">
        <v>3.6218907938387621E-3</v>
      </c>
      <c r="V400" t="s">
        <v>251</v>
      </c>
      <c r="X400">
        <v>3.5388127853881279E-3</v>
      </c>
      <c r="Y400">
        <v>6.8849497385409693E-3</v>
      </c>
      <c r="Z400" t="s">
        <v>328</v>
      </c>
      <c r="AA400" t="s">
        <v>25</v>
      </c>
      <c r="AC400" t="s">
        <v>22</v>
      </c>
      <c r="AD400" t="s">
        <v>328</v>
      </c>
      <c r="AE400">
        <v>2.5747442735004709E-3</v>
      </c>
      <c r="AG400" t="s">
        <v>99</v>
      </c>
      <c r="AH400" t="s">
        <v>328</v>
      </c>
      <c r="AI400">
        <v>2.9026495980946754E-2</v>
      </c>
    </row>
    <row r="401" spans="5:35" x14ac:dyDescent="0.45">
      <c r="E401" t="s">
        <v>246</v>
      </c>
      <c r="G401" t="s">
        <v>152</v>
      </c>
      <c r="I401" t="s">
        <v>249</v>
      </c>
      <c r="J401" t="s">
        <v>329</v>
      </c>
      <c r="K401">
        <v>9.7688216512112434E-4</v>
      </c>
      <c r="L401" t="s">
        <v>251</v>
      </c>
      <c r="N401" t="s">
        <v>419</v>
      </c>
      <c r="O401" t="s">
        <v>329</v>
      </c>
      <c r="P401">
        <v>2.930497437883046E-3</v>
      </c>
      <c r="Q401" t="s">
        <v>251</v>
      </c>
      <c r="S401" t="s">
        <v>420</v>
      </c>
      <c r="T401" t="s">
        <v>329</v>
      </c>
      <c r="U401">
        <v>3.5799806164893669E-3</v>
      </c>
      <c r="V401" t="s">
        <v>251</v>
      </c>
      <c r="X401">
        <v>3.5388127853881279E-3</v>
      </c>
      <c r="Y401">
        <v>5.3435430806586613E-3</v>
      </c>
      <c r="Z401" t="s">
        <v>329</v>
      </c>
      <c r="AA401" t="s">
        <v>25</v>
      </c>
      <c r="AC401" t="s">
        <v>22</v>
      </c>
      <c r="AD401" t="s">
        <v>329</v>
      </c>
      <c r="AE401">
        <v>2.6002451766883763E-3</v>
      </c>
      <c r="AG401" t="s">
        <v>99</v>
      </c>
      <c r="AH401" t="s">
        <v>329</v>
      </c>
      <c r="AI401">
        <v>3.6642143420682283E-2</v>
      </c>
    </row>
    <row r="402" spans="5:35" x14ac:dyDescent="0.45">
      <c r="E402" t="s">
        <v>247</v>
      </c>
      <c r="G402" t="s">
        <v>152</v>
      </c>
      <c r="I402" t="s">
        <v>249</v>
      </c>
      <c r="J402" t="s">
        <v>330</v>
      </c>
      <c r="K402">
        <v>0</v>
      </c>
      <c r="L402" t="s">
        <v>251</v>
      </c>
      <c r="N402" t="s">
        <v>419</v>
      </c>
      <c r="O402" t="s">
        <v>330</v>
      </c>
      <c r="P402">
        <v>1.9050993178450711E-2</v>
      </c>
      <c r="Q402" t="s">
        <v>251</v>
      </c>
      <c r="S402" t="s">
        <v>420</v>
      </c>
      <c r="T402" t="s">
        <v>330</v>
      </c>
      <c r="U402">
        <v>1.8281068833678568E-2</v>
      </c>
      <c r="V402" t="s">
        <v>251</v>
      </c>
      <c r="X402">
        <v>1.7694063926940638E-2</v>
      </c>
      <c r="Y402">
        <v>1.3358857701646654E-2</v>
      </c>
      <c r="Z402" t="s">
        <v>330</v>
      </c>
      <c r="AA402" t="s">
        <v>25</v>
      </c>
      <c r="AC402" t="s">
        <v>22</v>
      </c>
      <c r="AD402" t="s">
        <v>330</v>
      </c>
      <c r="AE402">
        <v>1.7683837421870352E-2</v>
      </c>
      <c r="AG402" t="s">
        <v>99</v>
      </c>
      <c r="AH402" t="s">
        <v>330</v>
      </c>
      <c r="AI402">
        <v>0.20480196779357418</v>
      </c>
    </row>
    <row r="403" spans="5:35" x14ac:dyDescent="0.45">
      <c r="I403" t="s">
        <v>249</v>
      </c>
      <c r="J403" t="s">
        <v>331</v>
      </c>
      <c r="K403">
        <v>0</v>
      </c>
      <c r="L403" t="s">
        <v>251</v>
      </c>
      <c r="N403" t="s">
        <v>419</v>
      </c>
      <c r="O403" t="s">
        <v>331</v>
      </c>
      <c r="P403">
        <v>2.1974063560462369E-2</v>
      </c>
      <c r="Q403" t="s">
        <v>251</v>
      </c>
      <c r="S403" t="s">
        <v>420</v>
      </c>
      <c r="T403" t="s">
        <v>331</v>
      </c>
      <c r="U403">
        <v>2.7283751510667056E-2</v>
      </c>
      <c r="V403" t="s">
        <v>251</v>
      </c>
      <c r="X403">
        <v>2.1232876712328767E-2</v>
      </c>
      <c r="Y403">
        <v>4.5420116185598634E-3</v>
      </c>
      <c r="Z403" t="s">
        <v>331</v>
      </c>
      <c r="AA403" t="s">
        <v>25</v>
      </c>
      <c r="AC403" t="s">
        <v>22</v>
      </c>
      <c r="AD403" t="s">
        <v>331</v>
      </c>
      <c r="AE403">
        <v>2.3404298694738292E-2</v>
      </c>
      <c r="AG403" t="s">
        <v>99</v>
      </c>
      <c r="AH403" t="s">
        <v>331</v>
      </c>
      <c r="AI403">
        <v>8.6770478469463619E-2</v>
      </c>
    </row>
    <row r="404" spans="5:35" x14ac:dyDescent="0.45">
      <c r="I404" t="s">
        <v>249</v>
      </c>
      <c r="J404" t="s">
        <v>332</v>
      </c>
      <c r="K404">
        <v>0</v>
      </c>
      <c r="L404" t="s">
        <v>251</v>
      </c>
      <c r="N404" t="s">
        <v>419</v>
      </c>
      <c r="O404" t="s">
        <v>332</v>
      </c>
      <c r="P404">
        <v>3.450239365884766E-3</v>
      </c>
      <c r="Q404" t="s">
        <v>251</v>
      </c>
      <c r="S404" t="s">
        <v>420</v>
      </c>
      <c r="T404" t="s">
        <v>332</v>
      </c>
      <c r="U404">
        <v>4.4860067785218154E-3</v>
      </c>
      <c r="V404" t="s">
        <v>251</v>
      </c>
      <c r="X404">
        <v>3.5388127853881279E-3</v>
      </c>
      <c r="Y404">
        <v>5.240782636799844E-3</v>
      </c>
      <c r="Z404" t="s">
        <v>332</v>
      </c>
      <c r="AA404" t="s">
        <v>25</v>
      </c>
      <c r="AC404" t="s">
        <v>22</v>
      </c>
      <c r="AD404" t="s">
        <v>332</v>
      </c>
      <c r="AE404">
        <v>3.9208830708802678E-3</v>
      </c>
      <c r="AG404" t="s">
        <v>99</v>
      </c>
      <c r="AH404" t="s">
        <v>332</v>
      </c>
      <c r="AI404">
        <v>6.1004223848656558E-2</v>
      </c>
    </row>
    <row r="405" spans="5:35" x14ac:dyDescent="0.45">
      <c r="I405" t="s">
        <v>249</v>
      </c>
      <c r="J405" t="s">
        <v>333</v>
      </c>
      <c r="K405">
        <v>2.5517161056882406E-3</v>
      </c>
      <c r="L405" t="s">
        <v>251</v>
      </c>
      <c r="N405" t="s">
        <v>419</v>
      </c>
      <c r="O405" t="s">
        <v>333</v>
      </c>
      <c r="P405">
        <v>3.3543672645367697E-3</v>
      </c>
      <c r="Q405" t="s">
        <v>251</v>
      </c>
      <c r="S405" t="s">
        <v>420</v>
      </c>
      <c r="T405" t="s">
        <v>333</v>
      </c>
      <c r="U405">
        <v>4.4835930943530672E-3</v>
      </c>
      <c r="V405" t="s">
        <v>251</v>
      </c>
      <c r="X405">
        <v>3.5388127853881279E-3</v>
      </c>
      <c r="Y405">
        <v>5.9087255218821738E-3</v>
      </c>
      <c r="Z405" t="s">
        <v>333</v>
      </c>
      <c r="AA405" t="s">
        <v>25</v>
      </c>
      <c r="AC405" t="s">
        <v>22</v>
      </c>
      <c r="AD405" t="s">
        <v>333</v>
      </c>
      <c r="AE405">
        <v>4.0787194249493931E-3</v>
      </c>
      <c r="AG405" t="s">
        <v>99</v>
      </c>
      <c r="AH405" t="s">
        <v>333</v>
      </c>
      <c r="AI405">
        <v>8.3453178737734612E-2</v>
      </c>
    </row>
    <row r="406" spans="5:35" x14ac:dyDescent="0.45">
      <c r="I406" t="s">
        <v>249</v>
      </c>
      <c r="J406" t="s">
        <v>334</v>
      </c>
      <c r="K406">
        <v>4.4592288830543898E-2</v>
      </c>
      <c r="L406" t="s">
        <v>251</v>
      </c>
      <c r="N406" t="s">
        <v>419</v>
      </c>
      <c r="O406" t="s">
        <v>334</v>
      </c>
      <c r="P406">
        <v>1.6331437927914888E-2</v>
      </c>
      <c r="Q406" t="s">
        <v>251</v>
      </c>
      <c r="S406" t="s">
        <v>420</v>
      </c>
      <c r="T406" t="s">
        <v>334</v>
      </c>
      <c r="U406">
        <v>2.7716967703179399E-2</v>
      </c>
      <c r="V406" t="s">
        <v>251</v>
      </c>
      <c r="X406">
        <v>2.1232876712328767E-2</v>
      </c>
      <c r="Y406">
        <v>2.6758819580836844E-2</v>
      </c>
      <c r="Z406" t="s">
        <v>334</v>
      </c>
      <c r="AA406" t="s">
        <v>25</v>
      </c>
      <c r="AC406" t="s">
        <v>22</v>
      </c>
      <c r="AD406" t="s">
        <v>334</v>
      </c>
      <c r="AE406">
        <v>2.4660008200840411E-2</v>
      </c>
      <c r="AG406" t="s">
        <v>99</v>
      </c>
      <c r="AH406" t="s">
        <v>334</v>
      </c>
      <c r="AI406">
        <v>0.16204740512519122</v>
      </c>
    </row>
    <row r="407" spans="5:35" x14ac:dyDescent="0.45">
      <c r="I407" t="s">
        <v>249</v>
      </c>
      <c r="J407" t="s">
        <v>335</v>
      </c>
      <c r="K407">
        <v>2.09831215758269E-2</v>
      </c>
      <c r="L407" t="s">
        <v>251</v>
      </c>
      <c r="N407" t="s">
        <v>419</v>
      </c>
      <c r="O407" t="s">
        <v>335</v>
      </c>
      <c r="P407">
        <v>8.535814500486065E-3</v>
      </c>
      <c r="Q407" t="s">
        <v>251</v>
      </c>
      <c r="S407" t="s">
        <v>420</v>
      </c>
      <c r="T407" t="s">
        <v>335</v>
      </c>
      <c r="U407">
        <v>1.4122223160482752E-2</v>
      </c>
      <c r="V407" t="s">
        <v>251</v>
      </c>
      <c r="X407">
        <v>1.0616438356164383E-2</v>
      </c>
      <c r="Y407">
        <v>1.6893816970390073E-2</v>
      </c>
      <c r="Z407" t="s">
        <v>335</v>
      </c>
      <c r="AA407" t="s">
        <v>25</v>
      </c>
      <c r="AC407" t="s">
        <v>22</v>
      </c>
      <c r="AD407" t="s">
        <v>335</v>
      </c>
      <c r="AE407">
        <v>8.7792639398936757E-3</v>
      </c>
      <c r="AG407" t="s">
        <v>99</v>
      </c>
      <c r="AH407" t="s">
        <v>335</v>
      </c>
      <c r="AI407">
        <v>0.11093550843474387</v>
      </c>
    </row>
    <row r="408" spans="5:35" x14ac:dyDescent="0.45">
      <c r="I408" t="s">
        <v>249</v>
      </c>
      <c r="J408" t="s">
        <v>336</v>
      </c>
      <c r="K408">
        <v>5.2084514300123003E-3</v>
      </c>
      <c r="L408" t="s">
        <v>251</v>
      </c>
      <c r="N408" t="s">
        <v>419</v>
      </c>
      <c r="O408" t="s">
        <v>336</v>
      </c>
      <c r="P408">
        <v>2.7610342416565597E-3</v>
      </c>
      <c r="Q408" t="s">
        <v>251</v>
      </c>
      <c r="S408" t="s">
        <v>420</v>
      </c>
      <c r="T408" t="s">
        <v>336</v>
      </c>
      <c r="U408">
        <v>4.6884794009072516E-3</v>
      </c>
      <c r="V408" t="s">
        <v>251</v>
      </c>
      <c r="X408">
        <v>3.5388127853881279E-3</v>
      </c>
      <c r="Y408">
        <v>6.8849497385409693E-3</v>
      </c>
      <c r="Z408" t="s">
        <v>336</v>
      </c>
      <c r="AA408" t="s">
        <v>25</v>
      </c>
      <c r="AC408" t="s">
        <v>22</v>
      </c>
      <c r="AD408" t="s">
        <v>336</v>
      </c>
      <c r="AE408">
        <v>2.5171539564351779E-3</v>
      </c>
      <c r="AG408" t="s">
        <v>99</v>
      </c>
      <c r="AH408" t="s">
        <v>336</v>
      </c>
      <c r="AI408">
        <v>4.4173913511419194E-2</v>
      </c>
    </row>
    <row r="409" spans="5:35" x14ac:dyDescent="0.45">
      <c r="I409" t="s">
        <v>249</v>
      </c>
      <c r="J409" t="s">
        <v>337</v>
      </c>
      <c r="K409">
        <v>2.2047296132105187E-3</v>
      </c>
      <c r="L409" t="s">
        <v>251</v>
      </c>
      <c r="N409" t="s">
        <v>419</v>
      </c>
      <c r="O409" t="s">
        <v>337</v>
      </c>
      <c r="P409">
        <v>2.9540571089904824E-3</v>
      </c>
      <c r="Q409" t="s">
        <v>251</v>
      </c>
      <c r="S409" t="s">
        <v>420</v>
      </c>
      <c r="T409" t="s">
        <v>337</v>
      </c>
      <c r="U409">
        <v>4.6654493652520607E-3</v>
      </c>
      <c r="V409" t="s">
        <v>251</v>
      </c>
      <c r="X409">
        <v>3.5388127853881279E-3</v>
      </c>
      <c r="Y409">
        <v>5.3435430806586613E-3</v>
      </c>
      <c r="Z409" t="s">
        <v>337</v>
      </c>
      <c r="AA409" t="s">
        <v>25</v>
      </c>
      <c r="AC409" t="s">
        <v>22</v>
      </c>
      <c r="AD409" t="s">
        <v>337</v>
      </c>
      <c r="AE409">
        <v>2.5420591833047487E-3</v>
      </c>
      <c r="AG409" t="s">
        <v>99</v>
      </c>
      <c r="AH409" t="s">
        <v>337</v>
      </c>
      <c r="AI409">
        <v>4.5756950232309856E-2</v>
      </c>
    </row>
    <row r="410" spans="5:35" x14ac:dyDescent="0.45">
      <c r="I410" t="s">
        <v>249</v>
      </c>
      <c r="J410" t="s">
        <v>338</v>
      </c>
      <c r="K410">
        <v>0</v>
      </c>
      <c r="L410" t="s">
        <v>251</v>
      </c>
      <c r="N410" t="s">
        <v>419</v>
      </c>
      <c r="O410" t="s">
        <v>338</v>
      </c>
      <c r="P410">
        <v>1.8126116386870957E-2</v>
      </c>
      <c r="Q410" t="s">
        <v>251</v>
      </c>
      <c r="S410" t="s">
        <v>420</v>
      </c>
      <c r="T410" t="s">
        <v>338</v>
      </c>
      <c r="U410">
        <v>2.3326524318008243E-2</v>
      </c>
      <c r="V410" t="s">
        <v>251</v>
      </c>
      <c r="X410">
        <v>1.7694063926940638E-2</v>
      </c>
      <c r="Y410">
        <v>1.3358857701646654E-2</v>
      </c>
      <c r="Z410" t="s">
        <v>338</v>
      </c>
      <c r="AA410" t="s">
        <v>25</v>
      </c>
      <c r="AC410" t="s">
        <v>22</v>
      </c>
      <c r="AD410" t="s">
        <v>338</v>
      </c>
      <c r="AE410">
        <v>1.7040886577869188E-2</v>
      </c>
      <c r="AG410" t="s">
        <v>99</v>
      </c>
      <c r="AH410" t="s">
        <v>338</v>
      </c>
      <c r="AI410">
        <v>0.20820639587821077</v>
      </c>
    </row>
    <row r="411" spans="5:35" x14ac:dyDescent="0.45">
      <c r="I411" t="s">
        <v>249</v>
      </c>
      <c r="J411" t="s">
        <v>339</v>
      </c>
      <c r="K411">
        <v>0</v>
      </c>
      <c r="L411" t="s">
        <v>251</v>
      </c>
      <c r="N411" t="s">
        <v>419</v>
      </c>
      <c r="O411" t="s">
        <v>339</v>
      </c>
      <c r="P411">
        <v>2.1796568223397039E-2</v>
      </c>
      <c r="Q411" t="s">
        <v>251</v>
      </c>
      <c r="S411" t="s">
        <v>420</v>
      </c>
      <c r="T411" t="s">
        <v>339</v>
      </c>
      <c r="U411">
        <v>2.3777021963521213E-2</v>
      </c>
      <c r="V411" t="s">
        <v>251</v>
      </c>
      <c r="X411">
        <v>1.9863013698630139E-2</v>
      </c>
      <c r="Y411">
        <v>4.2489786109108389E-3</v>
      </c>
      <c r="Z411" t="s">
        <v>339</v>
      </c>
      <c r="AA411" t="s">
        <v>25</v>
      </c>
      <c r="AC411" t="s">
        <v>22</v>
      </c>
      <c r="AD411" t="s">
        <v>339</v>
      </c>
      <c r="AE411">
        <v>2.1282233931423512E-2</v>
      </c>
      <c r="AG411" t="s">
        <v>99</v>
      </c>
      <c r="AH411" t="s">
        <v>339</v>
      </c>
      <c r="AI411">
        <v>6.4029160967776333E-2</v>
      </c>
    </row>
    <row r="412" spans="5:35" x14ac:dyDescent="0.45">
      <c r="I412" t="s">
        <v>249</v>
      </c>
      <c r="J412" t="s">
        <v>340</v>
      </c>
      <c r="K412">
        <v>8.0476171451055324E-4</v>
      </c>
      <c r="L412" t="s">
        <v>251</v>
      </c>
      <c r="N412" t="s">
        <v>419</v>
      </c>
      <c r="O412" t="s">
        <v>340</v>
      </c>
      <c r="P412">
        <v>3.494115985456351E-3</v>
      </c>
      <c r="Q412" t="s">
        <v>251</v>
      </c>
      <c r="S412" t="s">
        <v>420</v>
      </c>
      <c r="T412" t="s">
        <v>340</v>
      </c>
      <c r="U412">
        <v>3.8361907718786666E-3</v>
      </c>
      <c r="V412" t="s">
        <v>251</v>
      </c>
      <c r="X412">
        <v>3.3105022831050228E-3</v>
      </c>
      <c r="Y412">
        <v>4.9026676279740472E-3</v>
      </c>
      <c r="Z412" t="s">
        <v>340</v>
      </c>
      <c r="AA412" t="s">
        <v>25</v>
      </c>
      <c r="AC412" t="s">
        <v>22</v>
      </c>
      <c r="AD412" t="s">
        <v>340</v>
      </c>
      <c r="AE412">
        <v>3.5584094566937299E-3</v>
      </c>
      <c r="AG412" t="s">
        <v>99</v>
      </c>
      <c r="AH412" t="s">
        <v>340</v>
      </c>
      <c r="AI412">
        <v>4.8404726604066806E-2</v>
      </c>
    </row>
    <row r="413" spans="5:35" x14ac:dyDescent="0.45">
      <c r="I413" t="s">
        <v>249</v>
      </c>
      <c r="J413" t="s">
        <v>341</v>
      </c>
      <c r="K413">
        <v>4.9981845732735997E-3</v>
      </c>
      <c r="L413" t="s">
        <v>251</v>
      </c>
      <c r="N413" t="s">
        <v>419</v>
      </c>
      <c r="O413" t="s">
        <v>341</v>
      </c>
      <c r="P413">
        <v>3.2294319083525777E-3</v>
      </c>
      <c r="Q413" t="s">
        <v>251</v>
      </c>
      <c r="S413" t="s">
        <v>420</v>
      </c>
      <c r="T413" t="s">
        <v>341</v>
      </c>
      <c r="U413">
        <v>3.8164861739832467E-3</v>
      </c>
      <c r="V413" t="s">
        <v>251</v>
      </c>
      <c r="X413">
        <v>3.3105022831050228E-3</v>
      </c>
      <c r="Y413">
        <v>5.5275174236962274E-3</v>
      </c>
      <c r="Z413" t="s">
        <v>341</v>
      </c>
      <c r="AA413" t="s">
        <v>25</v>
      </c>
      <c r="AC413" t="s">
        <v>22</v>
      </c>
      <c r="AD413" t="s">
        <v>341</v>
      </c>
      <c r="AE413">
        <v>3.6022750607758915E-3</v>
      </c>
      <c r="AG413" t="s">
        <v>99</v>
      </c>
      <c r="AH413" t="s">
        <v>341</v>
      </c>
      <c r="AI413">
        <v>4.8365585889543539E-2</v>
      </c>
    </row>
    <row r="414" spans="5:35" x14ac:dyDescent="0.45">
      <c r="I414" t="s">
        <v>249</v>
      </c>
      <c r="J414" t="s">
        <v>342</v>
      </c>
      <c r="K414">
        <v>5.00195889256589E-2</v>
      </c>
      <c r="L414" t="s">
        <v>251</v>
      </c>
      <c r="N414" t="s">
        <v>419</v>
      </c>
      <c r="O414" t="s">
        <v>342</v>
      </c>
      <c r="P414">
        <v>1.7222396061738563E-2</v>
      </c>
      <c r="Q414" t="s">
        <v>251</v>
      </c>
      <c r="S414" t="s">
        <v>420</v>
      </c>
      <c r="T414" t="s">
        <v>342</v>
      </c>
      <c r="U414">
        <v>2.2091707914398569E-2</v>
      </c>
      <c r="V414" t="s">
        <v>251</v>
      </c>
      <c r="X414">
        <v>1.9863013698630139E-2</v>
      </c>
      <c r="Y414">
        <v>2.5032444124008655E-2</v>
      </c>
      <c r="Z414" t="s">
        <v>342</v>
      </c>
      <c r="AA414" t="s">
        <v>25</v>
      </c>
      <c r="AC414" t="s">
        <v>22</v>
      </c>
      <c r="AD414" t="s">
        <v>342</v>
      </c>
      <c r="AE414">
        <v>2.1103626344134058E-2</v>
      </c>
      <c r="AG414" t="s">
        <v>99</v>
      </c>
      <c r="AH414" t="s">
        <v>342</v>
      </c>
      <c r="AI414">
        <v>7.2628518259625574E-2</v>
      </c>
    </row>
    <row r="415" spans="5:35" x14ac:dyDescent="0.45">
      <c r="I415" t="s">
        <v>249</v>
      </c>
      <c r="J415" t="s">
        <v>343</v>
      </c>
      <c r="K415">
        <v>2.34794847386861E-2</v>
      </c>
      <c r="L415" t="s">
        <v>251</v>
      </c>
      <c r="N415" t="s">
        <v>419</v>
      </c>
      <c r="O415" t="s">
        <v>343</v>
      </c>
      <c r="P415">
        <v>8.8882111651450192E-3</v>
      </c>
      <c r="Q415" t="s">
        <v>251</v>
      </c>
      <c r="S415" t="s">
        <v>420</v>
      </c>
      <c r="T415" t="s">
        <v>343</v>
      </c>
      <c r="U415">
        <v>1.131293018468584E-2</v>
      </c>
      <c r="V415" t="s">
        <v>251</v>
      </c>
      <c r="X415">
        <v>9.9315068493150693E-3</v>
      </c>
      <c r="Y415">
        <v>1.5803893294881032E-2</v>
      </c>
      <c r="Z415" t="s">
        <v>343</v>
      </c>
      <c r="AA415" t="s">
        <v>25</v>
      </c>
      <c r="AC415" t="s">
        <v>22</v>
      </c>
      <c r="AD415" t="s">
        <v>343</v>
      </c>
      <c r="AE415">
        <v>7.9383458713872968E-3</v>
      </c>
      <c r="AG415" t="s">
        <v>99</v>
      </c>
      <c r="AH415" t="s">
        <v>343</v>
      </c>
      <c r="AI415">
        <v>9.5519006116057348E-2</v>
      </c>
    </row>
    <row r="416" spans="5:35" x14ac:dyDescent="0.45">
      <c r="I416" t="s">
        <v>249</v>
      </c>
      <c r="J416" t="s">
        <v>344</v>
      </c>
      <c r="K416">
        <v>5.8795776731372998E-3</v>
      </c>
      <c r="L416" t="s">
        <v>251</v>
      </c>
      <c r="N416" t="s">
        <v>419</v>
      </c>
      <c r="O416" t="s">
        <v>344</v>
      </c>
      <c r="P416">
        <v>2.8786166847637709E-3</v>
      </c>
      <c r="Q416" t="s">
        <v>251</v>
      </c>
      <c r="S416" t="s">
        <v>420</v>
      </c>
      <c r="T416" t="s">
        <v>344</v>
      </c>
      <c r="U416">
        <v>3.8462719399203114E-3</v>
      </c>
      <c r="V416" t="s">
        <v>251</v>
      </c>
      <c r="X416">
        <v>3.3105022831050228E-3</v>
      </c>
      <c r="Y416">
        <v>6.4407594328286487E-3</v>
      </c>
      <c r="Z416" t="s">
        <v>344</v>
      </c>
      <c r="AA416" t="s">
        <v>25</v>
      </c>
      <c r="AC416" t="s">
        <v>22</v>
      </c>
      <c r="AD416" t="s">
        <v>344</v>
      </c>
      <c r="AE416">
        <v>2.2883381945565631E-3</v>
      </c>
      <c r="AG416" t="s">
        <v>99</v>
      </c>
      <c r="AH416" t="s">
        <v>344</v>
      </c>
      <c r="AI416">
        <v>1.1418747236163984E-2</v>
      </c>
    </row>
    <row r="417" spans="9:35" x14ac:dyDescent="0.45">
      <c r="I417" t="s">
        <v>249</v>
      </c>
      <c r="J417" t="s">
        <v>345</v>
      </c>
      <c r="K417">
        <v>2.4270481022912503E-3</v>
      </c>
      <c r="L417" t="s">
        <v>251</v>
      </c>
      <c r="N417" t="s">
        <v>419</v>
      </c>
      <c r="O417" t="s">
        <v>345</v>
      </c>
      <c r="P417">
        <v>2.8624472653850704E-3</v>
      </c>
      <c r="Q417" t="s">
        <v>251</v>
      </c>
      <c r="S417" t="s">
        <v>420</v>
      </c>
      <c r="T417" t="s">
        <v>345</v>
      </c>
      <c r="U417">
        <v>3.8246171034352935E-3</v>
      </c>
      <c r="V417" t="s">
        <v>251</v>
      </c>
      <c r="X417">
        <v>3.3105022831050228E-3</v>
      </c>
      <c r="Y417">
        <v>4.9987983657774574E-3</v>
      </c>
      <c r="Z417" t="s">
        <v>345</v>
      </c>
      <c r="AA417" t="s">
        <v>25</v>
      </c>
      <c r="AC417" t="s">
        <v>22</v>
      </c>
      <c r="AD417" t="s">
        <v>345</v>
      </c>
      <c r="AE417">
        <v>2.3133089458211506E-3</v>
      </c>
      <c r="AG417" t="s">
        <v>99</v>
      </c>
      <c r="AH417" t="s">
        <v>345</v>
      </c>
      <c r="AI417">
        <v>1.3808039386057791E-2</v>
      </c>
    </row>
    <row r="418" spans="9:35" x14ac:dyDescent="0.45">
      <c r="I418" t="s">
        <v>249</v>
      </c>
      <c r="J418" t="s">
        <v>346</v>
      </c>
      <c r="K418">
        <v>0</v>
      </c>
      <c r="L418" t="s">
        <v>251</v>
      </c>
      <c r="N418" t="s">
        <v>419</v>
      </c>
      <c r="O418" t="s">
        <v>346</v>
      </c>
      <c r="P418">
        <v>1.7255738999060008E-2</v>
      </c>
      <c r="Q418" t="s">
        <v>251</v>
      </c>
      <c r="S418" t="s">
        <v>420</v>
      </c>
      <c r="T418" t="s">
        <v>346</v>
      </c>
      <c r="U418">
        <v>1.8846221720933594E-2</v>
      </c>
      <c r="V418" t="s">
        <v>251</v>
      </c>
      <c r="X418">
        <v>1.6552511415525113E-2</v>
      </c>
      <c r="Y418">
        <v>1.2496995914443643E-2</v>
      </c>
      <c r="Z418" t="s">
        <v>346</v>
      </c>
      <c r="AA418" t="s">
        <v>25</v>
      </c>
      <c r="AC418" t="s">
        <v>22</v>
      </c>
      <c r="AD418" t="s">
        <v>346</v>
      </c>
      <c r="AE418">
        <v>1.4988407339778995E-2</v>
      </c>
      <c r="AG418" t="s">
        <v>99</v>
      </c>
      <c r="AH418" t="s">
        <v>346</v>
      </c>
      <c r="AI418">
        <v>0.18694072022987274</v>
      </c>
    </row>
    <row r="419" spans="9:35" x14ac:dyDescent="0.45">
      <c r="I419" t="s">
        <v>249</v>
      </c>
      <c r="J419" t="s">
        <v>371</v>
      </c>
      <c r="K419">
        <v>0</v>
      </c>
      <c r="L419" t="s">
        <v>251</v>
      </c>
      <c r="N419" t="s">
        <v>419</v>
      </c>
      <c r="O419" t="s">
        <v>371</v>
      </c>
      <c r="P419">
        <v>2.3639833951319999E-4</v>
      </c>
      <c r="Q419" t="s">
        <v>251</v>
      </c>
      <c r="S419" t="s">
        <v>420</v>
      </c>
      <c r="T419" t="s">
        <v>371</v>
      </c>
      <c r="U419">
        <v>1.161454874279E-4</v>
      </c>
      <c r="V419" t="s">
        <v>251</v>
      </c>
      <c r="X419">
        <v>1.1415525114155251E-4</v>
      </c>
      <c r="Y419">
        <v>2.1546544680075254E-5</v>
      </c>
      <c r="Z419" t="s">
        <v>371</v>
      </c>
      <c r="AA419" t="s">
        <v>25</v>
      </c>
      <c r="AC419" t="s">
        <v>22</v>
      </c>
      <c r="AD419" t="s">
        <v>371</v>
      </c>
      <c r="AE419">
        <v>1.3158263800196735E-4</v>
      </c>
      <c r="AG419" t="s">
        <v>99</v>
      </c>
      <c r="AH419" t="s">
        <v>371</v>
      </c>
      <c r="AI419">
        <v>0</v>
      </c>
    </row>
    <row r="420" spans="9:35" x14ac:dyDescent="0.45">
      <c r="I420" t="s">
        <v>249</v>
      </c>
      <c r="J420" t="s">
        <v>372</v>
      </c>
      <c r="K420">
        <v>0</v>
      </c>
      <c r="L420" t="s">
        <v>251</v>
      </c>
      <c r="N420" t="s">
        <v>419</v>
      </c>
      <c r="O420" t="s">
        <v>372</v>
      </c>
      <c r="P420">
        <v>2.478622143669E-4</v>
      </c>
      <c r="Q420" t="s">
        <v>251</v>
      </c>
      <c r="S420" t="s">
        <v>420</v>
      </c>
      <c r="T420" t="s">
        <v>372</v>
      </c>
      <c r="U420">
        <v>1.416567454477E-4</v>
      </c>
      <c r="V420" t="s">
        <v>251</v>
      </c>
      <c r="X420">
        <v>1.1415525114155251E-4</v>
      </c>
      <c r="Y420">
        <v>1.4916838624667481E-5</v>
      </c>
      <c r="Z420" t="s">
        <v>372</v>
      </c>
      <c r="AA420" t="s">
        <v>25</v>
      </c>
      <c r="AC420" t="s">
        <v>22</v>
      </c>
      <c r="AD420" t="s">
        <v>372</v>
      </c>
      <c r="AE420">
        <v>1.2991474431063043E-4</v>
      </c>
      <c r="AG420" t="s">
        <v>99</v>
      </c>
      <c r="AH420" t="s">
        <v>372</v>
      </c>
      <c r="AI420">
        <v>0</v>
      </c>
    </row>
    <row r="421" spans="9:35" x14ac:dyDescent="0.45">
      <c r="I421" t="s">
        <v>249</v>
      </c>
      <c r="J421" t="s">
        <v>373</v>
      </c>
      <c r="K421">
        <v>0</v>
      </c>
      <c r="L421" t="s">
        <v>251</v>
      </c>
      <c r="N421" t="s">
        <v>419</v>
      </c>
      <c r="O421" t="s">
        <v>373</v>
      </c>
      <c r="P421">
        <v>2.523924050206E-4</v>
      </c>
      <c r="Q421" t="s">
        <v>251</v>
      </c>
      <c r="S421" t="s">
        <v>420</v>
      </c>
      <c r="T421" t="s">
        <v>373</v>
      </c>
      <c r="U421">
        <v>1.5360246256200001E-4</v>
      </c>
      <c r="V421" t="s">
        <v>251</v>
      </c>
      <c r="X421">
        <v>1.1415525114155251E-4</v>
      </c>
      <c r="Y421">
        <v>1.6574265138519424E-5</v>
      </c>
      <c r="Z421" t="s">
        <v>373</v>
      </c>
      <c r="AA421" t="s">
        <v>25</v>
      </c>
      <c r="AC421" t="s">
        <v>22</v>
      </c>
      <c r="AD421" t="s">
        <v>373</v>
      </c>
      <c r="AE421">
        <v>1.2998026870564728E-4</v>
      </c>
      <c r="AG421" t="s">
        <v>99</v>
      </c>
      <c r="AH421" t="s">
        <v>373</v>
      </c>
      <c r="AI421">
        <v>0</v>
      </c>
    </row>
    <row r="422" spans="9:35" x14ac:dyDescent="0.45">
      <c r="I422" t="s">
        <v>249</v>
      </c>
      <c r="J422" t="s">
        <v>374</v>
      </c>
      <c r="K422">
        <v>0</v>
      </c>
      <c r="L422" t="s">
        <v>251</v>
      </c>
      <c r="N422" t="s">
        <v>419</v>
      </c>
      <c r="O422" t="s">
        <v>374</v>
      </c>
      <c r="P422">
        <v>2.5569157415530002E-4</v>
      </c>
      <c r="Q422" t="s">
        <v>251</v>
      </c>
      <c r="S422" t="s">
        <v>420</v>
      </c>
      <c r="T422" t="s">
        <v>374</v>
      </c>
      <c r="U422">
        <v>1.591645524577E-4</v>
      </c>
      <c r="V422" t="s">
        <v>251</v>
      </c>
      <c r="X422">
        <v>1.1415525114155251E-4</v>
      </c>
      <c r="Y422">
        <v>1.4585353321897093E-5</v>
      </c>
      <c r="Z422" t="s">
        <v>374</v>
      </c>
      <c r="AA422" t="s">
        <v>25</v>
      </c>
      <c r="AC422" t="s">
        <v>22</v>
      </c>
      <c r="AD422" t="s">
        <v>374</v>
      </c>
      <c r="AE422">
        <v>1.2998026870564728E-4</v>
      </c>
      <c r="AG422" t="s">
        <v>99</v>
      </c>
      <c r="AH422" t="s">
        <v>374</v>
      </c>
      <c r="AI422">
        <v>0</v>
      </c>
    </row>
    <row r="423" spans="9:35" x14ac:dyDescent="0.45">
      <c r="I423" t="s">
        <v>249</v>
      </c>
      <c r="J423" t="s">
        <v>375</v>
      </c>
      <c r="K423">
        <v>0</v>
      </c>
      <c r="L423" t="s">
        <v>251</v>
      </c>
      <c r="N423" t="s">
        <v>419</v>
      </c>
      <c r="O423" t="s">
        <v>375</v>
      </c>
      <c r="P423">
        <v>2.5304480479629998E-4</v>
      </c>
      <c r="Q423" t="s">
        <v>251</v>
      </c>
      <c r="S423" t="s">
        <v>420</v>
      </c>
      <c r="T423" t="s">
        <v>375</v>
      </c>
      <c r="U423">
        <v>1.671230496459E-4</v>
      </c>
      <c r="V423" t="s">
        <v>251</v>
      </c>
      <c r="X423">
        <v>1.1415525114155251E-4</v>
      </c>
      <c r="Y423">
        <v>2.1215059377304864E-5</v>
      </c>
      <c r="Z423" t="s">
        <v>375</v>
      </c>
      <c r="AA423" t="s">
        <v>25</v>
      </c>
      <c r="AC423" t="s">
        <v>22</v>
      </c>
      <c r="AD423" t="s">
        <v>375</v>
      </c>
      <c r="AE423">
        <v>1.2984326315243028E-4</v>
      </c>
      <c r="AG423" t="s">
        <v>99</v>
      </c>
      <c r="AH423" t="s">
        <v>375</v>
      </c>
      <c r="AI423">
        <v>0</v>
      </c>
    </row>
    <row r="424" spans="9:35" x14ac:dyDescent="0.45">
      <c r="I424" t="s">
        <v>249</v>
      </c>
      <c r="J424" t="s">
        <v>376</v>
      </c>
      <c r="K424">
        <v>0</v>
      </c>
      <c r="L424" t="s">
        <v>251</v>
      </c>
      <c r="N424" t="s">
        <v>419</v>
      </c>
      <c r="O424" t="s">
        <v>376</v>
      </c>
      <c r="P424">
        <v>2.482646638311E-4</v>
      </c>
      <c r="Q424" t="s">
        <v>251</v>
      </c>
      <c r="S424" t="s">
        <v>420</v>
      </c>
      <c r="T424" t="s">
        <v>376</v>
      </c>
      <c r="U424">
        <v>1.715509371765E-4</v>
      </c>
      <c r="V424" t="s">
        <v>251</v>
      </c>
      <c r="X424">
        <v>1.1415525114155251E-4</v>
      </c>
      <c r="Y424">
        <v>5.7678442682047593E-5</v>
      </c>
      <c r="Z424" t="s">
        <v>376</v>
      </c>
      <c r="AA424" t="s">
        <v>25</v>
      </c>
      <c r="AC424" t="s">
        <v>22</v>
      </c>
      <c r="AD424" t="s">
        <v>376</v>
      </c>
      <c r="AE424">
        <v>1.2997431194246387E-4</v>
      </c>
      <c r="AG424" t="s">
        <v>99</v>
      </c>
      <c r="AH424" t="s">
        <v>376</v>
      </c>
      <c r="AI424">
        <v>0</v>
      </c>
    </row>
    <row r="425" spans="9:35" x14ac:dyDescent="0.45">
      <c r="I425" t="s">
        <v>249</v>
      </c>
      <c r="J425" t="s">
        <v>377</v>
      </c>
      <c r="K425">
        <v>4.4889140950900199E-5</v>
      </c>
      <c r="L425" t="s">
        <v>251</v>
      </c>
      <c r="N425" t="s">
        <v>419</v>
      </c>
      <c r="O425" t="s">
        <v>377</v>
      </c>
      <c r="P425">
        <v>2.40070792932E-4</v>
      </c>
      <c r="Q425" t="s">
        <v>251</v>
      </c>
      <c r="S425" t="s">
        <v>420</v>
      </c>
      <c r="T425" t="s">
        <v>377</v>
      </c>
      <c r="U425">
        <v>1.7472732000129999E-4</v>
      </c>
      <c r="V425" t="s">
        <v>251</v>
      </c>
      <c r="X425">
        <v>1.1415525114155251E-4</v>
      </c>
      <c r="Y425">
        <v>1.6905750441289813E-4</v>
      </c>
      <c r="Z425" t="s">
        <v>377</v>
      </c>
      <c r="AA425" t="s">
        <v>25</v>
      </c>
      <c r="AC425" t="s">
        <v>22</v>
      </c>
      <c r="AD425" t="s">
        <v>377</v>
      </c>
      <c r="AE425">
        <v>1.3031384744391461E-4</v>
      </c>
      <c r="AG425" t="s">
        <v>99</v>
      </c>
      <c r="AH425" t="s">
        <v>377</v>
      </c>
      <c r="AI425">
        <v>0</v>
      </c>
    </row>
    <row r="426" spans="9:35" x14ac:dyDescent="0.45">
      <c r="I426" t="s">
        <v>249</v>
      </c>
      <c r="J426" t="s">
        <v>378</v>
      </c>
      <c r="K426">
        <v>1.8412409618130001E-4</v>
      </c>
      <c r="L426" t="s">
        <v>251</v>
      </c>
      <c r="N426" t="s">
        <v>419</v>
      </c>
      <c r="O426" t="s">
        <v>378</v>
      </c>
      <c r="P426">
        <v>2.280112480073E-4</v>
      </c>
      <c r="Q426" t="s">
        <v>251</v>
      </c>
      <c r="S426" t="s">
        <v>420</v>
      </c>
      <c r="T426" t="s">
        <v>378</v>
      </c>
      <c r="U426">
        <v>1.7728009904080001E-4</v>
      </c>
      <c r="V426" t="s">
        <v>251</v>
      </c>
      <c r="X426">
        <v>1.1415525114155251E-4</v>
      </c>
      <c r="Y426">
        <v>1.9060404909297337E-4</v>
      </c>
      <c r="Z426" t="s">
        <v>378</v>
      </c>
      <c r="AA426" t="s">
        <v>25</v>
      </c>
      <c r="AC426" t="s">
        <v>22</v>
      </c>
      <c r="AD426" t="s">
        <v>378</v>
      </c>
      <c r="AE426">
        <v>1.3112396723684972E-4</v>
      </c>
      <c r="AG426" t="s">
        <v>99</v>
      </c>
      <c r="AH426" t="s">
        <v>378</v>
      </c>
      <c r="AI426">
        <v>0</v>
      </c>
    </row>
    <row r="427" spans="9:35" x14ac:dyDescent="0.45">
      <c r="I427" t="s">
        <v>249</v>
      </c>
      <c r="J427" t="s">
        <v>379</v>
      </c>
      <c r="K427">
        <v>2.5389258056410002E-4</v>
      </c>
      <c r="L427" t="s">
        <v>251</v>
      </c>
      <c r="N427" t="s">
        <v>419</v>
      </c>
      <c r="O427" t="s">
        <v>379</v>
      </c>
      <c r="P427">
        <v>2.3516218373739999E-4</v>
      </c>
      <c r="Q427" t="s">
        <v>251</v>
      </c>
      <c r="S427" t="s">
        <v>420</v>
      </c>
      <c r="T427" t="s">
        <v>379</v>
      </c>
      <c r="U427">
        <v>1.7848559486650001E-4</v>
      </c>
      <c r="V427" t="s">
        <v>251</v>
      </c>
      <c r="X427">
        <v>1.1415525114155251E-4</v>
      </c>
      <c r="Y427">
        <v>1.4585353321897094E-4</v>
      </c>
      <c r="Z427" t="s">
        <v>379</v>
      </c>
      <c r="AA427" t="s">
        <v>25</v>
      </c>
      <c r="AC427" t="s">
        <v>22</v>
      </c>
      <c r="AD427" t="s">
        <v>379</v>
      </c>
      <c r="AE427">
        <v>1.3145158921193373E-4</v>
      </c>
      <c r="AG427" t="s">
        <v>99</v>
      </c>
      <c r="AH427" t="s">
        <v>379</v>
      </c>
      <c r="AI427">
        <v>0</v>
      </c>
    </row>
    <row r="428" spans="9:35" x14ac:dyDescent="0.45">
      <c r="I428" t="s">
        <v>249</v>
      </c>
      <c r="J428" t="s">
        <v>380</v>
      </c>
      <c r="K428">
        <v>2.8311240212379999E-4</v>
      </c>
      <c r="L428" t="s">
        <v>251</v>
      </c>
      <c r="N428" t="s">
        <v>419</v>
      </c>
      <c r="O428" t="s">
        <v>380</v>
      </c>
      <c r="P428">
        <v>2.36554265482E-4</v>
      </c>
      <c r="Q428" t="s">
        <v>251</v>
      </c>
      <c r="S428" t="s">
        <v>420</v>
      </c>
      <c r="T428" t="s">
        <v>380</v>
      </c>
      <c r="U428">
        <v>1.773526201074E-4</v>
      </c>
      <c r="V428" t="s">
        <v>251</v>
      </c>
      <c r="X428">
        <v>1.1415525114155251E-4</v>
      </c>
      <c r="Y428">
        <v>1.4452759200788939E-4</v>
      </c>
      <c r="Z428" t="s">
        <v>380</v>
      </c>
      <c r="AA428" t="s">
        <v>25</v>
      </c>
      <c r="AC428" t="s">
        <v>22</v>
      </c>
      <c r="AD428" t="s">
        <v>380</v>
      </c>
      <c r="AE428">
        <v>1.3238680103171913E-4</v>
      </c>
      <c r="AG428" t="s">
        <v>99</v>
      </c>
      <c r="AH428" t="s">
        <v>380</v>
      </c>
      <c r="AI428">
        <v>0</v>
      </c>
    </row>
    <row r="429" spans="9:35" x14ac:dyDescent="0.45">
      <c r="I429" t="s">
        <v>249</v>
      </c>
      <c r="J429" t="s">
        <v>381</v>
      </c>
      <c r="K429">
        <v>2.9856160714240003E-4</v>
      </c>
      <c r="L429" t="s">
        <v>251</v>
      </c>
      <c r="N429" t="s">
        <v>419</v>
      </c>
      <c r="O429" t="s">
        <v>381</v>
      </c>
      <c r="P429">
        <v>2.418117477248E-4</v>
      </c>
      <c r="Q429" t="s">
        <v>251</v>
      </c>
      <c r="S429" t="s">
        <v>420</v>
      </c>
      <c r="T429" t="s">
        <v>381</v>
      </c>
      <c r="U429">
        <v>1.7625413503E-4</v>
      </c>
      <c r="V429" t="s">
        <v>251</v>
      </c>
      <c r="X429">
        <v>1.1415525114155251E-4</v>
      </c>
      <c r="Y429">
        <v>1.408812536774151E-4</v>
      </c>
      <c r="Z429" t="s">
        <v>381</v>
      </c>
      <c r="AA429" t="s">
        <v>25</v>
      </c>
      <c r="AC429" t="s">
        <v>22</v>
      </c>
      <c r="AD429" t="s">
        <v>381</v>
      </c>
      <c r="AE429">
        <v>1.3137415129055028E-4</v>
      </c>
      <c r="AG429" t="s">
        <v>99</v>
      </c>
      <c r="AH429" t="s">
        <v>381</v>
      </c>
      <c r="AI429">
        <v>0</v>
      </c>
    </row>
    <row r="430" spans="9:35" x14ac:dyDescent="0.45">
      <c r="I430" t="s">
        <v>249</v>
      </c>
      <c r="J430" t="s">
        <v>382</v>
      </c>
      <c r="K430">
        <v>3.1763977802929999E-4</v>
      </c>
      <c r="L430" t="s">
        <v>251</v>
      </c>
      <c r="N430" t="s">
        <v>419</v>
      </c>
      <c r="O430" t="s">
        <v>382</v>
      </c>
      <c r="P430">
        <v>2.485351427174E-4</v>
      </c>
      <c r="Q430" t="s">
        <v>251</v>
      </c>
      <c r="S430" t="s">
        <v>420</v>
      </c>
      <c r="T430" t="s">
        <v>382</v>
      </c>
      <c r="U430">
        <v>1.7454170401550001E-4</v>
      </c>
      <c r="V430" t="s">
        <v>251</v>
      </c>
      <c r="X430">
        <v>1.1415525114155251E-4</v>
      </c>
      <c r="Y430">
        <v>1.4054976837464471E-4</v>
      </c>
      <c r="Z430" t="s">
        <v>382</v>
      </c>
      <c r="AA430" t="s">
        <v>25</v>
      </c>
      <c r="AC430" t="s">
        <v>22</v>
      </c>
      <c r="AD430" t="s">
        <v>382</v>
      </c>
      <c r="AE430">
        <v>1.2830046148794359E-4</v>
      </c>
      <c r="AG430" t="s">
        <v>99</v>
      </c>
      <c r="AH430" t="s">
        <v>382</v>
      </c>
      <c r="AI430">
        <v>0</v>
      </c>
    </row>
    <row r="431" spans="9:35" x14ac:dyDescent="0.45">
      <c r="I431" t="s">
        <v>249</v>
      </c>
      <c r="J431" t="s">
        <v>383</v>
      </c>
      <c r="K431">
        <v>3.3370764331769998E-4</v>
      </c>
      <c r="L431" t="s">
        <v>251</v>
      </c>
      <c r="N431" t="s">
        <v>419</v>
      </c>
      <c r="O431" t="s">
        <v>383</v>
      </c>
      <c r="P431">
        <v>2.4895624962509999E-4</v>
      </c>
      <c r="Q431" t="s">
        <v>251</v>
      </c>
      <c r="S431" t="s">
        <v>420</v>
      </c>
      <c r="T431" t="s">
        <v>383</v>
      </c>
      <c r="U431">
        <v>1.736912042774E-4</v>
      </c>
      <c r="V431" t="s">
        <v>251</v>
      </c>
      <c r="X431">
        <v>1.1415525114155251E-4</v>
      </c>
      <c r="Y431">
        <v>1.4253868019126702E-4</v>
      </c>
      <c r="Z431" t="s">
        <v>383</v>
      </c>
      <c r="AA431" t="s">
        <v>25</v>
      </c>
      <c r="AC431" t="s">
        <v>22</v>
      </c>
      <c r="AD431" t="s">
        <v>383</v>
      </c>
      <c r="AE431">
        <v>1.2435112749738505E-4</v>
      </c>
      <c r="AG431" t="s">
        <v>99</v>
      </c>
      <c r="AH431" t="s">
        <v>383</v>
      </c>
      <c r="AI431">
        <v>0</v>
      </c>
    </row>
    <row r="432" spans="9:35" x14ac:dyDescent="0.45">
      <c r="I432" t="s">
        <v>249</v>
      </c>
      <c r="J432" t="s">
        <v>384</v>
      </c>
      <c r="K432">
        <v>3.220774010033E-4</v>
      </c>
      <c r="L432" t="s">
        <v>251</v>
      </c>
      <c r="N432" t="s">
        <v>419</v>
      </c>
      <c r="O432" t="s">
        <v>384</v>
      </c>
      <c r="P432">
        <v>2.5116313975480001E-4</v>
      </c>
      <c r="Q432" t="s">
        <v>251</v>
      </c>
      <c r="S432" t="s">
        <v>420</v>
      </c>
      <c r="T432" t="s">
        <v>384</v>
      </c>
      <c r="U432">
        <v>1.735624153702E-4</v>
      </c>
      <c r="V432" t="s">
        <v>251</v>
      </c>
      <c r="X432">
        <v>1.1415525114155251E-4</v>
      </c>
      <c r="Y432">
        <v>1.4883690094390442E-4</v>
      </c>
      <c r="Z432" t="s">
        <v>384</v>
      </c>
      <c r="AA432" t="s">
        <v>25</v>
      </c>
      <c r="AC432" t="s">
        <v>22</v>
      </c>
      <c r="AD432" t="s">
        <v>384</v>
      </c>
      <c r="AE432">
        <v>1.1183001128599127E-4</v>
      </c>
      <c r="AG432" t="s">
        <v>99</v>
      </c>
      <c r="AH432" t="s">
        <v>384</v>
      </c>
      <c r="AI432">
        <v>0</v>
      </c>
    </row>
    <row r="433" spans="9:35" x14ac:dyDescent="0.45">
      <c r="I433" t="s">
        <v>249</v>
      </c>
      <c r="J433" t="s">
        <v>385</v>
      </c>
      <c r="K433">
        <v>3.0415900638710002E-4</v>
      </c>
      <c r="L433" t="s">
        <v>251</v>
      </c>
      <c r="N433" t="s">
        <v>419</v>
      </c>
      <c r="O433" t="s">
        <v>385</v>
      </c>
      <c r="P433">
        <v>2.52329082799E-4</v>
      </c>
      <c r="Q433" t="s">
        <v>251</v>
      </c>
      <c r="S433" t="s">
        <v>420</v>
      </c>
      <c r="T433" t="s">
        <v>385</v>
      </c>
      <c r="U433">
        <v>1.7402312297E-4</v>
      </c>
      <c r="V433" t="s">
        <v>251</v>
      </c>
      <c r="X433">
        <v>1.1415525114155251E-4</v>
      </c>
      <c r="Y433">
        <v>1.5049432745775637E-4</v>
      </c>
      <c r="Z433" t="s">
        <v>385</v>
      </c>
      <c r="AA433" t="s">
        <v>25</v>
      </c>
      <c r="AC433" t="s">
        <v>22</v>
      </c>
      <c r="AD433" t="s">
        <v>385</v>
      </c>
      <c r="AE433">
        <v>1.0455680343912551E-4</v>
      </c>
      <c r="AG433" t="s">
        <v>99</v>
      </c>
      <c r="AH433" t="s">
        <v>385</v>
      </c>
      <c r="AI433">
        <v>0</v>
      </c>
    </row>
    <row r="434" spans="9:35" x14ac:dyDescent="0.45">
      <c r="I434" t="s">
        <v>249</v>
      </c>
      <c r="J434" t="s">
        <v>386</v>
      </c>
      <c r="K434">
        <v>2.8760647941680002E-4</v>
      </c>
      <c r="L434" t="s">
        <v>251</v>
      </c>
      <c r="N434" t="s">
        <v>419</v>
      </c>
      <c r="O434" t="s">
        <v>386</v>
      </c>
      <c r="P434">
        <v>2.5291185693890003E-4</v>
      </c>
      <c r="Q434" t="s">
        <v>251</v>
      </c>
      <c r="S434" t="s">
        <v>420</v>
      </c>
      <c r="T434" t="s">
        <v>386</v>
      </c>
      <c r="U434">
        <v>1.737972906695E-4</v>
      </c>
      <c r="V434" t="s">
        <v>251</v>
      </c>
      <c r="X434">
        <v>1.1415525114155251E-4</v>
      </c>
      <c r="Y434">
        <v>1.7237235744060203E-4</v>
      </c>
      <c r="Z434" t="s">
        <v>386</v>
      </c>
      <c r="AA434" t="s">
        <v>25</v>
      </c>
      <c r="AC434" t="s">
        <v>22</v>
      </c>
      <c r="AD434" t="s">
        <v>386</v>
      </c>
      <c r="AE434">
        <v>8.8080396473989853E-5</v>
      </c>
      <c r="AG434" t="s">
        <v>99</v>
      </c>
      <c r="AH434" t="s">
        <v>386</v>
      </c>
      <c r="AI434">
        <v>0</v>
      </c>
    </row>
    <row r="435" spans="9:35" x14ac:dyDescent="0.45">
      <c r="I435" t="s">
        <v>249</v>
      </c>
      <c r="J435" t="s">
        <v>387</v>
      </c>
      <c r="K435">
        <v>2.6531558678480002E-4</v>
      </c>
      <c r="L435" t="s">
        <v>251</v>
      </c>
      <c r="N435" t="s">
        <v>419</v>
      </c>
      <c r="O435" t="s">
        <v>387</v>
      </c>
      <c r="P435">
        <v>2.5173640861899998E-4</v>
      </c>
      <c r="Q435" t="s">
        <v>251</v>
      </c>
      <c r="S435" t="s">
        <v>420</v>
      </c>
      <c r="T435" t="s">
        <v>387</v>
      </c>
      <c r="U435">
        <v>1.7502025254330001E-4</v>
      </c>
      <c r="V435" t="s">
        <v>251</v>
      </c>
      <c r="X435">
        <v>1.1415525114155251E-4</v>
      </c>
      <c r="Y435">
        <v>2.2209515285616027E-4</v>
      </c>
      <c r="Z435" t="s">
        <v>387</v>
      </c>
      <c r="AA435" t="s">
        <v>25</v>
      </c>
      <c r="AC435" t="s">
        <v>22</v>
      </c>
      <c r="AD435" t="s">
        <v>387</v>
      </c>
      <c r="AE435">
        <v>8.4244240983914886E-5</v>
      </c>
      <c r="AG435" t="s">
        <v>99</v>
      </c>
      <c r="AH435" t="s">
        <v>387</v>
      </c>
      <c r="AI435">
        <v>0</v>
      </c>
    </row>
    <row r="436" spans="9:35" x14ac:dyDescent="0.45">
      <c r="I436" t="s">
        <v>249</v>
      </c>
      <c r="J436" t="s">
        <v>388</v>
      </c>
      <c r="K436">
        <v>2.130299183723E-4</v>
      </c>
      <c r="L436" t="s">
        <v>251</v>
      </c>
      <c r="N436" t="s">
        <v>419</v>
      </c>
      <c r="O436" t="s">
        <v>388</v>
      </c>
      <c r="P436">
        <v>2.4636790067639999E-4</v>
      </c>
      <c r="Q436" t="s">
        <v>251</v>
      </c>
      <c r="S436" t="s">
        <v>420</v>
      </c>
      <c r="T436" t="s">
        <v>388</v>
      </c>
      <c r="U436">
        <v>1.7647419503900001E-4</v>
      </c>
      <c r="V436" t="s">
        <v>251</v>
      </c>
      <c r="X436">
        <v>1.1415525114155251E-4</v>
      </c>
      <c r="Y436">
        <v>2.2209515285616027E-4</v>
      </c>
      <c r="Z436" t="s">
        <v>388</v>
      </c>
      <c r="AA436" t="s">
        <v>25</v>
      </c>
      <c r="AC436" t="s">
        <v>22</v>
      </c>
      <c r="AD436" t="s">
        <v>388</v>
      </c>
      <c r="AE436">
        <v>8.0259166414256255E-5</v>
      </c>
      <c r="AG436" t="s">
        <v>99</v>
      </c>
      <c r="AH436" t="s">
        <v>388</v>
      </c>
      <c r="AI436">
        <v>0</v>
      </c>
    </row>
    <row r="437" spans="9:35" x14ac:dyDescent="0.45">
      <c r="I437" t="s">
        <v>249</v>
      </c>
      <c r="J437" t="s">
        <v>389</v>
      </c>
      <c r="K437">
        <v>9.4496314342162595E-5</v>
      </c>
      <c r="L437" t="s">
        <v>251</v>
      </c>
      <c r="N437" t="s">
        <v>419</v>
      </c>
      <c r="O437" t="s">
        <v>389</v>
      </c>
      <c r="P437">
        <v>2.3029239233220001E-4</v>
      </c>
      <c r="Q437" t="s">
        <v>251</v>
      </c>
      <c r="S437" t="s">
        <v>420</v>
      </c>
      <c r="T437" t="s">
        <v>389</v>
      </c>
      <c r="U437">
        <v>1.782573783624E-4</v>
      </c>
      <c r="V437" t="s">
        <v>251</v>
      </c>
      <c r="X437">
        <v>1.1415525114155251E-4</v>
      </c>
      <c r="Y437">
        <v>1.7237235744060203E-4</v>
      </c>
      <c r="Z437" t="s">
        <v>389</v>
      </c>
      <c r="AA437" t="s">
        <v>25</v>
      </c>
      <c r="AC437" t="s">
        <v>22</v>
      </c>
      <c r="AD437" t="s">
        <v>389</v>
      </c>
      <c r="AE437">
        <v>8.1474346103658889E-5</v>
      </c>
      <c r="AG437" t="s">
        <v>99</v>
      </c>
      <c r="AH437" t="s">
        <v>389</v>
      </c>
      <c r="AI437">
        <v>0</v>
      </c>
    </row>
    <row r="438" spans="9:35" x14ac:dyDescent="0.45">
      <c r="I438" t="s">
        <v>249</v>
      </c>
      <c r="J438" t="s">
        <v>390</v>
      </c>
      <c r="K438">
        <v>0</v>
      </c>
      <c r="L438" t="s">
        <v>251</v>
      </c>
      <c r="N438" t="s">
        <v>419</v>
      </c>
      <c r="O438" t="s">
        <v>390</v>
      </c>
      <c r="P438">
        <v>2.231079517285E-4</v>
      </c>
      <c r="Q438" t="s">
        <v>251</v>
      </c>
      <c r="S438" t="s">
        <v>420</v>
      </c>
      <c r="T438" t="s">
        <v>390</v>
      </c>
      <c r="U438">
        <v>1.8003537509460001E-4</v>
      </c>
      <c r="V438" t="s">
        <v>251</v>
      </c>
      <c r="X438">
        <v>1.1415525114155251E-4</v>
      </c>
      <c r="Y438">
        <v>1.5579809230208258E-4</v>
      </c>
      <c r="Z438" t="s">
        <v>390</v>
      </c>
      <c r="AA438" t="s">
        <v>25</v>
      </c>
      <c r="AC438" t="s">
        <v>22</v>
      </c>
      <c r="AD438" t="s">
        <v>390</v>
      </c>
      <c r="AE438">
        <v>8.2207027975210467E-5</v>
      </c>
      <c r="AG438" t="s">
        <v>99</v>
      </c>
      <c r="AH438" t="s">
        <v>390</v>
      </c>
      <c r="AI438">
        <v>0</v>
      </c>
    </row>
    <row r="439" spans="9:35" x14ac:dyDescent="0.45">
      <c r="I439" t="s">
        <v>249</v>
      </c>
      <c r="J439" t="s">
        <v>391</v>
      </c>
      <c r="K439">
        <v>0</v>
      </c>
      <c r="L439" t="s">
        <v>251</v>
      </c>
      <c r="N439" t="s">
        <v>419</v>
      </c>
      <c r="O439" t="s">
        <v>391</v>
      </c>
      <c r="P439">
        <v>2.1894274108660001E-4</v>
      </c>
      <c r="Q439" t="s">
        <v>251</v>
      </c>
      <c r="S439" t="s">
        <v>420</v>
      </c>
      <c r="T439" t="s">
        <v>391</v>
      </c>
      <c r="U439">
        <v>1.746434383443E-4</v>
      </c>
      <c r="V439" t="s">
        <v>251</v>
      </c>
      <c r="X439">
        <v>1.1415525114155251E-4</v>
      </c>
      <c r="Y439">
        <v>1.093901499142282E-4</v>
      </c>
      <c r="Z439" t="s">
        <v>391</v>
      </c>
      <c r="AA439" t="s">
        <v>25</v>
      </c>
      <c r="AC439" t="s">
        <v>22</v>
      </c>
      <c r="AD439" t="s">
        <v>391</v>
      </c>
      <c r="AE439">
        <v>9.6294772903824299E-5</v>
      </c>
      <c r="AG439" t="s">
        <v>99</v>
      </c>
      <c r="AH439" t="s">
        <v>391</v>
      </c>
      <c r="AI439">
        <v>0</v>
      </c>
    </row>
    <row r="440" spans="9:35" x14ac:dyDescent="0.45">
      <c r="I440" t="s">
        <v>249</v>
      </c>
      <c r="J440" t="s">
        <v>392</v>
      </c>
      <c r="K440">
        <v>0</v>
      </c>
      <c r="L440" t="s">
        <v>251</v>
      </c>
      <c r="N440" t="s">
        <v>419</v>
      </c>
      <c r="O440" t="s">
        <v>392</v>
      </c>
      <c r="P440">
        <v>2.119913293562E-4</v>
      </c>
      <c r="Q440" t="s">
        <v>251</v>
      </c>
      <c r="S440" t="s">
        <v>420</v>
      </c>
      <c r="T440" t="s">
        <v>392</v>
      </c>
      <c r="U440">
        <v>1.732919921084E-4</v>
      </c>
      <c r="V440" t="s">
        <v>251</v>
      </c>
      <c r="X440">
        <v>1.1415525114155251E-4</v>
      </c>
      <c r="Y440">
        <v>7.9556472664893237E-5</v>
      </c>
      <c r="Z440" t="s">
        <v>392</v>
      </c>
      <c r="AA440" t="s">
        <v>25</v>
      </c>
      <c r="AC440" t="s">
        <v>22</v>
      </c>
      <c r="AD440" t="s">
        <v>392</v>
      </c>
      <c r="AE440">
        <v>1.0979279827728684E-4</v>
      </c>
      <c r="AG440" t="s">
        <v>99</v>
      </c>
      <c r="AH440" t="s">
        <v>392</v>
      </c>
      <c r="AI440">
        <v>0</v>
      </c>
    </row>
    <row r="441" spans="9:35" x14ac:dyDescent="0.45">
      <c r="I441" t="s">
        <v>249</v>
      </c>
      <c r="J441" t="s">
        <v>393</v>
      </c>
      <c r="K441">
        <v>0</v>
      </c>
      <c r="L441" t="s">
        <v>251</v>
      </c>
      <c r="N441" t="s">
        <v>419</v>
      </c>
      <c r="O441" t="s">
        <v>393</v>
      </c>
      <c r="P441">
        <v>1.988367593883E-4</v>
      </c>
      <c r="Q441" t="s">
        <v>251</v>
      </c>
      <c r="S441" t="s">
        <v>420</v>
      </c>
      <c r="T441" t="s">
        <v>393</v>
      </c>
      <c r="U441">
        <v>1.7198316382929999E-4</v>
      </c>
      <c r="V441" t="s">
        <v>251</v>
      </c>
      <c r="X441">
        <v>1.1415525114155251E-4</v>
      </c>
      <c r="Y441">
        <v>5.6352501470966035E-5</v>
      </c>
      <c r="Z441" t="s">
        <v>393</v>
      </c>
      <c r="AA441" t="s">
        <v>25</v>
      </c>
      <c r="AC441" t="s">
        <v>22</v>
      </c>
      <c r="AD441" t="s">
        <v>393</v>
      </c>
      <c r="AE441">
        <v>1.1856711044635586E-4</v>
      </c>
      <c r="AG441" t="s">
        <v>99</v>
      </c>
      <c r="AH441" t="s">
        <v>393</v>
      </c>
      <c r="AI441">
        <v>0</v>
      </c>
    </row>
    <row r="442" spans="9:35" x14ac:dyDescent="0.45">
      <c r="I442" t="s">
        <v>249</v>
      </c>
      <c r="J442" t="s">
        <v>394</v>
      </c>
      <c r="K442">
        <v>0</v>
      </c>
      <c r="L442" t="s">
        <v>251</v>
      </c>
      <c r="N442" t="s">
        <v>419</v>
      </c>
      <c r="O442" t="s">
        <v>394</v>
      </c>
      <c r="P442">
        <v>1.8173274602579999E-4</v>
      </c>
      <c r="Q442" t="s">
        <v>251</v>
      </c>
      <c r="S442" t="s">
        <v>420</v>
      </c>
      <c r="T442" t="s">
        <v>394</v>
      </c>
      <c r="U442">
        <v>1.6783960246689999E-4</v>
      </c>
      <c r="V442" t="s">
        <v>251</v>
      </c>
      <c r="X442">
        <v>1.1415525114155251E-4</v>
      </c>
      <c r="Y442">
        <v>2.9833677249334962E-5</v>
      </c>
      <c r="Z442" t="s">
        <v>394</v>
      </c>
      <c r="AA442" t="s">
        <v>25</v>
      </c>
      <c r="AC442" t="s">
        <v>22</v>
      </c>
      <c r="AD442" t="s">
        <v>394</v>
      </c>
      <c r="AE442">
        <v>1.290331433594952E-4</v>
      </c>
      <c r="AG442" t="s">
        <v>99</v>
      </c>
      <c r="AH442" t="s">
        <v>394</v>
      </c>
      <c r="AI442">
        <v>0</v>
      </c>
    </row>
    <row r="443" spans="9:35" x14ac:dyDescent="0.45">
      <c r="I443" t="s">
        <v>249</v>
      </c>
      <c r="J443" t="s">
        <v>395</v>
      </c>
      <c r="K443">
        <v>0</v>
      </c>
      <c r="L443" t="s">
        <v>251</v>
      </c>
      <c r="N443" t="s">
        <v>419</v>
      </c>
      <c r="O443" t="s">
        <v>395</v>
      </c>
      <c r="P443">
        <v>3.0627488718793734E-2</v>
      </c>
      <c r="Q443" t="s">
        <v>251</v>
      </c>
      <c r="S443" t="s">
        <v>420</v>
      </c>
      <c r="T443" t="s">
        <v>395</v>
      </c>
      <c r="U443">
        <v>2.5638635867543599E-2</v>
      </c>
      <c r="V443" t="s">
        <v>251</v>
      </c>
      <c r="X443">
        <v>2.0547945205479451E-2</v>
      </c>
      <c r="Y443">
        <v>4.3954951147353507E-3</v>
      </c>
      <c r="Z443" t="s">
        <v>395</v>
      </c>
      <c r="AA443" t="s">
        <v>25</v>
      </c>
      <c r="AC443" t="s">
        <v>22</v>
      </c>
      <c r="AD443" t="s">
        <v>395</v>
      </c>
      <c r="AE443">
        <v>2.2530872276189502E-2</v>
      </c>
      <c r="AG443" t="s">
        <v>99</v>
      </c>
      <c r="AH443" t="s">
        <v>395</v>
      </c>
      <c r="AI443">
        <v>4.594247187209155E-2</v>
      </c>
    </row>
    <row r="444" spans="9:35" x14ac:dyDescent="0.45">
      <c r="I444" t="s">
        <v>249</v>
      </c>
      <c r="J444" t="s">
        <v>396</v>
      </c>
      <c r="K444">
        <v>2.6653139422987289E-3</v>
      </c>
      <c r="L444" t="s">
        <v>251</v>
      </c>
      <c r="N444" t="s">
        <v>419</v>
      </c>
      <c r="O444" t="s">
        <v>396</v>
      </c>
      <c r="P444">
        <v>4.6633432338583636E-3</v>
      </c>
      <c r="Q444" t="s">
        <v>251</v>
      </c>
      <c r="S444" t="s">
        <v>420</v>
      </c>
      <c r="T444" t="s">
        <v>396</v>
      </c>
      <c r="U444">
        <v>4.1256566456295534E-3</v>
      </c>
      <c r="V444" t="s">
        <v>251</v>
      </c>
      <c r="X444">
        <v>3.4246575342465752E-3</v>
      </c>
      <c r="Y444">
        <v>5.0717251323869452E-3</v>
      </c>
      <c r="Z444" t="s">
        <v>396</v>
      </c>
      <c r="AA444" t="s">
        <v>25</v>
      </c>
      <c r="AC444" t="s">
        <v>22</v>
      </c>
      <c r="AD444" t="s">
        <v>396</v>
      </c>
      <c r="AE444">
        <v>3.7926024990556618E-3</v>
      </c>
      <c r="AG444" t="s">
        <v>99</v>
      </c>
      <c r="AH444" t="s">
        <v>396</v>
      </c>
      <c r="AI444">
        <v>4.0365480220208028E-2</v>
      </c>
    </row>
    <row r="445" spans="9:35" x14ac:dyDescent="0.45">
      <c r="I445" t="s">
        <v>249</v>
      </c>
      <c r="J445" t="s">
        <v>397</v>
      </c>
      <c r="K445">
        <v>6.7483602709457998E-3</v>
      </c>
      <c r="L445" t="s">
        <v>251</v>
      </c>
      <c r="N445" t="s">
        <v>419</v>
      </c>
      <c r="O445" t="s">
        <v>397</v>
      </c>
      <c r="P445">
        <v>4.095618859522779E-3</v>
      </c>
      <c r="Q445" t="s">
        <v>251</v>
      </c>
      <c r="S445" t="s">
        <v>420</v>
      </c>
      <c r="T445" t="s">
        <v>397</v>
      </c>
      <c r="U445">
        <v>4.1678165920384031E-3</v>
      </c>
      <c r="V445" t="s">
        <v>251</v>
      </c>
      <c r="X445">
        <v>3.4246575342465752E-3</v>
      </c>
      <c r="Y445">
        <v>5.7181214727892006E-3</v>
      </c>
      <c r="Z445" t="s">
        <v>397</v>
      </c>
      <c r="AA445" t="s">
        <v>25</v>
      </c>
      <c r="AC445" t="s">
        <v>22</v>
      </c>
      <c r="AD445" t="s">
        <v>397</v>
      </c>
      <c r="AE445">
        <v>3.8066008925365263E-3</v>
      </c>
      <c r="AG445" t="s">
        <v>99</v>
      </c>
      <c r="AH445" t="s">
        <v>397</v>
      </c>
      <c r="AI445">
        <v>3.5078175391929145E-2</v>
      </c>
    </row>
    <row r="446" spans="9:35" x14ac:dyDescent="0.45">
      <c r="I446" t="s">
        <v>249</v>
      </c>
      <c r="J446" t="s">
        <v>398</v>
      </c>
      <c r="K446">
        <v>5.7239438233960202E-2</v>
      </c>
      <c r="L446" t="s">
        <v>251</v>
      </c>
      <c r="N446" t="s">
        <v>419</v>
      </c>
      <c r="O446" t="s">
        <v>398</v>
      </c>
      <c r="P446">
        <v>1.9862343010742717E-2</v>
      </c>
      <c r="Q446" t="s">
        <v>251</v>
      </c>
      <c r="S446" t="s">
        <v>420</v>
      </c>
      <c r="T446" t="s">
        <v>398</v>
      </c>
      <c r="U446">
        <v>2.5586813941739242E-2</v>
      </c>
      <c r="V446" t="s">
        <v>251</v>
      </c>
      <c r="X446">
        <v>2.0547945205479451E-2</v>
      </c>
      <c r="Y446">
        <v>2.5895631852422749E-2</v>
      </c>
      <c r="Z446" t="s">
        <v>398</v>
      </c>
      <c r="AA446" t="s">
        <v>25</v>
      </c>
      <c r="AC446" t="s">
        <v>22</v>
      </c>
      <c r="AD446" t="s">
        <v>398</v>
      </c>
      <c r="AE446">
        <v>2.1430890429989604E-2</v>
      </c>
      <c r="AG446" t="s">
        <v>99</v>
      </c>
      <c r="AH446" t="s">
        <v>398</v>
      </c>
      <c r="AI446">
        <v>8.684579141729265E-2</v>
      </c>
    </row>
    <row r="447" spans="9:35" x14ac:dyDescent="0.45">
      <c r="I447" t="s">
        <v>249</v>
      </c>
      <c r="J447" t="s">
        <v>399</v>
      </c>
      <c r="K447">
        <v>2.61914239146957E-2</v>
      </c>
      <c r="L447" t="s">
        <v>251</v>
      </c>
      <c r="N447" t="s">
        <v>419</v>
      </c>
      <c r="O447" t="s">
        <v>399</v>
      </c>
      <c r="P447">
        <v>9.2764218858184776E-3</v>
      </c>
      <c r="Q447" t="s">
        <v>251</v>
      </c>
      <c r="S447" t="s">
        <v>420</v>
      </c>
      <c r="T447" t="s">
        <v>399</v>
      </c>
      <c r="U447">
        <v>1.3262688910626635E-2</v>
      </c>
      <c r="V447" t="s">
        <v>251</v>
      </c>
      <c r="X447">
        <v>1.0273972602739725E-2</v>
      </c>
      <c r="Y447">
        <v>1.6348855132635558E-2</v>
      </c>
      <c r="Z447" t="s">
        <v>399</v>
      </c>
      <c r="AA447" t="s">
        <v>25</v>
      </c>
      <c r="AC447" t="s">
        <v>22</v>
      </c>
      <c r="AD447" t="s">
        <v>399</v>
      </c>
      <c r="AE447">
        <v>7.5906404275118524E-3</v>
      </c>
      <c r="AG447" t="s">
        <v>99</v>
      </c>
      <c r="AH447" t="s">
        <v>399</v>
      </c>
      <c r="AI447">
        <v>0.1412091766243424</v>
      </c>
    </row>
    <row r="448" spans="9:35" x14ac:dyDescent="0.45">
      <c r="I448" t="s">
        <v>249</v>
      </c>
      <c r="J448" t="s">
        <v>400</v>
      </c>
      <c r="K448">
        <v>6.5113088301887003E-3</v>
      </c>
      <c r="L448" t="s">
        <v>251</v>
      </c>
      <c r="N448" t="s">
        <v>419</v>
      </c>
      <c r="O448" t="s">
        <v>400</v>
      </c>
      <c r="P448">
        <v>3.1649352220356345E-3</v>
      </c>
      <c r="Q448" t="s">
        <v>251</v>
      </c>
      <c r="S448" t="s">
        <v>420</v>
      </c>
      <c r="T448" t="s">
        <v>400</v>
      </c>
      <c r="U448">
        <v>4.3597186976578493E-3</v>
      </c>
      <c r="V448" t="s">
        <v>251</v>
      </c>
      <c r="X448">
        <v>3.4246575342465752E-3</v>
      </c>
      <c r="Y448">
        <v>6.662854585684809E-3</v>
      </c>
      <c r="Z448" t="s">
        <v>400</v>
      </c>
      <c r="AA448" t="s">
        <v>25</v>
      </c>
      <c r="AC448" t="s">
        <v>22</v>
      </c>
      <c r="AD448" t="s">
        <v>400</v>
      </c>
      <c r="AE448">
        <v>2.3698415262397815E-3</v>
      </c>
      <c r="AG448" t="s">
        <v>99</v>
      </c>
      <c r="AH448" t="s">
        <v>400</v>
      </c>
      <c r="AI448">
        <v>1.312106491437115E-2</v>
      </c>
    </row>
    <row r="449" spans="9:35" x14ac:dyDescent="0.45">
      <c r="I449" t="s">
        <v>249</v>
      </c>
      <c r="J449" t="s">
        <v>401</v>
      </c>
      <c r="K449">
        <v>3.21970922641548E-3</v>
      </c>
      <c r="L449" t="s">
        <v>251</v>
      </c>
      <c r="N449" t="s">
        <v>419</v>
      </c>
      <c r="O449" t="s">
        <v>401</v>
      </c>
      <c r="P449">
        <v>3.141976052864418E-3</v>
      </c>
      <c r="Q449" t="s">
        <v>251</v>
      </c>
      <c r="S449" t="s">
        <v>420</v>
      </c>
      <c r="T449" t="s">
        <v>401</v>
      </c>
      <c r="U449">
        <v>4.3056597379277318E-3</v>
      </c>
      <c r="V449" t="s">
        <v>251</v>
      </c>
      <c r="X449">
        <v>3.4246575342465752E-3</v>
      </c>
      <c r="Y449">
        <v>5.1711707232180593E-3</v>
      </c>
      <c r="Z449" t="s">
        <v>401</v>
      </c>
      <c r="AA449" t="s">
        <v>25</v>
      </c>
      <c r="AC449" t="s">
        <v>22</v>
      </c>
      <c r="AD449" t="s">
        <v>401</v>
      </c>
      <c r="AE449">
        <v>2.391011862593394E-3</v>
      </c>
      <c r="AG449" t="s">
        <v>99</v>
      </c>
      <c r="AH449" t="s">
        <v>401</v>
      </c>
      <c r="AI449">
        <v>1.3204362448594686E-2</v>
      </c>
    </row>
    <row r="450" spans="9:35" x14ac:dyDescent="0.45">
      <c r="I450" t="s">
        <v>249</v>
      </c>
      <c r="J450" t="s">
        <v>402</v>
      </c>
      <c r="K450">
        <v>0</v>
      </c>
      <c r="L450" t="s">
        <v>251</v>
      </c>
      <c r="N450" t="s">
        <v>419</v>
      </c>
      <c r="O450" t="s">
        <v>402</v>
      </c>
      <c r="P450">
        <v>2.1203517995297381E-2</v>
      </c>
      <c r="Q450" t="s">
        <v>251</v>
      </c>
      <c r="S450" t="s">
        <v>420</v>
      </c>
      <c r="T450" t="s">
        <v>402</v>
      </c>
      <c r="U450">
        <v>2.1209262331731819E-2</v>
      </c>
      <c r="V450" t="s">
        <v>251</v>
      </c>
      <c r="X450">
        <v>1.7123287671232876E-2</v>
      </c>
      <c r="Y450">
        <v>1.2927926808045149E-2</v>
      </c>
      <c r="Z450" t="s">
        <v>402</v>
      </c>
      <c r="AA450" t="s">
        <v>25</v>
      </c>
      <c r="AC450" t="s">
        <v>22</v>
      </c>
      <c r="AD450" t="s">
        <v>402</v>
      </c>
      <c r="AE450">
        <v>1.6500343632966576E-2</v>
      </c>
      <c r="AG450" t="s">
        <v>99</v>
      </c>
      <c r="AH450" t="s">
        <v>402</v>
      </c>
      <c r="AI450">
        <v>0.13540735180016084</v>
      </c>
    </row>
    <row r="451" spans="9:35" x14ac:dyDescent="0.45">
      <c r="I451" t="s">
        <v>249</v>
      </c>
      <c r="J451" t="s">
        <v>1864</v>
      </c>
      <c r="K451">
        <v>0</v>
      </c>
      <c r="L451" t="s">
        <v>251</v>
      </c>
      <c r="N451" t="s">
        <v>419</v>
      </c>
      <c r="O451" t="s">
        <v>1864</v>
      </c>
      <c r="P451">
        <v>1.4099298543840001E-4</v>
      </c>
      <c r="Q451" t="s">
        <v>251</v>
      </c>
      <c r="S451" t="s">
        <v>420</v>
      </c>
      <c r="T451" t="s">
        <v>1864</v>
      </c>
      <c r="U451">
        <v>1.081220446152E-4</v>
      </c>
      <c r="V451" t="s">
        <v>251</v>
      </c>
      <c r="X451">
        <v>1.1415525114155251E-4</v>
      </c>
      <c r="Y451">
        <v>2.1546544680075254E-5</v>
      </c>
      <c r="Z451" t="s">
        <v>1864</v>
      </c>
      <c r="AA451" t="s">
        <v>25</v>
      </c>
      <c r="AC451" t="s">
        <v>22</v>
      </c>
      <c r="AD451" t="s">
        <v>1864</v>
      </c>
      <c r="AE451">
        <v>1.0533056036876364E-4</v>
      </c>
      <c r="AG451" t="s">
        <v>99</v>
      </c>
      <c r="AH451" t="s">
        <v>1864</v>
      </c>
      <c r="AI451">
        <v>0</v>
      </c>
    </row>
    <row r="452" spans="9:35" x14ac:dyDescent="0.45">
      <c r="I452" t="s">
        <v>249</v>
      </c>
      <c r="J452" t="s">
        <v>1865</v>
      </c>
      <c r="K452">
        <v>0</v>
      </c>
      <c r="L452" t="s">
        <v>251</v>
      </c>
      <c r="N452" t="s">
        <v>419</v>
      </c>
      <c r="O452" t="s">
        <v>1865</v>
      </c>
      <c r="P452">
        <v>1.4397250883930001E-4</v>
      </c>
      <c r="Q452" t="s">
        <v>251</v>
      </c>
      <c r="S452" t="s">
        <v>420</v>
      </c>
      <c r="T452" t="s">
        <v>1865</v>
      </c>
      <c r="U452">
        <v>1.10720756099E-4</v>
      </c>
      <c r="V452" t="s">
        <v>251</v>
      </c>
      <c r="X452">
        <v>1.1415525114155251E-4</v>
      </c>
      <c r="Y452">
        <v>1.4916838624667481E-5</v>
      </c>
      <c r="Z452" t="s">
        <v>1865</v>
      </c>
      <c r="AA452" t="s">
        <v>25</v>
      </c>
      <c r="AC452" t="s">
        <v>22</v>
      </c>
      <c r="AD452" t="s">
        <v>1865</v>
      </c>
      <c r="AE452">
        <v>1.0430004033804474E-4</v>
      </c>
      <c r="AG452" t="s">
        <v>99</v>
      </c>
      <c r="AH452" t="s">
        <v>1865</v>
      </c>
      <c r="AI452">
        <v>0</v>
      </c>
    </row>
    <row r="453" spans="9:35" x14ac:dyDescent="0.45">
      <c r="I453" t="s">
        <v>249</v>
      </c>
      <c r="J453" t="s">
        <v>1866</v>
      </c>
      <c r="K453">
        <v>0</v>
      </c>
      <c r="L453" t="s">
        <v>251</v>
      </c>
      <c r="N453" t="s">
        <v>419</v>
      </c>
      <c r="O453" t="s">
        <v>1866</v>
      </c>
      <c r="P453">
        <v>1.509188721365E-4</v>
      </c>
      <c r="Q453" t="s">
        <v>251</v>
      </c>
      <c r="S453" t="s">
        <v>420</v>
      </c>
      <c r="T453" t="s">
        <v>1866</v>
      </c>
      <c r="U453">
        <v>1.121113158765E-4</v>
      </c>
      <c r="V453" t="s">
        <v>251</v>
      </c>
      <c r="X453">
        <v>1.1415525114155251E-4</v>
      </c>
      <c r="Y453">
        <v>1.6574265138519424E-5</v>
      </c>
      <c r="Z453" t="s">
        <v>1866</v>
      </c>
      <c r="AA453" t="s">
        <v>25</v>
      </c>
      <c r="AC453" t="s">
        <v>22</v>
      </c>
      <c r="AD453" t="s">
        <v>1866</v>
      </c>
      <c r="AE453">
        <v>1.0430004033804474E-4</v>
      </c>
      <c r="AG453" t="s">
        <v>99</v>
      </c>
      <c r="AH453" t="s">
        <v>1866</v>
      </c>
      <c r="AI453">
        <v>0</v>
      </c>
    </row>
    <row r="454" spans="9:35" x14ac:dyDescent="0.45">
      <c r="I454" t="s">
        <v>249</v>
      </c>
      <c r="J454" t="s">
        <v>1867</v>
      </c>
      <c r="K454">
        <v>0</v>
      </c>
      <c r="L454" t="s">
        <v>251</v>
      </c>
      <c r="N454" t="s">
        <v>419</v>
      </c>
      <c r="O454" t="s">
        <v>1867</v>
      </c>
      <c r="P454">
        <v>1.6503653625029999E-4</v>
      </c>
      <c r="Q454" t="s">
        <v>251</v>
      </c>
      <c r="S454" t="s">
        <v>420</v>
      </c>
      <c r="T454" t="s">
        <v>1867</v>
      </c>
      <c r="U454">
        <v>1.1383898844499999E-4</v>
      </c>
      <c r="V454" t="s">
        <v>251</v>
      </c>
      <c r="X454">
        <v>1.1415525114155251E-4</v>
      </c>
      <c r="Y454">
        <v>1.4585353321897093E-5</v>
      </c>
      <c r="Z454" t="s">
        <v>1867</v>
      </c>
      <c r="AA454" t="s">
        <v>25</v>
      </c>
      <c r="AC454" t="s">
        <v>22</v>
      </c>
      <c r="AD454" t="s">
        <v>1867</v>
      </c>
      <c r="AE454">
        <v>1.0367458020379336E-4</v>
      </c>
      <c r="AG454" t="s">
        <v>99</v>
      </c>
      <c r="AH454" t="s">
        <v>1867</v>
      </c>
      <c r="AI454">
        <v>0</v>
      </c>
    </row>
    <row r="455" spans="9:35" x14ac:dyDescent="0.45">
      <c r="I455" t="s">
        <v>249</v>
      </c>
      <c r="J455" t="s">
        <v>1868</v>
      </c>
      <c r="K455">
        <v>0</v>
      </c>
      <c r="L455" t="s">
        <v>251</v>
      </c>
      <c r="N455" t="s">
        <v>419</v>
      </c>
      <c r="O455" t="s">
        <v>1868</v>
      </c>
      <c r="P455">
        <v>1.7606747495009999E-4</v>
      </c>
      <c r="Q455" t="s">
        <v>251</v>
      </c>
      <c r="S455" t="s">
        <v>420</v>
      </c>
      <c r="T455" t="s">
        <v>1868</v>
      </c>
      <c r="U455">
        <v>1.198622339461E-4</v>
      </c>
      <c r="V455" t="s">
        <v>251</v>
      </c>
      <c r="X455">
        <v>1.1415525114155251E-4</v>
      </c>
      <c r="Y455">
        <v>2.1215059377304864E-5</v>
      </c>
      <c r="Z455" t="s">
        <v>1868</v>
      </c>
      <c r="AA455" t="s">
        <v>25</v>
      </c>
      <c r="AC455" t="s">
        <v>22</v>
      </c>
      <c r="AD455" t="s">
        <v>1868</v>
      </c>
      <c r="AE455">
        <v>1.0439534854897827E-4</v>
      </c>
      <c r="AG455" t="s">
        <v>99</v>
      </c>
      <c r="AH455" t="s">
        <v>1868</v>
      </c>
      <c r="AI455">
        <v>0</v>
      </c>
    </row>
    <row r="456" spans="9:35" x14ac:dyDescent="0.45">
      <c r="I456" t="s">
        <v>249</v>
      </c>
      <c r="J456" t="s">
        <v>1869</v>
      </c>
      <c r="K456">
        <v>0</v>
      </c>
      <c r="L456" t="s">
        <v>251</v>
      </c>
      <c r="N456" t="s">
        <v>419</v>
      </c>
      <c r="O456" t="s">
        <v>1869</v>
      </c>
      <c r="P456">
        <v>2.005025477999E-4</v>
      </c>
      <c r="Q456" t="s">
        <v>251</v>
      </c>
      <c r="S456" t="s">
        <v>420</v>
      </c>
      <c r="T456" t="s">
        <v>1869</v>
      </c>
      <c r="U456">
        <v>1.3104223335399999E-4</v>
      </c>
      <c r="V456" t="s">
        <v>251</v>
      </c>
      <c r="X456">
        <v>1.1415525114155251E-4</v>
      </c>
      <c r="Y456">
        <v>5.7678442682047593E-5</v>
      </c>
      <c r="Z456" t="s">
        <v>1869</v>
      </c>
      <c r="AA456" t="s">
        <v>25</v>
      </c>
      <c r="AC456" t="s">
        <v>22</v>
      </c>
      <c r="AD456" t="s">
        <v>1869</v>
      </c>
      <c r="AE456">
        <v>1.0550926326426401E-4</v>
      </c>
      <c r="AG456" t="s">
        <v>99</v>
      </c>
      <c r="AH456" t="s">
        <v>1869</v>
      </c>
      <c r="AI456">
        <v>0</v>
      </c>
    </row>
    <row r="457" spans="9:35" x14ac:dyDescent="0.45">
      <c r="I457" t="s">
        <v>249</v>
      </c>
      <c r="J457" t="s">
        <v>1870</v>
      </c>
      <c r="K457">
        <v>8.1652005966351203E-5</v>
      </c>
      <c r="L457" t="s">
        <v>251</v>
      </c>
      <c r="N457" t="s">
        <v>419</v>
      </c>
      <c r="O457" t="s">
        <v>1870</v>
      </c>
      <c r="P457">
        <v>2.2644012320629999E-4</v>
      </c>
      <c r="Q457" t="s">
        <v>251</v>
      </c>
      <c r="S457" t="s">
        <v>420</v>
      </c>
      <c r="T457" t="s">
        <v>1870</v>
      </c>
      <c r="U457">
        <v>1.437203884628E-4</v>
      </c>
      <c r="V457" t="s">
        <v>251</v>
      </c>
      <c r="X457">
        <v>1.1415525114155251E-4</v>
      </c>
      <c r="Y457">
        <v>1.6905750441289813E-4</v>
      </c>
      <c r="Z457" t="s">
        <v>1870</v>
      </c>
      <c r="AA457" t="s">
        <v>25</v>
      </c>
      <c r="AC457" t="s">
        <v>22</v>
      </c>
      <c r="AD457" t="s">
        <v>1870</v>
      </c>
      <c r="AE457">
        <v>1.072069407715177E-4</v>
      </c>
      <c r="AG457" t="s">
        <v>99</v>
      </c>
      <c r="AH457" t="s">
        <v>1870</v>
      </c>
      <c r="AI457">
        <v>0</v>
      </c>
    </row>
    <row r="458" spans="9:35" x14ac:dyDescent="0.45">
      <c r="I458" t="s">
        <v>249</v>
      </c>
      <c r="J458" t="s">
        <v>1871</v>
      </c>
      <c r="K458">
        <v>2.171968715536E-4</v>
      </c>
      <c r="L458" t="s">
        <v>251</v>
      </c>
      <c r="N458" t="s">
        <v>419</v>
      </c>
      <c r="O458" t="s">
        <v>1871</v>
      </c>
      <c r="P458">
        <v>2.4429541562860001E-4</v>
      </c>
      <c r="Q458" t="s">
        <v>251</v>
      </c>
      <c r="S458" t="s">
        <v>420</v>
      </c>
      <c r="T458" t="s">
        <v>1871</v>
      </c>
      <c r="U458">
        <v>1.6070129938469999E-4</v>
      </c>
      <c r="V458" t="s">
        <v>251</v>
      </c>
      <c r="X458">
        <v>1.1415525114155251E-4</v>
      </c>
      <c r="Y458">
        <v>1.9060404909297337E-4</v>
      </c>
      <c r="Z458" t="s">
        <v>1871</v>
      </c>
      <c r="AA458" t="s">
        <v>25</v>
      </c>
      <c r="AC458" t="s">
        <v>22</v>
      </c>
      <c r="AD458" t="s">
        <v>1871</v>
      </c>
      <c r="AE458">
        <v>1.0983387333537337E-4</v>
      </c>
      <c r="AG458" t="s">
        <v>99</v>
      </c>
      <c r="AH458" t="s">
        <v>1871</v>
      </c>
      <c r="AI458">
        <v>0</v>
      </c>
    </row>
    <row r="459" spans="9:35" x14ac:dyDescent="0.45">
      <c r="I459" t="s">
        <v>249</v>
      </c>
      <c r="J459" t="s">
        <v>1872</v>
      </c>
      <c r="K459">
        <v>2.7951037670679999E-4</v>
      </c>
      <c r="L459" t="s">
        <v>251</v>
      </c>
      <c r="N459" t="s">
        <v>419</v>
      </c>
      <c r="O459" t="s">
        <v>1872</v>
      </c>
      <c r="P459">
        <v>2.460835552649E-4</v>
      </c>
      <c r="Q459" t="s">
        <v>251</v>
      </c>
      <c r="S459" t="s">
        <v>420</v>
      </c>
      <c r="T459" t="s">
        <v>1872</v>
      </c>
      <c r="U459">
        <v>1.7202787921530001E-4</v>
      </c>
      <c r="V459" t="s">
        <v>251</v>
      </c>
      <c r="X459">
        <v>1.1415525114155251E-4</v>
      </c>
      <c r="Y459">
        <v>1.4585353321897094E-4</v>
      </c>
      <c r="Z459" t="s">
        <v>1872</v>
      </c>
      <c r="AA459" t="s">
        <v>25</v>
      </c>
      <c r="AC459" t="s">
        <v>22</v>
      </c>
      <c r="AD459" t="s">
        <v>1872</v>
      </c>
      <c r="AE459">
        <v>1.1030445762685773E-4</v>
      </c>
      <c r="AG459" t="s">
        <v>99</v>
      </c>
      <c r="AH459" t="s">
        <v>1872</v>
      </c>
      <c r="AI459">
        <v>0</v>
      </c>
    </row>
    <row r="460" spans="9:35" x14ac:dyDescent="0.45">
      <c r="I460" t="s">
        <v>249</v>
      </c>
      <c r="J460" t="s">
        <v>1873</v>
      </c>
      <c r="K460">
        <v>3.0871138691539998E-4</v>
      </c>
      <c r="L460" t="s">
        <v>251</v>
      </c>
      <c r="N460" t="s">
        <v>419</v>
      </c>
      <c r="O460" t="s">
        <v>1873</v>
      </c>
      <c r="P460">
        <v>2.384656385136E-4</v>
      </c>
      <c r="Q460" t="s">
        <v>251</v>
      </c>
      <c r="S460" t="s">
        <v>420</v>
      </c>
      <c r="T460" t="s">
        <v>1873</v>
      </c>
      <c r="U460">
        <v>1.8041760787399999E-4</v>
      </c>
      <c r="V460" t="s">
        <v>251</v>
      </c>
      <c r="X460">
        <v>1.1415525114155251E-4</v>
      </c>
      <c r="Y460">
        <v>1.4452759200788939E-4</v>
      </c>
      <c r="Z460" t="s">
        <v>1873</v>
      </c>
      <c r="AA460" t="s">
        <v>25</v>
      </c>
      <c r="AC460" t="s">
        <v>22</v>
      </c>
      <c r="AD460" t="s">
        <v>1873</v>
      </c>
      <c r="AE460">
        <v>1.1004831680997384E-4</v>
      </c>
      <c r="AG460" t="s">
        <v>99</v>
      </c>
      <c r="AH460" t="s">
        <v>1873</v>
      </c>
      <c r="AI460">
        <v>0</v>
      </c>
    </row>
    <row r="461" spans="9:35" x14ac:dyDescent="0.45">
      <c r="I461" t="s">
        <v>249</v>
      </c>
      <c r="J461" t="s">
        <v>1874</v>
      </c>
      <c r="K461">
        <v>3.2389124689379998E-4</v>
      </c>
      <c r="L461" t="s">
        <v>251</v>
      </c>
      <c r="N461" t="s">
        <v>419</v>
      </c>
      <c r="O461" t="s">
        <v>1874</v>
      </c>
      <c r="P461">
        <v>2.3562968530330001E-4</v>
      </c>
      <c r="Q461" t="s">
        <v>251</v>
      </c>
      <c r="S461" t="s">
        <v>420</v>
      </c>
      <c r="T461" t="s">
        <v>1874</v>
      </c>
      <c r="U461">
        <v>1.856438757595E-4</v>
      </c>
      <c r="V461" t="s">
        <v>251</v>
      </c>
      <c r="X461">
        <v>1.1415525114155251E-4</v>
      </c>
      <c r="Y461">
        <v>1.408812536774151E-4</v>
      </c>
      <c r="Z461" t="s">
        <v>1874</v>
      </c>
      <c r="AA461" t="s">
        <v>25</v>
      </c>
      <c r="AC461" t="s">
        <v>22</v>
      </c>
      <c r="AD461" t="s">
        <v>1874</v>
      </c>
      <c r="AE461">
        <v>1.0790983882715254E-4</v>
      </c>
      <c r="AG461" t="s">
        <v>99</v>
      </c>
      <c r="AH461" t="s">
        <v>1874</v>
      </c>
      <c r="AI461">
        <v>0</v>
      </c>
    </row>
    <row r="462" spans="9:35" x14ac:dyDescent="0.45">
      <c r="I462" t="s">
        <v>249</v>
      </c>
      <c r="J462" t="s">
        <v>1875</v>
      </c>
      <c r="K462">
        <v>3.346751393607E-4</v>
      </c>
      <c r="L462" t="s">
        <v>251</v>
      </c>
      <c r="N462" t="s">
        <v>419</v>
      </c>
      <c r="O462" t="s">
        <v>1875</v>
      </c>
      <c r="P462">
        <v>2.322790825418E-4</v>
      </c>
      <c r="Q462" t="s">
        <v>251</v>
      </c>
      <c r="S462" t="s">
        <v>420</v>
      </c>
      <c r="T462" t="s">
        <v>1875</v>
      </c>
      <c r="U462">
        <v>1.8613201272310001E-4</v>
      </c>
      <c r="V462" t="s">
        <v>251</v>
      </c>
      <c r="X462">
        <v>1.1415525114155251E-4</v>
      </c>
      <c r="Y462">
        <v>1.4054976837464471E-4</v>
      </c>
      <c r="Z462" t="s">
        <v>1875</v>
      </c>
      <c r="AA462" t="s">
        <v>25</v>
      </c>
      <c r="AC462" t="s">
        <v>22</v>
      </c>
      <c r="AD462" t="s">
        <v>1875</v>
      </c>
      <c r="AE462">
        <v>1.0572370673886448E-4</v>
      </c>
      <c r="AG462" t="s">
        <v>99</v>
      </c>
      <c r="AH462" t="s">
        <v>1875</v>
      </c>
      <c r="AI462">
        <v>0</v>
      </c>
    </row>
    <row r="463" spans="9:35" x14ac:dyDescent="0.45">
      <c r="I463" t="s">
        <v>249</v>
      </c>
      <c r="J463" t="s">
        <v>1876</v>
      </c>
      <c r="K463">
        <v>3.4430263471560001E-4</v>
      </c>
      <c r="L463" t="s">
        <v>251</v>
      </c>
      <c r="N463" t="s">
        <v>419</v>
      </c>
      <c r="O463" t="s">
        <v>1876</v>
      </c>
      <c r="P463">
        <v>2.247159668606E-4</v>
      </c>
      <c r="Q463" t="s">
        <v>251</v>
      </c>
      <c r="S463" t="s">
        <v>420</v>
      </c>
      <c r="T463" t="s">
        <v>1876</v>
      </c>
      <c r="U463">
        <v>1.863571272756E-4</v>
      </c>
      <c r="V463" t="s">
        <v>251</v>
      </c>
      <c r="X463">
        <v>1.1415525114155251E-4</v>
      </c>
      <c r="Y463">
        <v>1.4253868019126702E-4</v>
      </c>
      <c r="Z463" t="s">
        <v>1876</v>
      </c>
      <c r="AA463" t="s">
        <v>25</v>
      </c>
      <c r="AC463" t="s">
        <v>22</v>
      </c>
      <c r="AD463" t="s">
        <v>1876</v>
      </c>
      <c r="AE463">
        <v>1.0036261987385286E-4</v>
      </c>
      <c r="AG463" t="s">
        <v>99</v>
      </c>
      <c r="AH463" t="s">
        <v>1876</v>
      </c>
      <c r="AI463">
        <v>0</v>
      </c>
    </row>
    <row r="464" spans="9:35" x14ac:dyDescent="0.45">
      <c r="I464" t="s">
        <v>249</v>
      </c>
      <c r="J464" t="s">
        <v>1877</v>
      </c>
      <c r="K464">
        <v>3.3414338985870003E-4</v>
      </c>
      <c r="L464" t="s">
        <v>251</v>
      </c>
      <c r="N464" t="s">
        <v>419</v>
      </c>
      <c r="O464" t="s">
        <v>1877</v>
      </c>
      <c r="P464">
        <v>2.189474446973E-4</v>
      </c>
      <c r="Q464" t="s">
        <v>251</v>
      </c>
      <c r="S464" t="s">
        <v>420</v>
      </c>
      <c r="T464" t="s">
        <v>1877</v>
      </c>
      <c r="U464">
        <v>1.870020359463E-4</v>
      </c>
      <c r="V464" t="s">
        <v>251</v>
      </c>
      <c r="X464">
        <v>1.1415525114155251E-4</v>
      </c>
      <c r="Y464">
        <v>1.4883690094390442E-4</v>
      </c>
      <c r="Z464" t="s">
        <v>1877</v>
      </c>
      <c r="AA464" t="s">
        <v>25</v>
      </c>
      <c r="AC464" t="s">
        <v>22</v>
      </c>
      <c r="AD464" t="s">
        <v>1877</v>
      </c>
      <c r="AE464">
        <v>9.6967264859345524E-5</v>
      </c>
      <c r="AG464" t="s">
        <v>99</v>
      </c>
      <c r="AH464" t="s">
        <v>1877</v>
      </c>
      <c r="AI464">
        <v>0</v>
      </c>
    </row>
    <row r="465" spans="9:35" x14ac:dyDescent="0.45">
      <c r="I465" t="s">
        <v>249</v>
      </c>
      <c r="J465" t="s">
        <v>1878</v>
      </c>
      <c r="K465">
        <v>3.2116705817429998E-4</v>
      </c>
      <c r="L465" t="s">
        <v>251</v>
      </c>
      <c r="N465" t="s">
        <v>419</v>
      </c>
      <c r="O465" t="s">
        <v>1878</v>
      </c>
      <c r="P465">
        <v>2.151555413088E-4</v>
      </c>
      <c r="Q465" t="s">
        <v>251</v>
      </c>
      <c r="S465" t="s">
        <v>420</v>
      </c>
      <c r="T465" t="s">
        <v>1878</v>
      </c>
      <c r="U465">
        <v>1.8724995346649999E-4</v>
      </c>
      <c r="V465" t="s">
        <v>251</v>
      </c>
      <c r="X465">
        <v>1.1415525114155251E-4</v>
      </c>
      <c r="Y465">
        <v>1.5049432745775637E-4</v>
      </c>
      <c r="Z465" t="s">
        <v>1878</v>
      </c>
      <c r="AA465" t="s">
        <v>25</v>
      </c>
      <c r="AC465" t="s">
        <v>22</v>
      </c>
      <c r="AD465" t="s">
        <v>1878</v>
      </c>
      <c r="AE465">
        <v>8.7936811873392631E-5</v>
      </c>
      <c r="AG465" t="s">
        <v>99</v>
      </c>
      <c r="AH465" t="s">
        <v>1878</v>
      </c>
      <c r="AI465">
        <v>0</v>
      </c>
    </row>
    <row r="466" spans="9:35" x14ac:dyDescent="0.45">
      <c r="I466" t="s">
        <v>249</v>
      </c>
      <c r="J466" t="s">
        <v>1879</v>
      </c>
      <c r="K466">
        <v>3.0890748012410001E-4</v>
      </c>
      <c r="L466" t="s">
        <v>251</v>
      </c>
      <c r="N466" t="s">
        <v>419</v>
      </c>
      <c r="O466" t="s">
        <v>1879</v>
      </c>
      <c r="P466">
        <v>2.1648374275700001E-4</v>
      </c>
      <c r="Q466" t="s">
        <v>251</v>
      </c>
      <c r="S466" t="s">
        <v>420</v>
      </c>
      <c r="T466" t="s">
        <v>1879</v>
      </c>
      <c r="U466">
        <v>1.8724729559369999E-4</v>
      </c>
      <c r="V466" t="s">
        <v>251</v>
      </c>
      <c r="X466">
        <v>1.1415525114155251E-4</v>
      </c>
      <c r="Y466">
        <v>1.7237235744060203E-4</v>
      </c>
      <c r="Z466" t="s">
        <v>1879</v>
      </c>
      <c r="AA466" t="s">
        <v>25</v>
      </c>
      <c r="AC466" t="s">
        <v>22</v>
      </c>
      <c r="AD466" t="s">
        <v>1879</v>
      </c>
      <c r="AE466">
        <v>8.4011304935567471E-5</v>
      </c>
      <c r="AG466" t="s">
        <v>99</v>
      </c>
      <c r="AH466" t="s">
        <v>1879</v>
      </c>
      <c r="AI466">
        <v>0</v>
      </c>
    </row>
    <row r="467" spans="9:35" x14ac:dyDescent="0.45">
      <c r="I467" t="s">
        <v>249</v>
      </c>
      <c r="J467" t="s">
        <v>1880</v>
      </c>
      <c r="K467">
        <v>2.86474908637E-4</v>
      </c>
      <c r="L467" t="s">
        <v>251</v>
      </c>
      <c r="N467" t="s">
        <v>419</v>
      </c>
      <c r="O467" t="s">
        <v>1880</v>
      </c>
      <c r="P467">
        <v>2.1756188212749999E-4</v>
      </c>
      <c r="Q467" t="s">
        <v>251</v>
      </c>
      <c r="S467" t="s">
        <v>420</v>
      </c>
      <c r="T467" t="s">
        <v>1880</v>
      </c>
      <c r="U467">
        <v>1.8699727428420001E-4</v>
      </c>
      <c r="V467" t="s">
        <v>251</v>
      </c>
      <c r="X467">
        <v>1.1415525114155251E-4</v>
      </c>
      <c r="Y467">
        <v>2.2209515285616027E-4</v>
      </c>
      <c r="Z467" t="s">
        <v>1880</v>
      </c>
      <c r="AA467" t="s">
        <v>25</v>
      </c>
      <c r="AC467" t="s">
        <v>22</v>
      </c>
      <c r="AD467" t="s">
        <v>1880</v>
      </c>
      <c r="AE467">
        <v>7.9883268049508527E-5</v>
      </c>
      <c r="AG467" t="s">
        <v>99</v>
      </c>
      <c r="AH467" t="s">
        <v>1880</v>
      </c>
      <c r="AI467">
        <v>0</v>
      </c>
    </row>
    <row r="468" spans="9:35" x14ac:dyDescent="0.45">
      <c r="I468" t="s">
        <v>249</v>
      </c>
      <c r="J468" t="s">
        <v>1881</v>
      </c>
      <c r="K468">
        <v>2.3589489261489999E-4</v>
      </c>
      <c r="L468" t="s">
        <v>251</v>
      </c>
      <c r="N468" t="s">
        <v>419</v>
      </c>
      <c r="O468" t="s">
        <v>1881</v>
      </c>
      <c r="P468">
        <v>2.2048764370530001E-4</v>
      </c>
      <c r="Q468" t="s">
        <v>251</v>
      </c>
      <c r="S468" t="s">
        <v>420</v>
      </c>
      <c r="T468" t="s">
        <v>1881</v>
      </c>
      <c r="U468">
        <v>1.8709150004079999E-4</v>
      </c>
      <c r="V468" t="s">
        <v>251</v>
      </c>
      <c r="X468">
        <v>1.1415525114155251E-4</v>
      </c>
      <c r="Y468">
        <v>2.2209515285616027E-4</v>
      </c>
      <c r="Z468" t="s">
        <v>1881</v>
      </c>
      <c r="AA468" t="s">
        <v>25</v>
      </c>
      <c r="AC468" t="s">
        <v>22</v>
      </c>
      <c r="AD468" t="s">
        <v>1881</v>
      </c>
      <c r="AE468">
        <v>8.0592122868326723E-5</v>
      </c>
      <c r="AG468" t="s">
        <v>99</v>
      </c>
      <c r="AH468" t="s">
        <v>1881</v>
      </c>
      <c r="AI468">
        <v>0</v>
      </c>
    </row>
    <row r="469" spans="9:35" x14ac:dyDescent="0.45">
      <c r="I469" t="s">
        <v>249</v>
      </c>
      <c r="J469" t="s">
        <v>1882</v>
      </c>
      <c r="K469">
        <v>1.181687901451E-4</v>
      </c>
      <c r="L469" t="s">
        <v>251</v>
      </c>
      <c r="N469" t="s">
        <v>419</v>
      </c>
      <c r="O469" t="s">
        <v>1882</v>
      </c>
      <c r="P469">
        <v>2.1354363161769999E-4</v>
      </c>
      <c r="Q469" t="s">
        <v>251</v>
      </c>
      <c r="S469" t="s">
        <v>420</v>
      </c>
      <c r="T469" t="s">
        <v>1882</v>
      </c>
      <c r="U469">
        <v>1.869810129056E-4</v>
      </c>
      <c r="V469" t="s">
        <v>251</v>
      </c>
      <c r="X469">
        <v>1.1415525114155251E-4</v>
      </c>
      <c r="Y469">
        <v>1.7237235744060203E-4</v>
      </c>
      <c r="Z469" t="s">
        <v>1882</v>
      </c>
      <c r="AA469" t="s">
        <v>25</v>
      </c>
      <c r="AC469" t="s">
        <v>22</v>
      </c>
      <c r="AD469" t="s">
        <v>1882</v>
      </c>
      <c r="AE469">
        <v>8.1533291451295437E-5</v>
      </c>
      <c r="AG469" t="s">
        <v>99</v>
      </c>
      <c r="AH469" t="s">
        <v>1882</v>
      </c>
      <c r="AI469">
        <v>0</v>
      </c>
    </row>
    <row r="470" spans="9:35" x14ac:dyDescent="0.45">
      <c r="I470" t="s">
        <v>249</v>
      </c>
      <c r="J470" t="s">
        <v>1883</v>
      </c>
      <c r="K470">
        <v>0</v>
      </c>
      <c r="L470" t="s">
        <v>251</v>
      </c>
      <c r="N470" t="s">
        <v>419</v>
      </c>
      <c r="O470" t="s">
        <v>1883</v>
      </c>
      <c r="P470">
        <v>2.1908061626389999E-4</v>
      </c>
      <c r="Q470" t="s">
        <v>251</v>
      </c>
      <c r="S470" t="s">
        <v>420</v>
      </c>
      <c r="T470" t="s">
        <v>1883</v>
      </c>
      <c r="U470">
        <v>1.8691511308350001E-4</v>
      </c>
      <c r="V470" t="s">
        <v>251</v>
      </c>
      <c r="X470">
        <v>1.1415525114155251E-4</v>
      </c>
      <c r="Y470">
        <v>1.5579809230208258E-4</v>
      </c>
      <c r="Z470" t="s">
        <v>1883</v>
      </c>
      <c r="AA470" t="s">
        <v>25</v>
      </c>
      <c r="AC470" t="s">
        <v>22</v>
      </c>
      <c r="AD470" t="s">
        <v>1883</v>
      </c>
      <c r="AE470">
        <v>9.3375336659787741E-5</v>
      </c>
      <c r="AG470" t="s">
        <v>99</v>
      </c>
      <c r="AH470" t="s">
        <v>1883</v>
      </c>
      <c r="AI470">
        <v>0</v>
      </c>
    </row>
    <row r="471" spans="9:35" x14ac:dyDescent="0.45">
      <c r="I471" t="s">
        <v>249</v>
      </c>
      <c r="J471" t="s">
        <v>1884</v>
      </c>
      <c r="K471">
        <v>0</v>
      </c>
      <c r="L471" t="s">
        <v>251</v>
      </c>
      <c r="N471" t="s">
        <v>419</v>
      </c>
      <c r="O471" t="s">
        <v>1884</v>
      </c>
      <c r="P471">
        <v>2.2657908994560001E-4</v>
      </c>
      <c r="Q471" t="s">
        <v>251</v>
      </c>
      <c r="S471" t="s">
        <v>420</v>
      </c>
      <c r="T471" t="s">
        <v>1884</v>
      </c>
      <c r="U471">
        <v>1.8658992411499999E-4</v>
      </c>
      <c r="V471" t="s">
        <v>251</v>
      </c>
      <c r="X471">
        <v>1.1415525114155251E-4</v>
      </c>
      <c r="Y471">
        <v>1.093901499142282E-4</v>
      </c>
      <c r="Z471" t="s">
        <v>1884</v>
      </c>
      <c r="AA471" t="s">
        <v>25</v>
      </c>
      <c r="AC471" t="s">
        <v>22</v>
      </c>
      <c r="AD471" t="s">
        <v>1884</v>
      </c>
      <c r="AE471">
        <v>1.0909523470063845E-4</v>
      </c>
      <c r="AG471" t="s">
        <v>99</v>
      </c>
      <c r="AH471" t="s">
        <v>1884</v>
      </c>
      <c r="AI471">
        <v>0</v>
      </c>
    </row>
    <row r="472" spans="9:35" x14ac:dyDescent="0.45">
      <c r="I472" t="s">
        <v>249</v>
      </c>
      <c r="J472" t="s">
        <v>1885</v>
      </c>
      <c r="K472">
        <v>0</v>
      </c>
      <c r="L472" t="s">
        <v>251</v>
      </c>
      <c r="N472" t="s">
        <v>419</v>
      </c>
      <c r="O472" t="s">
        <v>1885</v>
      </c>
      <c r="P472">
        <v>2.3011478752580001E-4</v>
      </c>
      <c r="Q472" t="s">
        <v>251</v>
      </c>
      <c r="S472" t="s">
        <v>420</v>
      </c>
      <c r="T472" t="s">
        <v>1885</v>
      </c>
      <c r="U472">
        <v>1.8569261607319999E-4</v>
      </c>
      <c r="V472" t="s">
        <v>251</v>
      </c>
      <c r="X472">
        <v>1.1415525114155251E-4</v>
      </c>
      <c r="Y472">
        <v>7.9556472664893237E-5</v>
      </c>
      <c r="Z472" t="s">
        <v>1885</v>
      </c>
      <c r="AA472" t="s">
        <v>25</v>
      </c>
      <c r="AC472" t="s">
        <v>22</v>
      </c>
      <c r="AD472" t="s">
        <v>1885</v>
      </c>
      <c r="AE472">
        <v>1.2190823230801619E-4</v>
      </c>
      <c r="AG472" t="s">
        <v>99</v>
      </c>
      <c r="AH472" t="s">
        <v>1885</v>
      </c>
      <c r="AI472">
        <v>0</v>
      </c>
    </row>
    <row r="473" spans="9:35" x14ac:dyDescent="0.45">
      <c r="I473" t="s">
        <v>249</v>
      </c>
      <c r="J473" t="s">
        <v>1886</v>
      </c>
      <c r="K473">
        <v>0</v>
      </c>
      <c r="L473" t="s">
        <v>251</v>
      </c>
      <c r="N473" t="s">
        <v>419</v>
      </c>
      <c r="O473" t="s">
        <v>1886</v>
      </c>
      <c r="P473">
        <v>2.280804991661E-4</v>
      </c>
      <c r="Q473" t="s">
        <v>251</v>
      </c>
      <c r="S473" t="s">
        <v>420</v>
      </c>
      <c r="T473" t="s">
        <v>1886</v>
      </c>
      <c r="U473">
        <v>1.8516376592960001E-4</v>
      </c>
      <c r="V473" t="s">
        <v>251</v>
      </c>
      <c r="X473">
        <v>1.1415525114155251E-4</v>
      </c>
      <c r="Y473">
        <v>5.6352501470966035E-5</v>
      </c>
      <c r="Z473" t="s">
        <v>1886</v>
      </c>
      <c r="AA473" t="s">
        <v>25</v>
      </c>
      <c r="AC473" t="s">
        <v>22</v>
      </c>
      <c r="AD473" t="s">
        <v>1886</v>
      </c>
      <c r="AE473">
        <v>1.3227300024703861E-4</v>
      </c>
      <c r="AG473" t="s">
        <v>99</v>
      </c>
      <c r="AH473" t="s">
        <v>1886</v>
      </c>
      <c r="AI473">
        <v>0</v>
      </c>
    </row>
    <row r="474" spans="9:35" x14ac:dyDescent="0.45">
      <c r="I474" t="s">
        <v>249</v>
      </c>
      <c r="J474" t="s">
        <v>1887</v>
      </c>
      <c r="K474">
        <v>0</v>
      </c>
      <c r="L474" t="s">
        <v>251</v>
      </c>
      <c r="N474" t="s">
        <v>419</v>
      </c>
      <c r="O474" t="s">
        <v>1887</v>
      </c>
      <c r="P474">
        <v>2.2747557201230001E-4</v>
      </c>
      <c r="Q474" t="s">
        <v>251</v>
      </c>
      <c r="S474" t="s">
        <v>420</v>
      </c>
      <c r="T474" t="s">
        <v>1887</v>
      </c>
      <c r="U474">
        <v>1.8459832988830001E-4</v>
      </c>
      <c r="V474" t="s">
        <v>251</v>
      </c>
      <c r="X474">
        <v>1.1415525114155251E-4</v>
      </c>
      <c r="Y474">
        <v>2.9833677249334962E-5</v>
      </c>
      <c r="Z474" t="s">
        <v>1887</v>
      </c>
      <c r="AA474" t="s">
        <v>25</v>
      </c>
      <c r="AC474" t="s">
        <v>22</v>
      </c>
      <c r="AD474" t="s">
        <v>1887</v>
      </c>
      <c r="AE474">
        <v>1.3280315217035644E-4</v>
      </c>
      <c r="AG474" t="s">
        <v>99</v>
      </c>
      <c r="AH474" t="s">
        <v>1887</v>
      </c>
      <c r="AI474">
        <v>0</v>
      </c>
    </row>
    <row r="475" spans="9:35" x14ac:dyDescent="0.45">
      <c r="I475" t="s">
        <v>249</v>
      </c>
      <c r="J475" t="s">
        <v>403</v>
      </c>
      <c r="K475">
        <v>3.8090221314169098E-6</v>
      </c>
      <c r="L475" t="s">
        <v>251</v>
      </c>
      <c r="N475" t="s">
        <v>419</v>
      </c>
      <c r="O475" t="s">
        <v>403</v>
      </c>
      <c r="P475">
        <v>3.009277985070876E-2</v>
      </c>
      <c r="Q475" t="s">
        <v>251</v>
      </c>
      <c r="S475" t="s">
        <v>420</v>
      </c>
      <c r="T475" t="s">
        <v>403</v>
      </c>
      <c r="U475">
        <v>1.8828910873338951E-2</v>
      </c>
      <c r="V475" t="s">
        <v>251</v>
      </c>
      <c r="X475">
        <v>2.0547945205479451E-2</v>
      </c>
      <c r="Y475">
        <v>4.3954951147353507E-3</v>
      </c>
      <c r="Z475" t="s">
        <v>403</v>
      </c>
      <c r="AA475" t="s">
        <v>25</v>
      </c>
      <c r="AC475" t="s">
        <v>22</v>
      </c>
      <c r="AD475" t="s">
        <v>403</v>
      </c>
      <c r="AE475">
        <v>2.2260433007780876E-2</v>
      </c>
      <c r="AG475" t="s">
        <v>99</v>
      </c>
      <c r="AH475" t="s">
        <v>403</v>
      </c>
      <c r="AI475">
        <v>6.8438377491133906E-2</v>
      </c>
    </row>
    <row r="476" spans="9:35" x14ac:dyDescent="0.45">
      <c r="I476" t="s">
        <v>249</v>
      </c>
      <c r="J476" t="s">
        <v>404</v>
      </c>
      <c r="K476">
        <v>4.2174220768100264E-3</v>
      </c>
      <c r="L476" t="s">
        <v>251</v>
      </c>
      <c r="N476" t="s">
        <v>419</v>
      </c>
      <c r="O476" t="s">
        <v>404</v>
      </c>
      <c r="P476">
        <v>4.2806558018010097E-3</v>
      </c>
      <c r="Q476" t="s">
        <v>251</v>
      </c>
      <c r="S476" t="s">
        <v>420</v>
      </c>
      <c r="T476" t="s">
        <v>404</v>
      </c>
      <c r="U476">
        <v>3.0236851410871714E-3</v>
      </c>
      <c r="V476" t="s">
        <v>251</v>
      </c>
      <c r="X476">
        <v>3.4246575342465752E-3</v>
      </c>
      <c r="Y476">
        <v>5.0717251323869452E-3</v>
      </c>
      <c r="Z476" t="s">
        <v>404</v>
      </c>
      <c r="AA476" t="s">
        <v>25</v>
      </c>
      <c r="AC476" t="s">
        <v>22</v>
      </c>
      <c r="AD476" t="s">
        <v>404</v>
      </c>
      <c r="AE476">
        <v>3.7478698159495389E-3</v>
      </c>
      <c r="AG476" t="s">
        <v>99</v>
      </c>
      <c r="AH476" t="s">
        <v>404</v>
      </c>
      <c r="AI476">
        <v>5.810617310985644E-2</v>
      </c>
    </row>
    <row r="477" spans="9:35" x14ac:dyDescent="0.45">
      <c r="I477" t="s">
        <v>249</v>
      </c>
      <c r="J477" t="s">
        <v>405</v>
      </c>
      <c r="K477">
        <v>7.2308135574651999E-3</v>
      </c>
      <c r="L477" t="s">
        <v>251</v>
      </c>
      <c r="N477" t="s">
        <v>419</v>
      </c>
      <c r="O477" t="s">
        <v>405</v>
      </c>
      <c r="P477">
        <v>3.8538588286688457E-3</v>
      </c>
      <c r="Q477" t="s">
        <v>251</v>
      </c>
      <c r="S477" t="s">
        <v>420</v>
      </c>
      <c r="T477" t="s">
        <v>405</v>
      </c>
      <c r="U477">
        <v>2.9603012804413288E-3</v>
      </c>
      <c r="V477" t="s">
        <v>251</v>
      </c>
      <c r="X477">
        <v>3.4246575342465752E-3</v>
      </c>
      <c r="Y477">
        <v>5.7181214727892006E-3</v>
      </c>
      <c r="Z477" t="s">
        <v>405</v>
      </c>
      <c r="AA477" t="s">
        <v>25</v>
      </c>
      <c r="AC477" t="s">
        <v>22</v>
      </c>
      <c r="AD477" t="s">
        <v>405</v>
      </c>
      <c r="AE477">
        <v>3.7621481773000192E-3</v>
      </c>
      <c r="AG477" t="s">
        <v>99</v>
      </c>
      <c r="AH477" t="s">
        <v>405</v>
      </c>
      <c r="AI477">
        <v>5.5035171020012763E-2</v>
      </c>
    </row>
    <row r="478" spans="9:35" x14ac:dyDescent="0.45">
      <c r="I478" t="s">
        <v>249</v>
      </c>
      <c r="J478" t="s">
        <v>406</v>
      </c>
      <c r="K478">
        <v>6.0288203719271301E-2</v>
      </c>
      <c r="L478" t="s">
        <v>251</v>
      </c>
      <c r="N478" t="s">
        <v>419</v>
      </c>
      <c r="O478" t="s">
        <v>406</v>
      </c>
      <c r="P478">
        <v>1.7014136309921917E-2</v>
      </c>
      <c r="Q478" t="s">
        <v>251</v>
      </c>
      <c r="S478" t="s">
        <v>420</v>
      </c>
      <c r="T478" t="s">
        <v>406</v>
      </c>
      <c r="U478">
        <v>1.8352404363144538E-2</v>
      </c>
      <c r="V478" t="s">
        <v>251</v>
      </c>
      <c r="X478">
        <v>2.0547945205479451E-2</v>
      </c>
      <c r="Y478">
        <v>2.5895631852422749E-2</v>
      </c>
      <c r="Z478" t="s">
        <v>406</v>
      </c>
      <c r="AA478" t="s">
        <v>25</v>
      </c>
      <c r="AC478" t="s">
        <v>22</v>
      </c>
      <c r="AD478" t="s">
        <v>406</v>
      </c>
      <c r="AE478">
        <v>2.1069580739219031E-2</v>
      </c>
      <c r="AG478" t="s">
        <v>99</v>
      </c>
      <c r="AH478" t="s">
        <v>406</v>
      </c>
      <c r="AI478">
        <v>0.10874677642572528</v>
      </c>
    </row>
    <row r="479" spans="9:35" x14ac:dyDescent="0.45">
      <c r="I479" t="s">
        <v>249</v>
      </c>
      <c r="J479" t="s">
        <v>407</v>
      </c>
      <c r="K479">
        <v>2.7882090840113501E-2</v>
      </c>
      <c r="L479" t="s">
        <v>251</v>
      </c>
      <c r="N479" t="s">
        <v>419</v>
      </c>
      <c r="O479" t="s">
        <v>407</v>
      </c>
      <c r="P479">
        <v>7.5583101296307093E-3</v>
      </c>
      <c r="Q479" t="s">
        <v>251</v>
      </c>
      <c r="S479" t="s">
        <v>420</v>
      </c>
      <c r="T479" t="s">
        <v>407</v>
      </c>
      <c r="U479">
        <v>9.7236148432749466E-3</v>
      </c>
      <c r="V479" t="s">
        <v>251</v>
      </c>
      <c r="X479">
        <v>1.0273972602739725E-2</v>
      </c>
      <c r="Y479">
        <v>1.6348855132635558E-2</v>
      </c>
      <c r="Z479" t="s">
        <v>407</v>
      </c>
      <c r="AA479" t="s">
        <v>25</v>
      </c>
      <c r="AC479" t="s">
        <v>22</v>
      </c>
      <c r="AD479" t="s">
        <v>407</v>
      </c>
      <c r="AE479">
        <v>7.4430039204518537E-3</v>
      </c>
      <c r="AG479" t="s">
        <v>99</v>
      </c>
      <c r="AH479" t="s">
        <v>407</v>
      </c>
      <c r="AI479">
        <v>5.4528305774245167E-2</v>
      </c>
    </row>
    <row r="480" spans="9:35" x14ac:dyDescent="0.45">
      <c r="I480" t="s">
        <v>249</v>
      </c>
      <c r="J480" t="s">
        <v>408</v>
      </c>
      <c r="K480">
        <v>7.0415792442286998E-3</v>
      </c>
      <c r="L480" t="s">
        <v>251</v>
      </c>
      <c r="N480" t="s">
        <v>419</v>
      </c>
      <c r="O480" t="s">
        <v>408</v>
      </c>
      <c r="P480">
        <v>2.9598672303039887E-3</v>
      </c>
      <c r="Q480" t="s">
        <v>251</v>
      </c>
      <c r="S480" t="s">
        <v>420</v>
      </c>
      <c r="T480" t="s">
        <v>408</v>
      </c>
      <c r="U480">
        <v>3.2563955971113821E-3</v>
      </c>
      <c r="V480" t="s">
        <v>251</v>
      </c>
      <c r="X480">
        <v>3.4246575342465752E-3</v>
      </c>
      <c r="Y480">
        <v>6.662854585684809E-3</v>
      </c>
      <c r="Z480" t="s">
        <v>408</v>
      </c>
      <c r="AA480" t="s">
        <v>25</v>
      </c>
      <c r="AC480" t="s">
        <v>22</v>
      </c>
      <c r="AD480" t="s">
        <v>408</v>
      </c>
      <c r="AE480">
        <v>2.3591696150160315E-3</v>
      </c>
      <c r="AG480" t="s">
        <v>99</v>
      </c>
      <c r="AH480" t="s">
        <v>408</v>
      </c>
      <c r="AI480">
        <v>2.5864249786949456E-2</v>
      </c>
    </row>
    <row r="481" spans="9:35" x14ac:dyDescent="0.45">
      <c r="I481" t="s">
        <v>249</v>
      </c>
      <c r="J481" t="s">
        <v>409</v>
      </c>
      <c r="K481">
        <v>4.1807614240014232E-3</v>
      </c>
      <c r="L481" t="s">
        <v>251</v>
      </c>
      <c r="N481" t="s">
        <v>419</v>
      </c>
      <c r="O481" t="s">
        <v>409</v>
      </c>
      <c r="P481">
        <v>3.3455294891401029E-3</v>
      </c>
      <c r="Q481" t="s">
        <v>251</v>
      </c>
      <c r="S481" t="s">
        <v>420</v>
      </c>
      <c r="T481" t="s">
        <v>409</v>
      </c>
      <c r="U481">
        <v>3.238425197695286E-3</v>
      </c>
      <c r="V481" t="s">
        <v>251</v>
      </c>
      <c r="X481">
        <v>3.4246575342465752E-3</v>
      </c>
      <c r="Y481">
        <v>5.1711707232180593E-3</v>
      </c>
      <c r="Z481" t="s">
        <v>409</v>
      </c>
      <c r="AA481" t="s">
        <v>25</v>
      </c>
      <c r="AC481" t="s">
        <v>22</v>
      </c>
      <c r="AD481" t="s">
        <v>409</v>
      </c>
      <c r="AE481">
        <v>2.3797859723935933E-3</v>
      </c>
      <c r="AG481" t="s">
        <v>99</v>
      </c>
      <c r="AH481" t="s">
        <v>409</v>
      </c>
      <c r="AI481">
        <v>2.7494936993699426E-2</v>
      </c>
    </row>
    <row r="482" spans="9:35" x14ac:dyDescent="0.45">
      <c r="I482" t="s">
        <v>249</v>
      </c>
      <c r="J482" t="s">
        <v>410</v>
      </c>
      <c r="K482">
        <v>5.9271588075933296E-5</v>
      </c>
      <c r="L482" t="s">
        <v>251</v>
      </c>
      <c r="N482" t="s">
        <v>419</v>
      </c>
      <c r="O482" t="s">
        <v>410</v>
      </c>
      <c r="P482">
        <v>2.3746828472602736E-2</v>
      </c>
      <c r="Q482" t="s">
        <v>251</v>
      </c>
      <c r="S482" t="s">
        <v>420</v>
      </c>
      <c r="T482" t="s">
        <v>410</v>
      </c>
      <c r="U482">
        <v>1.5881674826197154E-2</v>
      </c>
      <c r="V482" t="s">
        <v>251</v>
      </c>
      <c r="X482">
        <v>1.7123287671232876E-2</v>
      </c>
      <c r="Y482">
        <v>1.2927926808045149E-2</v>
      </c>
      <c r="Z482" t="s">
        <v>410</v>
      </c>
      <c r="AA482" t="s">
        <v>25</v>
      </c>
      <c r="AC482" t="s">
        <v>22</v>
      </c>
      <c r="AD482" t="s">
        <v>410</v>
      </c>
      <c r="AE482">
        <v>1.6329373744555842E-2</v>
      </c>
      <c r="AG482" t="s">
        <v>99</v>
      </c>
      <c r="AH482" t="s">
        <v>410</v>
      </c>
      <c r="AI482">
        <v>0.14805486992572869</v>
      </c>
    </row>
    <row r="483" spans="9:35" x14ac:dyDescent="0.45">
      <c r="I483" t="s">
        <v>249</v>
      </c>
      <c r="J483" t="s">
        <v>411</v>
      </c>
      <c r="K483">
        <v>7.8154013398572715E-6</v>
      </c>
      <c r="L483" t="s">
        <v>251</v>
      </c>
      <c r="N483" t="s">
        <v>419</v>
      </c>
      <c r="O483" t="s">
        <v>411</v>
      </c>
      <c r="P483">
        <v>2.9783315040227628E-2</v>
      </c>
      <c r="Q483" t="s">
        <v>251</v>
      </c>
      <c r="S483" t="s">
        <v>420</v>
      </c>
      <c r="T483" t="s">
        <v>411</v>
      </c>
      <c r="U483">
        <v>2.0587673359039552E-2</v>
      </c>
      <c r="V483" t="s">
        <v>251</v>
      </c>
      <c r="X483">
        <v>2.1232876712328767E-2</v>
      </c>
      <c r="Y483">
        <v>4.5420116185598634E-3</v>
      </c>
      <c r="Z483" t="s">
        <v>411</v>
      </c>
      <c r="AA483" t="s">
        <v>25</v>
      </c>
      <c r="AC483" t="s">
        <v>22</v>
      </c>
      <c r="AD483" t="s">
        <v>411</v>
      </c>
      <c r="AE483">
        <v>2.3543483033091887E-2</v>
      </c>
      <c r="AG483" t="s">
        <v>99</v>
      </c>
      <c r="AH483" t="s">
        <v>411</v>
      </c>
      <c r="AI483">
        <v>0.11023422030113306</v>
      </c>
    </row>
    <row r="484" spans="9:35" x14ac:dyDescent="0.45">
      <c r="I484" t="s">
        <v>249</v>
      </c>
      <c r="J484" t="s">
        <v>412</v>
      </c>
      <c r="K484">
        <v>3.3569483176486771E-3</v>
      </c>
      <c r="L484" t="s">
        <v>251</v>
      </c>
      <c r="N484" t="s">
        <v>419</v>
      </c>
      <c r="O484" t="s">
        <v>412</v>
      </c>
      <c r="P484">
        <v>4.3790628797977845E-3</v>
      </c>
      <c r="Q484" t="s">
        <v>251</v>
      </c>
      <c r="S484" t="s">
        <v>420</v>
      </c>
      <c r="T484" t="s">
        <v>412</v>
      </c>
      <c r="U484">
        <v>3.4986673592877107E-3</v>
      </c>
      <c r="V484" t="s">
        <v>251</v>
      </c>
      <c r="X484">
        <v>3.5388127853881279E-3</v>
      </c>
      <c r="Y484">
        <v>5.240782636799844E-3</v>
      </c>
      <c r="Z484" t="s">
        <v>412</v>
      </c>
      <c r="AA484" t="s">
        <v>25</v>
      </c>
      <c r="AC484" t="s">
        <v>22</v>
      </c>
      <c r="AD484" t="s">
        <v>412</v>
      </c>
      <c r="AE484">
        <v>3.9673982100870749E-3</v>
      </c>
      <c r="AG484" t="s">
        <v>99</v>
      </c>
      <c r="AH484" t="s">
        <v>412</v>
      </c>
      <c r="AI484">
        <v>0.10400483630387303</v>
      </c>
    </row>
    <row r="485" spans="9:35" x14ac:dyDescent="0.45">
      <c r="I485" t="s">
        <v>249</v>
      </c>
      <c r="J485" t="s">
        <v>413</v>
      </c>
      <c r="K485">
        <v>6.4302276041504E-3</v>
      </c>
      <c r="L485" t="s">
        <v>251</v>
      </c>
      <c r="N485" t="s">
        <v>419</v>
      </c>
      <c r="O485" t="s">
        <v>413</v>
      </c>
      <c r="P485">
        <v>3.7729951204138229E-3</v>
      </c>
      <c r="Q485" t="s">
        <v>251</v>
      </c>
      <c r="S485" t="s">
        <v>420</v>
      </c>
      <c r="T485" t="s">
        <v>413</v>
      </c>
      <c r="U485">
        <v>3.4928716870599335E-3</v>
      </c>
      <c r="V485" t="s">
        <v>251</v>
      </c>
      <c r="X485">
        <v>3.5388127853881279E-3</v>
      </c>
      <c r="Y485">
        <v>5.9087255218821738E-3</v>
      </c>
      <c r="Z485" t="s">
        <v>413</v>
      </c>
      <c r="AA485" t="s">
        <v>25</v>
      </c>
      <c r="AC485" t="s">
        <v>22</v>
      </c>
      <c r="AD485" t="s">
        <v>413</v>
      </c>
      <c r="AE485">
        <v>3.9633952652278663E-3</v>
      </c>
      <c r="AG485" t="s">
        <v>99</v>
      </c>
      <c r="AH485" t="s">
        <v>413</v>
      </c>
      <c r="AI485">
        <v>7.4066305318186254E-2</v>
      </c>
    </row>
    <row r="486" spans="9:35" x14ac:dyDescent="0.45">
      <c r="I486" t="s">
        <v>249</v>
      </c>
      <c r="J486" t="s">
        <v>414</v>
      </c>
      <c r="K486">
        <v>5.8339775957822602E-2</v>
      </c>
      <c r="L486" t="s">
        <v>251</v>
      </c>
      <c r="N486" t="s">
        <v>419</v>
      </c>
      <c r="O486" t="s">
        <v>414</v>
      </c>
      <c r="P486">
        <v>1.7468390542046991E-2</v>
      </c>
      <c r="Q486" t="s">
        <v>251</v>
      </c>
      <c r="S486" t="s">
        <v>420</v>
      </c>
      <c r="T486" t="s">
        <v>414</v>
      </c>
      <c r="U486">
        <v>2.1873171101000038E-2</v>
      </c>
      <c r="V486" t="s">
        <v>251</v>
      </c>
      <c r="X486">
        <v>2.1232876712328767E-2</v>
      </c>
      <c r="Y486">
        <v>2.6758819580836844E-2</v>
      </c>
      <c r="Z486" t="s">
        <v>414</v>
      </c>
      <c r="AA486" t="s">
        <v>25</v>
      </c>
      <c r="AC486" t="s">
        <v>22</v>
      </c>
      <c r="AD486" t="s">
        <v>414</v>
      </c>
      <c r="AE486">
        <v>2.2049068155943537E-2</v>
      </c>
      <c r="AG486" t="s">
        <v>99</v>
      </c>
      <c r="AH486" t="s">
        <v>414</v>
      </c>
      <c r="AI486">
        <v>0.12911283864389511</v>
      </c>
    </row>
    <row r="487" spans="9:35" x14ac:dyDescent="0.45">
      <c r="I487" t="s">
        <v>249</v>
      </c>
      <c r="J487" t="s">
        <v>415</v>
      </c>
      <c r="K487">
        <v>2.6819735968727498E-2</v>
      </c>
      <c r="L487" t="s">
        <v>251</v>
      </c>
      <c r="N487" t="s">
        <v>419</v>
      </c>
      <c r="O487" t="s">
        <v>415</v>
      </c>
      <c r="P487">
        <v>7.5630787877283816E-3</v>
      </c>
      <c r="Q487" t="s">
        <v>251</v>
      </c>
      <c r="S487" t="s">
        <v>420</v>
      </c>
      <c r="T487" t="s">
        <v>415</v>
      </c>
      <c r="U487">
        <v>1.1295279616735264E-2</v>
      </c>
      <c r="V487" t="s">
        <v>251</v>
      </c>
      <c r="X487">
        <v>1.0616438356164383E-2</v>
      </c>
      <c r="Y487">
        <v>1.6893816970390073E-2</v>
      </c>
      <c r="Z487" t="s">
        <v>415</v>
      </c>
      <c r="AA487" t="s">
        <v>25</v>
      </c>
      <c r="AC487" t="s">
        <v>22</v>
      </c>
      <c r="AD487" t="s">
        <v>415</v>
      </c>
      <c r="AE487">
        <v>7.9396068416197289E-3</v>
      </c>
      <c r="AG487" t="s">
        <v>99</v>
      </c>
      <c r="AH487" t="s">
        <v>415</v>
      </c>
      <c r="AI487">
        <v>6.2183768556017149E-2</v>
      </c>
    </row>
    <row r="488" spans="9:35" x14ac:dyDescent="0.45">
      <c r="I488" t="s">
        <v>249</v>
      </c>
      <c r="J488" t="s">
        <v>416</v>
      </c>
      <c r="K488">
        <v>6.7134710151176002E-3</v>
      </c>
      <c r="L488" t="s">
        <v>251</v>
      </c>
      <c r="N488" t="s">
        <v>419</v>
      </c>
      <c r="O488" t="s">
        <v>416</v>
      </c>
      <c r="P488">
        <v>2.8396267792552905E-3</v>
      </c>
      <c r="Q488" t="s">
        <v>251</v>
      </c>
      <c r="S488" t="s">
        <v>420</v>
      </c>
      <c r="T488" t="s">
        <v>416</v>
      </c>
      <c r="U488">
        <v>3.800250958987022E-3</v>
      </c>
      <c r="V488" t="s">
        <v>251</v>
      </c>
      <c r="X488">
        <v>3.5388127853881279E-3</v>
      </c>
      <c r="Y488">
        <v>6.8849497385409693E-3</v>
      </c>
      <c r="Z488" t="s">
        <v>416</v>
      </c>
      <c r="AA488" t="s">
        <v>25</v>
      </c>
      <c r="AC488" t="s">
        <v>22</v>
      </c>
      <c r="AD488" t="s">
        <v>416</v>
      </c>
      <c r="AE488">
        <v>2.5116069854195398E-3</v>
      </c>
      <c r="AG488" t="s">
        <v>99</v>
      </c>
      <c r="AH488" t="s">
        <v>416</v>
      </c>
      <c r="AI488">
        <v>2.6522664700230569E-2</v>
      </c>
    </row>
    <row r="489" spans="9:35" x14ac:dyDescent="0.45">
      <c r="I489" t="s">
        <v>249</v>
      </c>
      <c r="J489" t="s">
        <v>417</v>
      </c>
      <c r="K489">
        <v>4.3636159800594957E-3</v>
      </c>
      <c r="L489" t="s">
        <v>251</v>
      </c>
      <c r="N489" t="s">
        <v>419</v>
      </c>
      <c r="O489" t="s">
        <v>417</v>
      </c>
      <c r="P489">
        <v>2.9791966895662955E-3</v>
      </c>
      <c r="Q489" t="s">
        <v>251</v>
      </c>
      <c r="S489" t="s">
        <v>420</v>
      </c>
      <c r="T489" t="s">
        <v>417</v>
      </c>
      <c r="U489">
        <v>3.7640084620224664E-3</v>
      </c>
      <c r="V489" t="s">
        <v>251</v>
      </c>
      <c r="X489">
        <v>3.5388127853881279E-3</v>
      </c>
      <c r="Y489">
        <v>5.3435430806586613E-3</v>
      </c>
      <c r="Z489" t="s">
        <v>417</v>
      </c>
      <c r="AA489" t="s">
        <v>25</v>
      </c>
      <c r="AC489" t="s">
        <v>22</v>
      </c>
      <c r="AD489" t="s">
        <v>417</v>
      </c>
      <c r="AE489">
        <v>2.5292032638631447E-3</v>
      </c>
      <c r="AG489" t="s">
        <v>99</v>
      </c>
      <c r="AH489" t="s">
        <v>417</v>
      </c>
      <c r="AI489">
        <v>2.5865442867635702E-2</v>
      </c>
    </row>
    <row r="490" spans="9:35" x14ac:dyDescent="0.45">
      <c r="I490" t="s">
        <v>249</v>
      </c>
      <c r="J490" t="s">
        <v>418</v>
      </c>
      <c r="K490">
        <v>9.7873174655531696E-4</v>
      </c>
      <c r="L490" t="s">
        <v>251</v>
      </c>
      <c r="N490" t="s">
        <v>419</v>
      </c>
      <c r="O490" t="s">
        <v>418</v>
      </c>
      <c r="P490">
        <v>2.1583413457200773E-2</v>
      </c>
      <c r="Q490" t="s">
        <v>251</v>
      </c>
      <c r="S490" t="s">
        <v>420</v>
      </c>
      <c r="T490" t="s">
        <v>418</v>
      </c>
      <c r="U490">
        <v>1.7666422501777586E-2</v>
      </c>
      <c r="V490" t="s">
        <v>251</v>
      </c>
      <c r="X490">
        <v>1.7694063926940638E-2</v>
      </c>
      <c r="Y490">
        <v>1.3358857701646654E-2</v>
      </c>
      <c r="Z490" t="s">
        <v>418</v>
      </c>
      <c r="AA490" t="s">
        <v>25</v>
      </c>
      <c r="AC490" t="s">
        <v>22</v>
      </c>
      <c r="AD490" t="s">
        <v>418</v>
      </c>
      <c r="AE490">
        <v>1.7246656839578167E-2</v>
      </c>
      <c r="AG490" t="s">
        <v>99</v>
      </c>
      <c r="AH490" t="s">
        <v>418</v>
      </c>
      <c r="AI490">
        <v>0.15733680317509191</v>
      </c>
    </row>
    <row r="491" spans="9:35" x14ac:dyDescent="0.45">
      <c r="AC491" t="s">
        <v>19</v>
      </c>
      <c r="AD491" t="s">
        <v>250</v>
      </c>
      <c r="AE491">
        <v>2.1456565378467178E-2</v>
      </c>
    </row>
    <row r="492" spans="9:35" x14ac:dyDescent="0.45">
      <c r="AC492" t="s">
        <v>19</v>
      </c>
      <c r="AD492" t="s">
        <v>252</v>
      </c>
      <c r="AE492">
        <v>3.576040295125745E-3</v>
      </c>
    </row>
    <row r="493" spans="9:35" x14ac:dyDescent="0.45">
      <c r="AC493" t="s">
        <v>19</v>
      </c>
      <c r="AD493" t="s">
        <v>253</v>
      </c>
      <c r="AE493">
        <v>3.5736532532879115E-3</v>
      </c>
    </row>
    <row r="494" spans="9:35" x14ac:dyDescent="0.45">
      <c r="AC494" t="s">
        <v>19</v>
      </c>
      <c r="AD494" t="s">
        <v>254</v>
      </c>
      <c r="AE494">
        <v>2.1308912110266864E-2</v>
      </c>
    </row>
    <row r="495" spans="9:35" x14ac:dyDescent="0.45">
      <c r="AC495" t="s">
        <v>19</v>
      </c>
      <c r="AD495" t="s">
        <v>255</v>
      </c>
      <c r="AE495">
        <v>1.044333875225935E-2</v>
      </c>
    </row>
    <row r="496" spans="9:35" x14ac:dyDescent="0.45">
      <c r="AC496" t="s">
        <v>19</v>
      </c>
      <c r="AD496" t="s">
        <v>256</v>
      </c>
      <c r="AE496">
        <v>3.4710603292848782E-3</v>
      </c>
    </row>
    <row r="497" spans="29:31" x14ac:dyDescent="0.45">
      <c r="AC497" t="s">
        <v>19</v>
      </c>
      <c r="AD497" t="s">
        <v>257</v>
      </c>
      <c r="AE497">
        <v>3.4720253530016311E-3</v>
      </c>
    </row>
    <row r="498" spans="29:31" x14ac:dyDescent="0.45">
      <c r="AC498" t="s">
        <v>19</v>
      </c>
      <c r="AD498" t="s">
        <v>258</v>
      </c>
      <c r="AE498">
        <v>1.7648070356031446E-2</v>
      </c>
    </row>
    <row r="499" spans="29:31" x14ac:dyDescent="0.45">
      <c r="AC499" t="s">
        <v>19</v>
      </c>
      <c r="AD499" t="s">
        <v>259</v>
      </c>
      <c r="AE499">
        <v>1.9338882885437635E-2</v>
      </c>
    </row>
    <row r="500" spans="29:31" x14ac:dyDescent="0.45">
      <c r="AC500" t="s">
        <v>19</v>
      </c>
      <c r="AD500" t="s">
        <v>260</v>
      </c>
      <c r="AE500">
        <v>3.2252687047878417E-3</v>
      </c>
    </row>
    <row r="501" spans="29:31" x14ac:dyDescent="0.45">
      <c r="AC501" t="s">
        <v>19</v>
      </c>
      <c r="AD501" t="s">
        <v>261</v>
      </c>
      <c r="AE501">
        <v>3.2251801669548538E-3</v>
      </c>
    </row>
    <row r="502" spans="29:31" x14ac:dyDescent="0.45">
      <c r="AC502" t="s">
        <v>19</v>
      </c>
      <c r="AD502" t="s">
        <v>262</v>
      </c>
      <c r="AE502">
        <v>1.9240831294999098E-2</v>
      </c>
    </row>
    <row r="503" spans="29:31" x14ac:dyDescent="0.45">
      <c r="AC503" t="s">
        <v>19</v>
      </c>
      <c r="AD503" t="s">
        <v>263</v>
      </c>
      <c r="AE503">
        <v>9.4468789817617298E-3</v>
      </c>
    </row>
    <row r="504" spans="29:31" x14ac:dyDescent="0.45">
      <c r="AC504" t="s">
        <v>19</v>
      </c>
      <c r="AD504" t="s">
        <v>264</v>
      </c>
      <c r="AE504">
        <v>3.1401567833205745E-3</v>
      </c>
    </row>
    <row r="505" spans="29:31" x14ac:dyDescent="0.45">
      <c r="AC505" t="s">
        <v>19</v>
      </c>
      <c r="AD505" t="s">
        <v>265</v>
      </c>
      <c r="AE505">
        <v>3.1404962427850408E-3</v>
      </c>
    </row>
    <row r="506" spans="29:31" x14ac:dyDescent="0.45">
      <c r="AC506" t="s">
        <v>19</v>
      </c>
      <c r="AD506" t="s">
        <v>266</v>
      </c>
      <c r="AE506">
        <v>1.5953616264111251E-2</v>
      </c>
    </row>
    <row r="507" spans="29:31" x14ac:dyDescent="0.45">
      <c r="AC507" t="s">
        <v>19</v>
      </c>
      <c r="AD507" t="s">
        <v>267</v>
      </c>
      <c r="AE507">
        <v>2.1406099770568909E-2</v>
      </c>
    </row>
    <row r="508" spans="29:31" x14ac:dyDescent="0.45">
      <c r="AC508" t="s">
        <v>19</v>
      </c>
      <c r="AD508" t="s">
        <v>268</v>
      </c>
      <c r="AE508">
        <v>3.5705543953033956E-3</v>
      </c>
    </row>
    <row r="509" spans="29:31" x14ac:dyDescent="0.45">
      <c r="AC509" t="s">
        <v>19</v>
      </c>
      <c r="AD509" t="s">
        <v>269</v>
      </c>
      <c r="AE509">
        <v>3.5700579648337196E-3</v>
      </c>
    </row>
    <row r="510" spans="29:31" x14ac:dyDescent="0.45">
      <c r="AC510" t="s">
        <v>19</v>
      </c>
      <c r="AD510" t="s">
        <v>270</v>
      </c>
      <c r="AE510">
        <v>2.1303818855435835E-2</v>
      </c>
    </row>
    <row r="511" spans="29:31" x14ac:dyDescent="0.45">
      <c r="AC511" t="s">
        <v>19</v>
      </c>
      <c r="AD511" t="s">
        <v>271</v>
      </c>
      <c r="AE511">
        <v>1.0459243370575593E-2</v>
      </c>
    </row>
    <row r="512" spans="29:31" x14ac:dyDescent="0.45">
      <c r="AC512" t="s">
        <v>19</v>
      </c>
      <c r="AD512" t="s">
        <v>272</v>
      </c>
      <c r="AE512">
        <v>3.4767112516424447E-3</v>
      </c>
    </row>
    <row r="513" spans="29:31" x14ac:dyDescent="0.45">
      <c r="AC513" t="s">
        <v>19</v>
      </c>
      <c r="AD513" t="s">
        <v>273</v>
      </c>
      <c r="AE513">
        <v>3.4773333362419063E-3</v>
      </c>
    </row>
    <row r="514" spans="29:31" x14ac:dyDescent="0.45">
      <c r="AC514" t="s">
        <v>19</v>
      </c>
      <c r="AD514" t="s">
        <v>274</v>
      </c>
      <c r="AE514">
        <v>1.7662409062916596E-2</v>
      </c>
    </row>
    <row r="515" spans="29:31" x14ac:dyDescent="0.45">
      <c r="AC515" t="s">
        <v>19</v>
      </c>
      <c r="AD515" t="s">
        <v>275</v>
      </c>
      <c r="AE515">
        <v>2.0694850968251445E-2</v>
      </c>
    </row>
    <row r="516" spans="29:31" x14ac:dyDescent="0.45">
      <c r="AC516" t="s">
        <v>19</v>
      </c>
      <c r="AD516" t="s">
        <v>276</v>
      </c>
      <c r="AE516">
        <v>3.4504237579177808E-3</v>
      </c>
    </row>
    <row r="517" spans="29:31" x14ac:dyDescent="0.45">
      <c r="AC517" t="s">
        <v>19</v>
      </c>
      <c r="AD517" t="s">
        <v>277</v>
      </c>
      <c r="AE517">
        <v>3.4522266047091348E-3</v>
      </c>
    </row>
    <row r="518" spans="29:31" x14ac:dyDescent="0.45">
      <c r="AC518" t="s">
        <v>19</v>
      </c>
      <c r="AD518" t="s">
        <v>278</v>
      </c>
      <c r="AE518">
        <v>2.0660796765939099E-2</v>
      </c>
    </row>
    <row r="519" spans="29:31" x14ac:dyDescent="0.45">
      <c r="AC519" t="s">
        <v>19</v>
      </c>
      <c r="AD519" t="s">
        <v>279</v>
      </c>
      <c r="AE519">
        <v>1.0145478419643389E-2</v>
      </c>
    </row>
    <row r="520" spans="29:31" x14ac:dyDescent="0.45">
      <c r="AC520" t="s">
        <v>19</v>
      </c>
      <c r="AD520" t="s">
        <v>280</v>
      </c>
      <c r="AE520">
        <v>3.361101456532469E-3</v>
      </c>
    </row>
    <row r="521" spans="29:31" x14ac:dyDescent="0.45">
      <c r="AC521" t="s">
        <v>19</v>
      </c>
      <c r="AD521" t="s">
        <v>281</v>
      </c>
      <c r="AE521">
        <v>3.3621372331899936E-3</v>
      </c>
    </row>
    <row r="522" spans="29:31" x14ac:dyDescent="0.45">
      <c r="AC522" t="s">
        <v>19</v>
      </c>
      <c r="AD522" t="s">
        <v>282</v>
      </c>
      <c r="AE522">
        <v>1.7050597402635478E-2</v>
      </c>
    </row>
    <row r="523" spans="29:31" x14ac:dyDescent="0.45">
      <c r="AC523" t="s">
        <v>19</v>
      </c>
      <c r="AD523" t="s">
        <v>283</v>
      </c>
      <c r="AE523">
        <v>1.6549026669208045E-2</v>
      </c>
    </row>
    <row r="524" spans="29:31" x14ac:dyDescent="0.45">
      <c r="AC524" t="s">
        <v>19</v>
      </c>
      <c r="AD524" t="s">
        <v>284</v>
      </c>
      <c r="AE524">
        <v>2.7580607292145088E-3</v>
      </c>
    </row>
    <row r="525" spans="29:31" x14ac:dyDescent="0.45">
      <c r="AC525" t="s">
        <v>19</v>
      </c>
      <c r="AD525" t="s">
        <v>285</v>
      </c>
      <c r="AE525">
        <v>2.7607187973445872E-3</v>
      </c>
    </row>
    <row r="526" spans="29:31" x14ac:dyDescent="0.45">
      <c r="AC526" t="s">
        <v>19</v>
      </c>
      <c r="AD526" t="s">
        <v>286</v>
      </c>
      <c r="AE526">
        <v>1.6543824201606831E-2</v>
      </c>
    </row>
    <row r="527" spans="29:31" x14ac:dyDescent="0.45">
      <c r="AC527" t="s">
        <v>19</v>
      </c>
      <c r="AD527" t="s">
        <v>287</v>
      </c>
      <c r="AE527">
        <v>8.1204047304715091E-3</v>
      </c>
    </row>
    <row r="528" spans="29:31" x14ac:dyDescent="0.45">
      <c r="AC528" t="s">
        <v>19</v>
      </c>
      <c r="AD528" t="s">
        <v>288</v>
      </c>
      <c r="AE528">
        <v>2.6874388553660201E-3</v>
      </c>
    </row>
    <row r="529" spans="29:31" x14ac:dyDescent="0.45">
      <c r="AC529" t="s">
        <v>19</v>
      </c>
      <c r="AD529" t="s">
        <v>289</v>
      </c>
      <c r="AE529">
        <v>2.6887363792415901E-3</v>
      </c>
    </row>
    <row r="530" spans="29:31" x14ac:dyDescent="0.45">
      <c r="AC530" t="s">
        <v>19</v>
      </c>
      <c r="AD530" t="s">
        <v>290</v>
      </c>
      <c r="AE530">
        <v>1.3632547399209377E-2</v>
      </c>
    </row>
    <row r="531" spans="29:31" x14ac:dyDescent="0.45">
      <c r="AC531" t="s">
        <v>19</v>
      </c>
      <c r="AD531" t="s">
        <v>1574</v>
      </c>
      <c r="AE531">
        <v>1.1561348444618116E-4</v>
      </c>
    </row>
    <row r="532" spans="29:31" x14ac:dyDescent="0.45">
      <c r="AC532" t="s">
        <v>19</v>
      </c>
      <c r="AD532" t="s">
        <v>1575</v>
      </c>
      <c r="AE532">
        <v>1.1539465294630849E-4</v>
      </c>
    </row>
    <row r="533" spans="29:31" x14ac:dyDescent="0.45">
      <c r="AC533" t="s">
        <v>19</v>
      </c>
      <c r="AD533" t="s">
        <v>1576</v>
      </c>
      <c r="AE533">
        <v>1.1536874886416807E-4</v>
      </c>
    </row>
    <row r="534" spans="29:31" x14ac:dyDescent="0.45">
      <c r="AC534" t="s">
        <v>19</v>
      </c>
      <c r="AD534" t="s">
        <v>1577</v>
      </c>
      <c r="AE534">
        <v>1.1536874886416807E-4</v>
      </c>
    </row>
    <row r="535" spans="29:31" x14ac:dyDescent="0.45">
      <c r="AC535" t="s">
        <v>19</v>
      </c>
      <c r="AD535" t="s">
        <v>1578</v>
      </c>
      <c r="AE535">
        <v>1.1534245815393602E-4</v>
      </c>
    </row>
    <row r="536" spans="29:31" x14ac:dyDescent="0.45">
      <c r="AC536" t="s">
        <v>19</v>
      </c>
      <c r="AD536" t="s">
        <v>1579</v>
      </c>
      <c r="AE536">
        <v>1.1534245815393602E-4</v>
      </c>
    </row>
    <row r="537" spans="29:31" x14ac:dyDescent="0.45">
      <c r="AC537" t="s">
        <v>19</v>
      </c>
      <c r="AD537" t="s">
        <v>1580</v>
      </c>
      <c r="AE537">
        <v>1.1535637676523533E-4</v>
      </c>
    </row>
    <row r="538" spans="29:31" x14ac:dyDescent="0.45">
      <c r="AC538" t="s">
        <v>19</v>
      </c>
      <c r="AD538" t="s">
        <v>1581</v>
      </c>
      <c r="AE538">
        <v>1.1545844658143037E-4</v>
      </c>
    </row>
    <row r="539" spans="29:31" x14ac:dyDescent="0.45">
      <c r="AC539" t="s">
        <v>19</v>
      </c>
      <c r="AD539" t="s">
        <v>1582</v>
      </c>
      <c r="AE539">
        <v>1.1547893787028769E-4</v>
      </c>
    </row>
    <row r="540" spans="29:31" x14ac:dyDescent="0.45">
      <c r="AC540" t="s">
        <v>19</v>
      </c>
      <c r="AD540" t="s">
        <v>1583</v>
      </c>
      <c r="AE540">
        <v>1.1553963848067643E-4</v>
      </c>
    </row>
    <row r="541" spans="29:31" x14ac:dyDescent="0.45">
      <c r="AC541" t="s">
        <v>19</v>
      </c>
      <c r="AD541" t="s">
        <v>1584</v>
      </c>
      <c r="AE541">
        <v>1.1556206290999198E-4</v>
      </c>
    </row>
    <row r="542" spans="29:31" x14ac:dyDescent="0.45">
      <c r="AC542" t="s">
        <v>19</v>
      </c>
      <c r="AD542" t="s">
        <v>1585</v>
      </c>
      <c r="AE542">
        <v>1.1534361803821095E-4</v>
      </c>
    </row>
    <row r="543" spans="29:31" x14ac:dyDescent="0.45">
      <c r="AC543" t="s">
        <v>19</v>
      </c>
      <c r="AD543" t="s">
        <v>1586</v>
      </c>
      <c r="AE543">
        <v>1.1508689698535679E-4</v>
      </c>
    </row>
    <row r="544" spans="29:31" x14ac:dyDescent="0.45">
      <c r="AC544" t="s">
        <v>19</v>
      </c>
      <c r="AD544" t="s">
        <v>1587</v>
      </c>
      <c r="AE544">
        <v>1.1429430939747868E-4</v>
      </c>
    </row>
    <row r="545" spans="29:31" x14ac:dyDescent="0.45">
      <c r="AC545" t="s">
        <v>19</v>
      </c>
      <c r="AD545" t="s">
        <v>1588</v>
      </c>
      <c r="AE545">
        <v>1.1361616372472835E-4</v>
      </c>
    </row>
    <row r="546" spans="29:31" x14ac:dyDescent="0.45">
      <c r="AC546" t="s">
        <v>19</v>
      </c>
      <c r="AD546" t="s">
        <v>1589</v>
      </c>
      <c r="AE546">
        <v>1.1258116032338704E-4</v>
      </c>
    </row>
    <row r="547" spans="29:31" x14ac:dyDescent="0.45">
      <c r="AC547" t="s">
        <v>19</v>
      </c>
      <c r="AD547" t="s">
        <v>1590</v>
      </c>
      <c r="AE547">
        <v>1.1233951776610713E-4</v>
      </c>
    </row>
    <row r="548" spans="29:31" x14ac:dyDescent="0.45">
      <c r="AC548" t="s">
        <v>19</v>
      </c>
      <c r="AD548" t="s">
        <v>1591</v>
      </c>
      <c r="AE548">
        <v>1.1207158449859516E-4</v>
      </c>
    </row>
    <row r="549" spans="29:31" x14ac:dyDescent="0.45">
      <c r="AC549" t="s">
        <v>19</v>
      </c>
      <c r="AD549" t="s">
        <v>1592</v>
      </c>
      <c r="AE549">
        <v>1.1215045662929132E-4</v>
      </c>
    </row>
    <row r="550" spans="29:31" x14ac:dyDescent="0.45">
      <c r="AC550" t="s">
        <v>19</v>
      </c>
      <c r="AD550" t="s">
        <v>1593</v>
      </c>
      <c r="AE550">
        <v>1.121840932732647E-4</v>
      </c>
    </row>
    <row r="551" spans="29:31" x14ac:dyDescent="0.45">
      <c r="AC551" t="s">
        <v>19</v>
      </c>
      <c r="AD551" t="s">
        <v>1594</v>
      </c>
      <c r="AE551">
        <v>1.1323842807918839E-4</v>
      </c>
    </row>
    <row r="552" spans="29:31" x14ac:dyDescent="0.45">
      <c r="AC552" t="s">
        <v>19</v>
      </c>
      <c r="AD552" t="s">
        <v>1595</v>
      </c>
      <c r="AE552">
        <v>1.1427497799289629E-4</v>
      </c>
    </row>
    <row r="553" spans="29:31" x14ac:dyDescent="0.45">
      <c r="AC553" t="s">
        <v>19</v>
      </c>
      <c r="AD553" t="s">
        <v>1596</v>
      </c>
      <c r="AE553">
        <v>1.1499758589618612E-4</v>
      </c>
    </row>
    <row r="554" spans="29:31" x14ac:dyDescent="0.45">
      <c r="AC554" t="s">
        <v>19</v>
      </c>
      <c r="AD554" t="s">
        <v>1597</v>
      </c>
      <c r="AE554">
        <v>1.1567882459366964E-4</v>
      </c>
    </row>
    <row r="555" spans="29:31" x14ac:dyDescent="0.45">
      <c r="AC555" t="s">
        <v>19</v>
      </c>
      <c r="AD555" t="s">
        <v>1598</v>
      </c>
      <c r="AE555">
        <v>1.1561348444618116E-4</v>
      </c>
    </row>
    <row r="556" spans="29:31" x14ac:dyDescent="0.45">
      <c r="AC556" t="s">
        <v>19</v>
      </c>
      <c r="AD556" t="s">
        <v>1599</v>
      </c>
      <c r="AE556">
        <v>1.1534709769103579E-4</v>
      </c>
    </row>
    <row r="557" spans="29:31" x14ac:dyDescent="0.45">
      <c r="AC557" t="s">
        <v>19</v>
      </c>
      <c r="AD557" t="s">
        <v>1600</v>
      </c>
      <c r="AE557">
        <v>1.1535483025286875E-4</v>
      </c>
    </row>
    <row r="558" spans="29:31" x14ac:dyDescent="0.45">
      <c r="AC558" t="s">
        <v>19</v>
      </c>
      <c r="AD558" t="s">
        <v>1601</v>
      </c>
      <c r="AE558">
        <v>1.1531616744370397E-4</v>
      </c>
    </row>
    <row r="559" spans="29:31" x14ac:dyDescent="0.45">
      <c r="AC559" t="s">
        <v>19</v>
      </c>
      <c r="AD559" t="s">
        <v>1602</v>
      </c>
      <c r="AE559">
        <v>1.1530379534477123E-4</v>
      </c>
    </row>
    <row r="560" spans="29:31" x14ac:dyDescent="0.45">
      <c r="AC560" t="s">
        <v>19</v>
      </c>
      <c r="AD560" t="s">
        <v>1603</v>
      </c>
      <c r="AE560">
        <v>1.1530379534477123E-4</v>
      </c>
    </row>
    <row r="561" spans="29:31" x14ac:dyDescent="0.45">
      <c r="AC561" t="s">
        <v>19</v>
      </c>
      <c r="AD561" t="s">
        <v>1604</v>
      </c>
      <c r="AE561">
        <v>1.1531771395607054E-4</v>
      </c>
    </row>
    <row r="562" spans="29:31" x14ac:dyDescent="0.45">
      <c r="AC562" t="s">
        <v>19</v>
      </c>
      <c r="AD562" t="s">
        <v>1605</v>
      </c>
      <c r="AE562">
        <v>1.1542558319364031E-4</v>
      </c>
    </row>
    <row r="563" spans="29:31" x14ac:dyDescent="0.45">
      <c r="AC563" t="s">
        <v>19</v>
      </c>
      <c r="AD563" t="s">
        <v>1606</v>
      </c>
      <c r="AE563">
        <v>1.1547893787028772E-4</v>
      </c>
    </row>
    <row r="564" spans="29:31" x14ac:dyDescent="0.45">
      <c r="AC564" t="s">
        <v>19</v>
      </c>
      <c r="AD564" t="s">
        <v>1607</v>
      </c>
      <c r="AE564">
        <v>1.1553963848067643E-4</v>
      </c>
    </row>
    <row r="565" spans="29:31" x14ac:dyDescent="0.45">
      <c r="AC565" t="s">
        <v>19</v>
      </c>
      <c r="AD565" t="s">
        <v>1608</v>
      </c>
      <c r="AE565">
        <v>1.155419582492263E-4</v>
      </c>
    </row>
    <row r="566" spans="29:31" x14ac:dyDescent="0.45">
      <c r="AC566" t="s">
        <v>19</v>
      </c>
      <c r="AD566" t="s">
        <v>1609</v>
      </c>
      <c r="AE566">
        <v>1.1524348136247417E-4</v>
      </c>
    </row>
    <row r="567" spans="29:31" x14ac:dyDescent="0.45">
      <c r="AC567" t="s">
        <v>19</v>
      </c>
      <c r="AD567" t="s">
        <v>1610</v>
      </c>
      <c r="AE567">
        <v>1.1493108586442271E-4</v>
      </c>
    </row>
    <row r="568" spans="29:31" x14ac:dyDescent="0.45">
      <c r="AC568" t="s">
        <v>19</v>
      </c>
      <c r="AD568" t="s">
        <v>1611</v>
      </c>
      <c r="AE568">
        <v>1.142475273983893E-4</v>
      </c>
    </row>
    <row r="569" spans="29:31" x14ac:dyDescent="0.45">
      <c r="AC569" t="s">
        <v>19</v>
      </c>
      <c r="AD569" t="s">
        <v>1612</v>
      </c>
      <c r="AE569">
        <v>1.1361616372472835E-4</v>
      </c>
    </row>
    <row r="570" spans="29:31" x14ac:dyDescent="0.45">
      <c r="AC570" t="s">
        <v>19</v>
      </c>
      <c r="AD570" t="s">
        <v>1613</v>
      </c>
      <c r="AE570">
        <v>1.1258116032338704E-4</v>
      </c>
    </row>
    <row r="571" spans="29:31" x14ac:dyDescent="0.45">
      <c r="AC571" t="s">
        <v>19</v>
      </c>
      <c r="AD571" t="s">
        <v>1614</v>
      </c>
      <c r="AE571">
        <v>1.1232327938625792E-4</v>
      </c>
    </row>
    <row r="572" spans="29:31" x14ac:dyDescent="0.45">
      <c r="AC572" t="s">
        <v>19</v>
      </c>
      <c r="AD572" t="s">
        <v>1615</v>
      </c>
      <c r="AE572">
        <v>1.1205534611874595E-4</v>
      </c>
    </row>
    <row r="573" spans="29:31" x14ac:dyDescent="0.45">
      <c r="AC573" t="s">
        <v>19</v>
      </c>
      <c r="AD573" t="s">
        <v>1616</v>
      </c>
      <c r="AE573">
        <v>1.1213421824944213E-4</v>
      </c>
    </row>
    <row r="574" spans="29:31" x14ac:dyDescent="0.45">
      <c r="AC574" t="s">
        <v>19</v>
      </c>
      <c r="AD574" t="s">
        <v>1617</v>
      </c>
      <c r="AE574">
        <v>1.1218138687662316E-4</v>
      </c>
    </row>
    <row r="575" spans="29:31" x14ac:dyDescent="0.45">
      <c r="AC575" t="s">
        <v>19</v>
      </c>
      <c r="AD575" t="s">
        <v>1618</v>
      </c>
      <c r="AE575">
        <v>1.1323842807918839E-4</v>
      </c>
    </row>
    <row r="576" spans="29:31" x14ac:dyDescent="0.45">
      <c r="AC576" t="s">
        <v>19</v>
      </c>
      <c r="AD576" t="s">
        <v>1619</v>
      </c>
      <c r="AE576">
        <v>1.1405073369974054E-4</v>
      </c>
    </row>
    <row r="577" spans="29:31" x14ac:dyDescent="0.45">
      <c r="AC577" t="s">
        <v>19</v>
      </c>
      <c r="AD577" t="s">
        <v>1620</v>
      </c>
      <c r="AE577">
        <v>1.1487811781586695E-4</v>
      </c>
    </row>
    <row r="578" spans="29:31" x14ac:dyDescent="0.45">
      <c r="AC578" t="s">
        <v>19</v>
      </c>
      <c r="AD578" t="s">
        <v>1621</v>
      </c>
      <c r="AE578">
        <v>1.1555974314144211E-4</v>
      </c>
    </row>
    <row r="579" spans="29:31" x14ac:dyDescent="0.45">
      <c r="AC579" t="s">
        <v>19</v>
      </c>
      <c r="AD579" t="s">
        <v>1622</v>
      </c>
      <c r="AE579">
        <v>1.1555007743915091E-4</v>
      </c>
    </row>
    <row r="580" spans="29:31" x14ac:dyDescent="0.45">
      <c r="AC580" t="s">
        <v>19</v>
      </c>
      <c r="AD580" t="s">
        <v>1623</v>
      </c>
      <c r="AE580">
        <v>1.1534709769103579E-4</v>
      </c>
    </row>
    <row r="581" spans="29:31" x14ac:dyDescent="0.45">
      <c r="AC581" t="s">
        <v>19</v>
      </c>
      <c r="AD581" t="s">
        <v>1624</v>
      </c>
      <c r="AE581">
        <v>1.1536874886416807E-4</v>
      </c>
    </row>
    <row r="582" spans="29:31" x14ac:dyDescent="0.45">
      <c r="AC582" t="s">
        <v>19</v>
      </c>
      <c r="AD582" t="s">
        <v>1625</v>
      </c>
      <c r="AE582">
        <v>1.1536874886416807E-4</v>
      </c>
    </row>
    <row r="583" spans="29:31" x14ac:dyDescent="0.45">
      <c r="AC583" t="s">
        <v>19</v>
      </c>
      <c r="AD583" t="s">
        <v>1626</v>
      </c>
      <c r="AE583">
        <v>1.1535676339332698E-4</v>
      </c>
    </row>
    <row r="584" spans="29:31" x14ac:dyDescent="0.45">
      <c r="AC584" t="s">
        <v>19</v>
      </c>
      <c r="AD584" t="s">
        <v>1627</v>
      </c>
      <c r="AE584">
        <v>1.153714552608096E-4</v>
      </c>
    </row>
    <row r="585" spans="29:31" x14ac:dyDescent="0.45">
      <c r="AC585" t="s">
        <v>19</v>
      </c>
      <c r="AD585" t="s">
        <v>1628</v>
      </c>
      <c r="AE585">
        <v>1.1538537387210892E-4</v>
      </c>
    </row>
    <row r="586" spans="29:31" x14ac:dyDescent="0.45">
      <c r="AC586" t="s">
        <v>19</v>
      </c>
      <c r="AD586" t="s">
        <v>1629</v>
      </c>
      <c r="AE586">
        <v>1.1547313844891299E-4</v>
      </c>
    </row>
    <row r="587" spans="29:31" x14ac:dyDescent="0.45">
      <c r="AC587" t="s">
        <v>19</v>
      </c>
      <c r="AD587" t="s">
        <v>1630</v>
      </c>
      <c r="AE587">
        <v>1.1555046406724256E-4</v>
      </c>
    </row>
    <row r="588" spans="29:31" x14ac:dyDescent="0.45">
      <c r="AC588" t="s">
        <v>19</v>
      </c>
      <c r="AD588" t="s">
        <v>1631</v>
      </c>
      <c r="AE588">
        <v>1.1566915889137845E-4</v>
      </c>
    </row>
    <row r="589" spans="29:31" x14ac:dyDescent="0.45">
      <c r="AC589" t="s">
        <v>19</v>
      </c>
      <c r="AD589" t="s">
        <v>1632</v>
      </c>
      <c r="AE589">
        <v>1.1579867930208048E-4</v>
      </c>
    </row>
    <row r="590" spans="29:31" x14ac:dyDescent="0.45">
      <c r="AC590" t="s">
        <v>19</v>
      </c>
      <c r="AD590" t="s">
        <v>1633</v>
      </c>
      <c r="AE590">
        <v>1.1550020241532834E-4</v>
      </c>
    </row>
    <row r="591" spans="29:31" x14ac:dyDescent="0.45">
      <c r="AC591" t="s">
        <v>19</v>
      </c>
      <c r="AD591" t="s">
        <v>1634</v>
      </c>
      <c r="AE591">
        <v>1.1518664703300193E-4</v>
      </c>
    </row>
    <row r="592" spans="29:31" x14ac:dyDescent="0.45">
      <c r="AC592" t="s">
        <v>19</v>
      </c>
      <c r="AD592" t="s">
        <v>1635</v>
      </c>
      <c r="AE592">
        <v>1.1429430939747868E-4</v>
      </c>
    </row>
    <row r="593" spans="29:31" x14ac:dyDescent="0.45">
      <c r="AC593" t="s">
        <v>19</v>
      </c>
      <c r="AD593" t="s">
        <v>1636</v>
      </c>
      <c r="AE593">
        <v>1.1362505617083625E-4</v>
      </c>
    </row>
    <row r="594" spans="29:31" x14ac:dyDescent="0.45">
      <c r="AC594" t="s">
        <v>19</v>
      </c>
      <c r="AD594" t="s">
        <v>1637</v>
      </c>
      <c r="AE594">
        <v>1.1258116032338704E-4</v>
      </c>
    </row>
    <row r="595" spans="29:31" x14ac:dyDescent="0.45">
      <c r="AC595" t="s">
        <v>19</v>
      </c>
      <c r="AD595" t="s">
        <v>1638</v>
      </c>
      <c r="AE595">
        <v>1.1233951776610713E-4</v>
      </c>
    </row>
    <row r="596" spans="29:31" x14ac:dyDescent="0.45">
      <c r="AC596" t="s">
        <v>19</v>
      </c>
      <c r="AD596" t="s">
        <v>1639</v>
      </c>
      <c r="AE596">
        <v>1.1207158449859516E-4</v>
      </c>
    </row>
    <row r="597" spans="29:31" x14ac:dyDescent="0.45">
      <c r="AC597" t="s">
        <v>19</v>
      </c>
      <c r="AD597" t="s">
        <v>1640</v>
      </c>
      <c r="AE597">
        <v>1.1215045662929132E-4</v>
      </c>
    </row>
    <row r="598" spans="29:31" x14ac:dyDescent="0.45">
      <c r="AC598" t="s">
        <v>19</v>
      </c>
      <c r="AD598" t="s">
        <v>1641</v>
      </c>
      <c r="AE598">
        <v>1.121840932732647E-4</v>
      </c>
    </row>
    <row r="599" spans="29:31" x14ac:dyDescent="0.45">
      <c r="AC599" t="s">
        <v>19</v>
      </c>
      <c r="AD599" t="s">
        <v>1642</v>
      </c>
      <c r="AE599">
        <v>1.1323842807918839E-4</v>
      </c>
    </row>
    <row r="600" spans="29:31" x14ac:dyDescent="0.45">
      <c r="AC600" t="s">
        <v>19</v>
      </c>
      <c r="AD600" t="s">
        <v>1643</v>
      </c>
      <c r="AE600">
        <v>1.1419687911838343E-4</v>
      </c>
    </row>
    <row r="601" spans="29:31" x14ac:dyDescent="0.45">
      <c r="AC601" t="s">
        <v>19</v>
      </c>
      <c r="AD601" t="s">
        <v>1644</v>
      </c>
      <c r="AE601">
        <v>1.1487811781586695E-4</v>
      </c>
    </row>
    <row r="602" spans="29:31" x14ac:dyDescent="0.45">
      <c r="AC602" t="s">
        <v>19</v>
      </c>
      <c r="AD602" t="s">
        <v>1645</v>
      </c>
      <c r="AE602">
        <v>1.1555974314144211E-4</v>
      </c>
    </row>
    <row r="603" spans="29:31" x14ac:dyDescent="0.45">
      <c r="AC603" t="s">
        <v>19</v>
      </c>
      <c r="AD603" t="s">
        <v>1646</v>
      </c>
      <c r="AE603">
        <v>1.1556786233136673E-4</v>
      </c>
    </row>
    <row r="604" spans="29:31" x14ac:dyDescent="0.45">
      <c r="AC604" t="s">
        <v>19</v>
      </c>
      <c r="AD604" t="s">
        <v>1647</v>
      </c>
      <c r="AE604">
        <v>1.1534709769103579E-4</v>
      </c>
    </row>
    <row r="605" spans="29:31" x14ac:dyDescent="0.45">
      <c r="AC605" t="s">
        <v>19</v>
      </c>
      <c r="AD605" t="s">
        <v>1648</v>
      </c>
      <c r="AE605">
        <v>1.1535483025286875E-4</v>
      </c>
    </row>
    <row r="606" spans="29:31" x14ac:dyDescent="0.45">
      <c r="AC606" t="s">
        <v>19</v>
      </c>
      <c r="AD606" t="s">
        <v>1649</v>
      </c>
      <c r="AE606">
        <v>1.1535483025286875E-4</v>
      </c>
    </row>
    <row r="607" spans="29:31" x14ac:dyDescent="0.45">
      <c r="AC607" t="s">
        <v>19</v>
      </c>
      <c r="AD607" t="s">
        <v>1650</v>
      </c>
      <c r="AE607">
        <v>1.1530379534477123E-4</v>
      </c>
    </row>
    <row r="608" spans="29:31" x14ac:dyDescent="0.45">
      <c r="AC608" t="s">
        <v>19</v>
      </c>
      <c r="AD608" t="s">
        <v>1651</v>
      </c>
      <c r="AE608">
        <v>1.1530379534477123E-4</v>
      </c>
    </row>
    <row r="609" spans="29:31" x14ac:dyDescent="0.45">
      <c r="AC609" t="s">
        <v>19</v>
      </c>
      <c r="AD609" t="s">
        <v>1652</v>
      </c>
      <c r="AE609">
        <v>1.1531771395607057E-4</v>
      </c>
    </row>
    <row r="610" spans="29:31" x14ac:dyDescent="0.45">
      <c r="AC610" t="s">
        <v>19</v>
      </c>
      <c r="AD610" t="s">
        <v>1653</v>
      </c>
      <c r="AE610">
        <v>1.1547313844891299E-4</v>
      </c>
    </row>
    <row r="611" spans="29:31" x14ac:dyDescent="0.45">
      <c r="AC611" t="s">
        <v>19</v>
      </c>
      <c r="AD611" t="s">
        <v>1654</v>
      </c>
      <c r="AE611">
        <v>1.1547893787028772E-4</v>
      </c>
    </row>
    <row r="612" spans="29:31" x14ac:dyDescent="0.45">
      <c r="AC612" t="s">
        <v>19</v>
      </c>
      <c r="AD612" t="s">
        <v>1655</v>
      </c>
      <c r="AE612">
        <v>1.1561116467763129E-4</v>
      </c>
    </row>
    <row r="613" spans="29:31" x14ac:dyDescent="0.45">
      <c r="AC613" t="s">
        <v>19</v>
      </c>
      <c r="AD613" t="s">
        <v>1656</v>
      </c>
      <c r="AE613">
        <v>1.1579867930208049E-4</v>
      </c>
    </row>
    <row r="614" spans="29:31" x14ac:dyDescent="0.45">
      <c r="AC614" t="s">
        <v>19</v>
      </c>
      <c r="AD614" t="s">
        <v>1657</v>
      </c>
      <c r="AE614">
        <v>1.1550020241532834E-4</v>
      </c>
    </row>
    <row r="615" spans="29:31" x14ac:dyDescent="0.45">
      <c r="AC615" t="s">
        <v>19</v>
      </c>
      <c r="AD615" t="s">
        <v>1658</v>
      </c>
      <c r="AE615">
        <v>1.1518664703300194E-4</v>
      </c>
    </row>
    <row r="616" spans="29:31" x14ac:dyDescent="0.45">
      <c r="AC616" t="s">
        <v>19</v>
      </c>
      <c r="AD616" t="s">
        <v>1659</v>
      </c>
      <c r="AE616">
        <v>1.1445746645215409E-4</v>
      </c>
    </row>
    <row r="617" spans="29:31" x14ac:dyDescent="0.45">
      <c r="AC617" t="s">
        <v>19</v>
      </c>
      <c r="AD617" t="s">
        <v>1660</v>
      </c>
      <c r="AE617">
        <v>1.136884631778665E-4</v>
      </c>
    </row>
    <row r="618" spans="29:31" x14ac:dyDescent="0.45">
      <c r="AC618" t="s">
        <v>19</v>
      </c>
      <c r="AD618" t="s">
        <v>1661</v>
      </c>
      <c r="AE618">
        <v>1.1243965444184394E-4</v>
      </c>
    </row>
    <row r="619" spans="29:31" x14ac:dyDescent="0.45">
      <c r="AC619" t="s">
        <v>19</v>
      </c>
      <c r="AD619" t="s">
        <v>1662</v>
      </c>
      <c r="AE619">
        <v>1.1213421824944213E-4</v>
      </c>
    </row>
    <row r="620" spans="29:31" x14ac:dyDescent="0.45">
      <c r="AC620" t="s">
        <v>19</v>
      </c>
      <c r="AD620" t="s">
        <v>1663</v>
      </c>
      <c r="AE620">
        <v>1.1178857273550894E-4</v>
      </c>
    </row>
    <row r="621" spans="29:31" x14ac:dyDescent="0.45">
      <c r="AC621" t="s">
        <v>19</v>
      </c>
      <c r="AD621" t="s">
        <v>1664</v>
      </c>
      <c r="AE621">
        <v>1.1175222969489406E-4</v>
      </c>
    </row>
    <row r="622" spans="29:31" x14ac:dyDescent="0.45">
      <c r="AC622" t="s">
        <v>19</v>
      </c>
      <c r="AD622" t="s">
        <v>1665</v>
      </c>
      <c r="AE622">
        <v>1.1178586633886741E-4</v>
      </c>
    </row>
    <row r="623" spans="29:31" x14ac:dyDescent="0.45">
      <c r="AC623" t="s">
        <v>19</v>
      </c>
      <c r="AD623" t="s">
        <v>1666</v>
      </c>
      <c r="AE623">
        <v>1.1215818919112429E-4</v>
      </c>
    </row>
    <row r="624" spans="29:31" x14ac:dyDescent="0.45">
      <c r="AC624" t="s">
        <v>19</v>
      </c>
      <c r="AD624" t="s">
        <v>1667</v>
      </c>
      <c r="AE624">
        <v>1.1255216321651345E-4</v>
      </c>
    </row>
    <row r="625" spans="29:31" x14ac:dyDescent="0.45">
      <c r="AC625" t="s">
        <v>19</v>
      </c>
      <c r="AD625" t="s">
        <v>1668</v>
      </c>
      <c r="AE625">
        <v>1.1314409082482632E-4</v>
      </c>
    </row>
    <row r="626" spans="29:31" x14ac:dyDescent="0.45">
      <c r="AC626" t="s">
        <v>19</v>
      </c>
      <c r="AD626" t="s">
        <v>1669</v>
      </c>
      <c r="AE626">
        <v>1.1354734392441505E-4</v>
      </c>
    </row>
    <row r="627" spans="29:31" x14ac:dyDescent="0.45">
      <c r="AC627" t="s">
        <v>19</v>
      </c>
      <c r="AD627" t="s">
        <v>948</v>
      </c>
      <c r="AE627">
        <v>1.1369503585542452E-4</v>
      </c>
    </row>
    <row r="628" spans="29:31" x14ac:dyDescent="0.45">
      <c r="AC628" t="s">
        <v>19</v>
      </c>
      <c r="AD628" t="s">
        <v>949</v>
      </c>
      <c r="AE628">
        <v>1.1371204749145701E-4</v>
      </c>
    </row>
    <row r="629" spans="29:31" x14ac:dyDescent="0.45">
      <c r="AC629" t="s">
        <v>19</v>
      </c>
      <c r="AD629" t="s">
        <v>950</v>
      </c>
      <c r="AE629">
        <v>1.1360533813816223E-4</v>
      </c>
    </row>
    <row r="630" spans="29:31" x14ac:dyDescent="0.45">
      <c r="AC630" t="s">
        <v>19</v>
      </c>
      <c r="AD630" t="s">
        <v>951</v>
      </c>
      <c r="AE630">
        <v>1.1358330033693829E-4</v>
      </c>
    </row>
    <row r="631" spans="29:31" x14ac:dyDescent="0.45">
      <c r="AC631" t="s">
        <v>19</v>
      </c>
      <c r="AD631" t="s">
        <v>952</v>
      </c>
      <c r="AE631">
        <v>1.135713148660972E-4</v>
      </c>
    </row>
    <row r="632" spans="29:31" x14ac:dyDescent="0.45">
      <c r="AC632" t="s">
        <v>19</v>
      </c>
      <c r="AD632" t="s">
        <v>953</v>
      </c>
      <c r="AE632">
        <v>1.1361771023709495E-4</v>
      </c>
    </row>
    <row r="633" spans="29:31" x14ac:dyDescent="0.45">
      <c r="AC633" t="s">
        <v>19</v>
      </c>
      <c r="AD633" t="s">
        <v>954</v>
      </c>
      <c r="AE633">
        <v>1.1365946607099291E-4</v>
      </c>
    </row>
    <row r="634" spans="29:31" x14ac:dyDescent="0.45">
      <c r="AC634" t="s">
        <v>19</v>
      </c>
      <c r="AD634" t="s">
        <v>955</v>
      </c>
      <c r="AE634">
        <v>1.1419726574647507E-4</v>
      </c>
    </row>
    <row r="635" spans="29:31" x14ac:dyDescent="0.45">
      <c r="AC635" t="s">
        <v>19</v>
      </c>
      <c r="AD635" t="s">
        <v>956</v>
      </c>
      <c r="AE635">
        <v>1.1449419612086063E-4</v>
      </c>
    </row>
    <row r="636" spans="29:31" x14ac:dyDescent="0.45">
      <c r="AC636" t="s">
        <v>19</v>
      </c>
      <c r="AD636" t="s">
        <v>957</v>
      </c>
      <c r="AE636">
        <v>1.1451468740971797E-4</v>
      </c>
    </row>
    <row r="637" spans="29:31" x14ac:dyDescent="0.45">
      <c r="AC637" t="s">
        <v>19</v>
      </c>
      <c r="AD637" t="s">
        <v>958</v>
      </c>
      <c r="AE637">
        <v>1.1475903636363941E-4</v>
      </c>
    </row>
    <row r="638" spans="29:31" x14ac:dyDescent="0.45">
      <c r="AC638" t="s">
        <v>19</v>
      </c>
      <c r="AD638" t="s">
        <v>959</v>
      </c>
      <c r="AE638">
        <v>1.1472385320729945E-4</v>
      </c>
    </row>
    <row r="639" spans="29:31" x14ac:dyDescent="0.45">
      <c r="AC639" t="s">
        <v>19</v>
      </c>
      <c r="AD639" t="s">
        <v>960</v>
      </c>
      <c r="AE639">
        <v>1.1445862633642903E-4</v>
      </c>
    </row>
    <row r="640" spans="29:31" x14ac:dyDescent="0.45">
      <c r="AC640" t="s">
        <v>19</v>
      </c>
      <c r="AD640" t="s">
        <v>961</v>
      </c>
      <c r="AE640">
        <v>1.1414043141700283E-4</v>
      </c>
    </row>
    <row r="641" spans="29:31" x14ac:dyDescent="0.45">
      <c r="AC641" t="s">
        <v>19</v>
      </c>
      <c r="AD641" t="s">
        <v>962</v>
      </c>
      <c r="AE641">
        <v>1.1342439619127102E-4</v>
      </c>
    </row>
    <row r="642" spans="29:31" x14ac:dyDescent="0.45">
      <c r="AC642" t="s">
        <v>19</v>
      </c>
      <c r="AD642" t="s">
        <v>963</v>
      </c>
      <c r="AE642">
        <v>1.1243965444184394E-4</v>
      </c>
    </row>
    <row r="643" spans="29:31" x14ac:dyDescent="0.45">
      <c r="AC643" t="s">
        <v>19</v>
      </c>
      <c r="AD643" t="s">
        <v>964</v>
      </c>
      <c r="AE643">
        <v>1.1213421824944213E-4</v>
      </c>
    </row>
    <row r="644" spans="29:31" x14ac:dyDescent="0.45">
      <c r="AC644" t="s">
        <v>19</v>
      </c>
      <c r="AD644" t="s">
        <v>965</v>
      </c>
      <c r="AE644">
        <v>1.1178857273550894E-4</v>
      </c>
    </row>
    <row r="645" spans="29:31" x14ac:dyDescent="0.45">
      <c r="AC645" t="s">
        <v>19</v>
      </c>
      <c r="AD645" t="s">
        <v>966</v>
      </c>
      <c r="AE645">
        <v>1.1175222969489406E-4</v>
      </c>
    </row>
    <row r="646" spans="29:31" x14ac:dyDescent="0.45">
      <c r="AC646" t="s">
        <v>19</v>
      </c>
      <c r="AD646" t="s">
        <v>967</v>
      </c>
      <c r="AE646">
        <v>1.1182220937948231E-4</v>
      </c>
    </row>
    <row r="647" spans="29:31" x14ac:dyDescent="0.45">
      <c r="AC647" t="s">
        <v>19</v>
      </c>
      <c r="AD647" t="s">
        <v>968</v>
      </c>
      <c r="AE647">
        <v>1.1218100024853153E-4</v>
      </c>
    </row>
    <row r="648" spans="29:31" x14ac:dyDescent="0.45">
      <c r="AC648" t="s">
        <v>19</v>
      </c>
      <c r="AD648" t="s">
        <v>969</v>
      </c>
      <c r="AE648">
        <v>1.1257922718292881E-4</v>
      </c>
    </row>
    <row r="649" spans="29:31" x14ac:dyDescent="0.45">
      <c r="AC649" t="s">
        <v>19</v>
      </c>
      <c r="AD649" t="s">
        <v>970</v>
      </c>
      <c r="AE649">
        <v>1.1314409082482632E-4</v>
      </c>
    </row>
    <row r="650" spans="29:31" x14ac:dyDescent="0.45">
      <c r="AC650" t="s">
        <v>19</v>
      </c>
      <c r="AD650" t="s">
        <v>971</v>
      </c>
      <c r="AE650">
        <v>1.1354734392441505E-4</v>
      </c>
    </row>
    <row r="651" spans="29:31" x14ac:dyDescent="0.45">
      <c r="AC651" t="s">
        <v>19</v>
      </c>
      <c r="AD651" t="s">
        <v>1670</v>
      </c>
      <c r="AE651">
        <v>1.1369503585542452E-4</v>
      </c>
    </row>
    <row r="652" spans="29:31" x14ac:dyDescent="0.45">
      <c r="AC652" t="s">
        <v>19</v>
      </c>
      <c r="AD652" t="s">
        <v>1671</v>
      </c>
      <c r="AE652">
        <v>1.1385316674490849E-4</v>
      </c>
    </row>
    <row r="653" spans="29:31" x14ac:dyDescent="0.45">
      <c r="AC653" t="s">
        <v>19</v>
      </c>
      <c r="AD653" t="s">
        <v>1672</v>
      </c>
      <c r="AE653">
        <v>1.136053381381622E-4</v>
      </c>
    </row>
    <row r="654" spans="29:31" x14ac:dyDescent="0.45">
      <c r="AC654" t="s">
        <v>19</v>
      </c>
      <c r="AD654" t="s">
        <v>1673</v>
      </c>
      <c r="AE654">
        <v>1.1358330033693828E-4</v>
      </c>
    </row>
    <row r="655" spans="29:31" x14ac:dyDescent="0.45">
      <c r="AC655" t="s">
        <v>19</v>
      </c>
      <c r="AD655" t="s">
        <v>1674</v>
      </c>
      <c r="AE655">
        <v>1.135713148660972E-4</v>
      </c>
    </row>
    <row r="656" spans="29:31" x14ac:dyDescent="0.45">
      <c r="AC656" t="s">
        <v>19</v>
      </c>
      <c r="AD656" t="s">
        <v>1675</v>
      </c>
      <c r="AE656">
        <v>1.1361771023709495E-4</v>
      </c>
    </row>
    <row r="657" spans="29:31" x14ac:dyDescent="0.45">
      <c r="AC657" t="s">
        <v>19</v>
      </c>
      <c r="AD657" t="s">
        <v>1676</v>
      </c>
      <c r="AE657">
        <v>1.1365946607099291E-4</v>
      </c>
    </row>
    <row r="658" spans="29:31" x14ac:dyDescent="0.45">
      <c r="AC658" t="s">
        <v>19</v>
      </c>
      <c r="AD658" t="s">
        <v>1677</v>
      </c>
      <c r="AE658">
        <v>1.1419726574647507E-4</v>
      </c>
    </row>
    <row r="659" spans="29:31" x14ac:dyDescent="0.45">
      <c r="AC659" t="s">
        <v>19</v>
      </c>
      <c r="AD659" t="s">
        <v>1678</v>
      </c>
      <c r="AE659">
        <v>1.1455180370651616E-4</v>
      </c>
    </row>
    <row r="660" spans="29:31" x14ac:dyDescent="0.45">
      <c r="AC660" t="s">
        <v>19</v>
      </c>
      <c r="AD660" t="s">
        <v>1679</v>
      </c>
      <c r="AE660">
        <v>1.1465967294408591E-4</v>
      </c>
    </row>
    <row r="661" spans="29:31" x14ac:dyDescent="0.45">
      <c r="AC661" t="s">
        <v>19</v>
      </c>
      <c r="AD661" t="s">
        <v>1680</v>
      </c>
      <c r="AE661">
        <v>1.1475903636363941E-4</v>
      </c>
    </row>
    <row r="662" spans="29:31" x14ac:dyDescent="0.45">
      <c r="AC662" t="s">
        <v>19</v>
      </c>
      <c r="AD662" t="s">
        <v>1681</v>
      </c>
      <c r="AE662">
        <v>1.1465812643171931E-4</v>
      </c>
    </row>
    <row r="663" spans="29:31" x14ac:dyDescent="0.45">
      <c r="AC663" t="s">
        <v>19</v>
      </c>
      <c r="AD663" t="s">
        <v>1682</v>
      </c>
      <c r="AE663">
        <v>1.144068181721482E-4</v>
      </c>
    </row>
    <row r="664" spans="29:31" x14ac:dyDescent="0.45">
      <c r="AC664" t="s">
        <v>19</v>
      </c>
      <c r="AD664" t="s">
        <v>1683</v>
      </c>
      <c r="AE664">
        <v>1.1410099535165476E-4</v>
      </c>
    </row>
    <row r="665" spans="29:31" x14ac:dyDescent="0.45">
      <c r="AC665" t="s">
        <v>19</v>
      </c>
      <c r="AD665" t="s">
        <v>1684</v>
      </c>
      <c r="AE665">
        <v>1.1346189911616085E-4</v>
      </c>
    </row>
    <row r="666" spans="29:31" x14ac:dyDescent="0.45">
      <c r="AC666" t="s">
        <v>19</v>
      </c>
      <c r="AD666" t="s">
        <v>1685</v>
      </c>
      <c r="AE666">
        <v>1.1260087835606109E-4</v>
      </c>
    </row>
    <row r="667" spans="29:31" x14ac:dyDescent="0.45">
      <c r="AC667" t="s">
        <v>19</v>
      </c>
      <c r="AD667" t="s">
        <v>1686</v>
      </c>
      <c r="AE667">
        <v>1.1235923579878118E-4</v>
      </c>
    </row>
    <row r="668" spans="29:31" x14ac:dyDescent="0.45">
      <c r="AC668" t="s">
        <v>19</v>
      </c>
      <c r="AD668" t="s">
        <v>1687</v>
      </c>
      <c r="AE668">
        <v>1.1207158449859519E-4</v>
      </c>
    </row>
    <row r="669" spans="29:31" x14ac:dyDescent="0.45">
      <c r="AC669" t="s">
        <v>19</v>
      </c>
      <c r="AD669" t="s">
        <v>1688</v>
      </c>
      <c r="AE669">
        <v>1.1215045662929135E-4</v>
      </c>
    </row>
    <row r="670" spans="29:31" x14ac:dyDescent="0.45">
      <c r="AC670" t="s">
        <v>19</v>
      </c>
      <c r="AD670" t="s">
        <v>1689</v>
      </c>
      <c r="AE670">
        <v>1.121840932732647E-4</v>
      </c>
    </row>
    <row r="671" spans="29:31" x14ac:dyDescent="0.45">
      <c r="AC671" t="s">
        <v>19</v>
      </c>
      <c r="AD671" t="s">
        <v>1690</v>
      </c>
      <c r="AE671">
        <v>1.1323842807918839E-4</v>
      </c>
    </row>
    <row r="672" spans="29:31" x14ac:dyDescent="0.45">
      <c r="AC672" t="s">
        <v>19</v>
      </c>
      <c r="AD672" t="s">
        <v>1691</v>
      </c>
      <c r="AE672">
        <v>1.1435501000786739E-4</v>
      </c>
    </row>
    <row r="673" spans="29:31" x14ac:dyDescent="0.45">
      <c r="AC673" t="s">
        <v>19</v>
      </c>
      <c r="AD673" t="s">
        <v>1692</v>
      </c>
      <c r="AE673">
        <v>1.1529528952675499E-4</v>
      </c>
    </row>
    <row r="674" spans="29:31" x14ac:dyDescent="0.45">
      <c r="AC674" t="s">
        <v>19</v>
      </c>
      <c r="AD674" t="s">
        <v>1693</v>
      </c>
      <c r="AE674">
        <v>1.1597691485233015E-4</v>
      </c>
    </row>
    <row r="675" spans="29:31" x14ac:dyDescent="0.45">
      <c r="AC675" t="s">
        <v>19</v>
      </c>
      <c r="AD675" t="s">
        <v>1694</v>
      </c>
      <c r="AE675">
        <v>1.15650987371071E-4</v>
      </c>
    </row>
    <row r="676" spans="29:31" x14ac:dyDescent="0.45">
      <c r="AC676" t="s">
        <v>19</v>
      </c>
      <c r="AD676" t="s">
        <v>1695</v>
      </c>
      <c r="AE676">
        <v>1.1537918782264255E-4</v>
      </c>
    </row>
    <row r="677" spans="29:31" x14ac:dyDescent="0.45">
      <c r="AC677" t="s">
        <v>19</v>
      </c>
      <c r="AD677" t="s">
        <v>1696</v>
      </c>
      <c r="AE677">
        <v>1.1536874886416806E-4</v>
      </c>
    </row>
    <row r="678" spans="29:31" x14ac:dyDescent="0.45">
      <c r="AC678" t="s">
        <v>19</v>
      </c>
      <c r="AD678" t="s">
        <v>1697</v>
      </c>
      <c r="AE678">
        <v>1.1536874886416806E-4</v>
      </c>
    </row>
    <row r="679" spans="29:31" x14ac:dyDescent="0.45">
      <c r="AC679" t="s">
        <v>19</v>
      </c>
      <c r="AD679" t="s">
        <v>1698</v>
      </c>
      <c r="AE679">
        <v>1.1534245815393601E-4</v>
      </c>
    </row>
    <row r="680" spans="29:31" x14ac:dyDescent="0.45">
      <c r="AC680" t="s">
        <v>19</v>
      </c>
      <c r="AD680" t="s">
        <v>1699</v>
      </c>
      <c r="AE680">
        <v>1.1530379534477122E-4</v>
      </c>
    </row>
    <row r="681" spans="29:31" x14ac:dyDescent="0.45">
      <c r="AC681" t="s">
        <v>19</v>
      </c>
      <c r="AD681" t="s">
        <v>1700</v>
      </c>
      <c r="AE681">
        <v>1.1531771395607054E-4</v>
      </c>
    </row>
    <row r="682" spans="29:31" x14ac:dyDescent="0.45">
      <c r="AC682" t="s">
        <v>19</v>
      </c>
      <c r="AD682" t="s">
        <v>1701</v>
      </c>
      <c r="AE682">
        <v>1.1547313844891298E-4</v>
      </c>
    </row>
    <row r="683" spans="29:31" x14ac:dyDescent="0.45">
      <c r="AC683" t="s">
        <v>19</v>
      </c>
      <c r="AD683" t="s">
        <v>1702</v>
      </c>
      <c r="AE683">
        <v>1.1556863558755001E-4</v>
      </c>
    </row>
    <row r="684" spans="29:31" x14ac:dyDescent="0.45">
      <c r="AC684" t="s">
        <v>19</v>
      </c>
      <c r="AD684" t="s">
        <v>1703</v>
      </c>
      <c r="AE684">
        <v>1.1561116467763127E-4</v>
      </c>
    </row>
    <row r="685" spans="29:31" x14ac:dyDescent="0.45">
      <c r="AC685" t="s">
        <v>19</v>
      </c>
      <c r="AD685" t="s">
        <v>1704</v>
      </c>
      <c r="AE685">
        <v>1.1586401944956896E-4</v>
      </c>
    </row>
    <row r="686" spans="29:31" x14ac:dyDescent="0.45">
      <c r="AC686" t="s">
        <v>19</v>
      </c>
      <c r="AD686" t="s">
        <v>1705</v>
      </c>
      <c r="AE686">
        <v>1.1561077804953962E-4</v>
      </c>
    </row>
    <row r="687" spans="29:31" x14ac:dyDescent="0.45">
      <c r="AC687" t="s">
        <v>19</v>
      </c>
      <c r="AD687" t="s">
        <v>1706</v>
      </c>
      <c r="AE687">
        <v>1.1515958306658658E-4</v>
      </c>
    </row>
    <row r="688" spans="29:31" x14ac:dyDescent="0.45">
      <c r="AC688" t="s">
        <v>19</v>
      </c>
      <c r="AD688" t="s">
        <v>1707</v>
      </c>
      <c r="AE688">
        <v>1.1447370483200328E-4</v>
      </c>
    </row>
    <row r="689" spans="29:31" x14ac:dyDescent="0.45">
      <c r="AC689" t="s">
        <v>19</v>
      </c>
      <c r="AD689" t="s">
        <v>1708</v>
      </c>
      <c r="AE689">
        <v>1.1369619573969945E-4</v>
      </c>
    </row>
    <row r="690" spans="29:31" x14ac:dyDescent="0.45">
      <c r="AC690" t="s">
        <v>19</v>
      </c>
      <c r="AD690" t="s">
        <v>1709</v>
      </c>
      <c r="AE690">
        <v>1.1260087835606107E-4</v>
      </c>
    </row>
    <row r="691" spans="29:31" x14ac:dyDescent="0.45">
      <c r="AC691" t="s">
        <v>19</v>
      </c>
      <c r="AD691" t="s">
        <v>1710</v>
      </c>
      <c r="AE691">
        <v>1.1235923579878116E-4</v>
      </c>
    </row>
    <row r="692" spans="29:31" x14ac:dyDescent="0.45">
      <c r="AC692" t="s">
        <v>19</v>
      </c>
      <c r="AD692" t="s">
        <v>1711</v>
      </c>
      <c r="AE692">
        <v>1.1207158449859516E-4</v>
      </c>
    </row>
    <row r="693" spans="29:31" x14ac:dyDescent="0.45">
      <c r="AC693" t="s">
        <v>19</v>
      </c>
      <c r="AD693" t="s">
        <v>1712</v>
      </c>
      <c r="AE693">
        <v>1.1215045662929132E-4</v>
      </c>
    </row>
    <row r="694" spans="29:31" x14ac:dyDescent="0.45">
      <c r="AC694" t="s">
        <v>19</v>
      </c>
      <c r="AD694" t="s">
        <v>1713</v>
      </c>
      <c r="AE694">
        <v>1.1227572413098523E-4</v>
      </c>
    </row>
    <row r="695" spans="29:31" x14ac:dyDescent="0.45">
      <c r="AC695" t="s">
        <v>19</v>
      </c>
      <c r="AD695" t="s">
        <v>1714</v>
      </c>
      <c r="AE695">
        <v>1.1337684093599832E-4</v>
      </c>
    </row>
    <row r="696" spans="29:31" x14ac:dyDescent="0.45">
      <c r="AC696" t="s">
        <v>19</v>
      </c>
      <c r="AD696" t="s">
        <v>1715</v>
      </c>
      <c r="AE696">
        <v>1.1435501000786739E-4</v>
      </c>
    </row>
    <row r="697" spans="29:31" x14ac:dyDescent="0.45">
      <c r="AC697" t="s">
        <v>19</v>
      </c>
      <c r="AD697" t="s">
        <v>1716</v>
      </c>
      <c r="AE697">
        <v>1.1521293774323398E-4</v>
      </c>
    </row>
    <row r="698" spans="29:31" x14ac:dyDescent="0.45">
      <c r="AC698" t="s">
        <v>19</v>
      </c>
      <c r="AD698" t="s">
        <v>1717</v>
      </c>
      <c r="AE698">
        <v>1.1578282755032292E-4</v>
      </c>
    </row>
    <row r="699" spans="29:31" x14ac:dyDescent="0.45">
      <c r="AC699" t="s">
        <v>19</v>
      </c>
      <c r="AD699" t="s">
        <v>291</v>
      </c>
      <c r="AE699">
        <v>1.5819997111875976E-2</v>
      </c>
    </row>
    <row r="700" spans="29:31" x14ac:dyDescent="0.45">
      <c r="AC700" t="s">
        <v>19</v>
      </c>
      <c r="AD700" t="s">
        <v>292</v>
      </c>
      <c r="AE700">
        <v>2.6369503569600239E-3</v>
      </c>
    </row>
    <row r="701" spans="29:31" x14ac:dyDescent="0.45">
      <c r="AC701" t="s">
        <v>19</v>
      </c>
      <c r="AD701" t="s">
        <v>293</v>
      </c>
      <c r="AE701">
        <v>2.6476669144043187E-3</v>
      </c>
    </row>
    <row r="702" spans="29:31" x14ac:dyDescent="0.45">
      <c r="AC702" t="s">
        <v>19</v>
      </c>
      <c r="AD702" t="s">
        <v>294</v>
      </c>
      <c r="AE702">
        <v>1.5881718807054728E-2</v>
      </c>
    </row>
    <row r="703" spans="29:31" x14ac:dyDescent="0.45">
      <c r="AC703" t="s">
        <v>19</v>
      </c>
      <c r="AD703" t="s">
        <v>295</v>
      </c>
      <c r="AE703">
        <v>7.7708638644809497E-3</v>
      </c>
    </row>
    <row r="704" spans="29:31" x14ac:dyDescent="0.45">
      <c r="AC704" t="s">
        <v>19</v>
      </c>
      <c r="AD704" t="s">
        <v>296</v>
      </c>
      <c r="AE704">
        <v>2.5705825520039361E-3</v>
      </c>
    </row>
    <row r="705" spans="29:31" x14ac:dyDescent="0.45">
      <c r="AC705" t="s">
        <v>19</v>
      </c>
      <c r="AD705" t="s">
        <v>297</v>
      </c>
      <c r="AE705">
        <v>2.5717180787091058E-3</v>
      </c>
    </row>
    <row r="706" spans="29:31" x14ac:dyDescent="0.45">
      <c r="AC706" t="s">
        <v>19</v>
      </c>
      <c r="AD706" t="s">
        <v>298</v>
      </c>
      <c r="AE706">
        <v>1.3069865247366958E-2</v>
      </c>
    </row>
    <row r="707" spans="29:31" x14ac:dyDescent="0.45">
      <c r="AC707" t="s">
        <v>19</v>
      </c>
      <c r="AD707" t="s">
        <v>604</v>
      </c>
      <c r="AE707">
        <v>1.1569159159890035E-4</v>
      </c>
    </row>
    <row r="708" spans="29:31" x14ac:dyDescent="0.45">
      <c r="AC708" t="s">
        <v>19</v>
      </c>
      <c r="AD708" t="s">
        <v>605</v>
      </c>
      <c r="AE708">
        <v>1.1544376299215406E-4</v>
      </c>
    </row>
    <row r="709" spans="29:31" x14ac:dyDescent="0.45">
      <c r="AC709" t="s">
        <v>19</v>
      </c>
      <c r="AD709" t="s">
        <v>606</v>
      </c>
      <c r="AE709">
        <v>1.1527132686327913E-4</v>
      </c>
    </row>
    <row r="710" spans="29:31" x14ac:dyDescent="0.45">
      <c r="AC710" t="s">
        <v>19</v>
      </c>
      <c r="AD710" t="s">
        <v>607</v>
      </c>
      <c r="AE710">
        <v>1.1527132686327913E-4</v>
      </c>
    </row>
    <row r="711" spans="29:31" x14ac:dyDescent="0.45">
      <c r="AC711" t="s">
        <v>19</v>
      </c>
      <c r="AD711" t="s">
        <v>608</v>
      </c>
      <c r="AE711">
        <v>1.151854954269333E-4</v>
      </c>
    </row>
    <row r="712" spans="29:31" x14ac:dyDescent="0.45">
      <c r="AC712" t="s">
        <v>19</v>
      </c>
      <c r="AD712" t="s">
        <v>609</v>
      </c>
      <c r="AE712">
        <v>1.151854954269333E-4</v>
      </c>
    </row>
    <row r="713" spans="29:31" x14ac:dyDescent="0.45">
      <c r="AC713" t="s">
        <v>19</v>
      </c>
      <c r="AD713" t="s">
        <v>610</v>
      </c>
      <c r="AE713">
        <v>1.152856321026701E-4</v>
      </c>
    </row>
    <row r="714" spans="29:31" x14ac:dyDescent="0.45">
      <c r="AC714" t="s">
        <v>19</v>
      </c>
      <c r="AD714" t="s">
        <v>611</v>
      </c>
      <c r="AE714">
        <v>1.1605734177359921E-4</v>
      </c>
    </row>
    <row r="715" spans="29:31" x14ac:dyDescent="0.45">
      <c r="AC715" t="s">
        <v>19</v>
      </c>
      <c r="AD715" t="s">
        <v>612</v>
      </c>
      <c r="AE715">
        <v>1.1624021686094864E-4</v>
      </c>
    </row>
    <row r="716" spans="29:31" x14ac:dyDescent="0.45">
      <c r="AC716" t="s">
        <v>19</v>
      </c>
      <c r="AD716" t="s">
        <v>613</v>
      </c>
      <c r="AE716">
        <v>1.1669566475290982E-4</v>
      </c>
    </row>
    <row r="717" spans="29:31" x14ac:dyDescent="0.45">
      <c r="AC717" t="s">
        <v>19</v>
      </c>
      <c r="AD717" t="s">
        <v>614</v>
      </c>
      <c r="AE717">
        <v>1.1689748461675E-4</v>
      </c>
    </row>
    <row r="718" spans="29:31" x14ac:dyDescent="0.45">
      <c r="AC718" t="s">
        <v>19</v>
      </c>
      <c r="AD718" t="s">
        <v>615</v>
      </c>
      <c r="AE718">
        <v>1.1666589438985293E-4</v>
      </c>
    </row>
    <row r="719" spans="29:31" x14ac:dyDescent="0.45">
      <c r="AC719" t="s">
        <v>19</v>
      </c>
      <c r="AD719" t="s">
        <v>616</v>
      </c>
      <c r="AE719">
        <v>1.1574146662272291E-4</v>
      </c>
    </row>
    <row r="720" spans="29:31" x14ac:dyDescent="0.45">
      <c r="AC720" t="s">
        <v>19</v>
      </c>
      <c r="AD720" t="s">
        <v>617</v>
      </c>
      <c r="AE720">
        <v>1.1456070443083037E-4</v>
      </c>
    </row>
    <row r="721" spans="29:31" x14ac:dyDescent="0.45">
      <c r="AC721" t="s">
        <v>19</v>
      </c>
      <c r="AD721" t="s">
        <v>618</v>
      </c>
      <c r="AE721">
        <v>1.1387134654342225E-4</v>
      </c>
    </row>
    <row r="722" spans="29:31" x14ac:dyDescent="0.45">
      <c r="AC722" t="s">
        <v>19</v>
      </c>
      <c r="AD722" t="s">
        <v>619</v>
      </c>
      <c r="AE722">
        <v>1.125289738092209E-4</v>
      </c>
    </row>
    <row r="723" spans="29:31" x14ac:dyDescent="0.45">
      <c r="AC723" t="s">
        <v>19</v>
      </c>
      <c r="AD723" t="s">
        <v>620</v>
      </c>
      <c r="AE723">
        <v>1.1228114520247461E-4</v>
      </c>
    </row>
    <row r="724" spans="29:31" x14ac:dyDescent="0.45">
      <c r="AC724" t="s">
        <v>19</v>
      </c>
      <c r="AD724" t="s">
        <v>621</v>
      </c>
      <c r="AE724">
        <v>1.1202210438107055E-4</v>
      </c>
    </row>
    <row r="725" spans="29:31" x14ac:dyDescent="0.45">
      <c r="AC725" t="s">
        <v>19</v>
      </c>
      <c r="AD725" t="s">
        <v>622</v>
      </c>
      <c r="AE725">
        <v>1.1210097651176671E-4</v>
      </c>
    </row>
    <row r="726" spans="29:31" x14ac:dyDescent="0.45">
      <c r="AC726" t="s">
        <v>19</v>
      </c>
      <c r="AD726" t="s">
        <v>623</v>
      </c>
      <c r="AE726">
        <v>1.1241143886935997E-4</v>
      </c>
    </row>
    <row r="727" spans="29:31" x14ac:dyDescent="0.45">
      <c r="AC727" t="s">
        <v>19</v>
      </c>
      <c r="AD727" t="s">
        <v>624</v>
      </c>
      <c r="AE727">
        <v>1.1358872140842768E-4</v>
      </c>
    </row>
    <row r="728" spans="29:31" x14ac:dyDescent="0.45">
      <c r="AC728" t="s">
        <v>19</v>
      </c>
      <c r="AD728" t="s">
        <v>625</v>
      </c>
      <c r="AE728">
        <v>1.1489011156491435E-4</v>
      </c>
    </row>
    <row r="729" spans="29:31" x14ac:dyDescent="0.45">
      <c r="AC729" t="s">
        <v>19</v>
      </c>
      <c r="AD729" t="s">
        <v>626</v>
      </c>
      <c r="AE729">
        <v>1.1535406527489178E-4</v>
      </c>
    </row>
    <row r="730" spans="29:31" x14ac:dyDescent="0.45">
      <c r="AC730" t="s">
        <v>19</v>
      </c>
      <c r="AD730" t="s">
        <v>627</v>
      </c>
      <c r="AE730">
        <v>1.1592318182579741E-4</v>
      </c>
    </row>
    <row r="731" spans="29:31" x14ac:dyDescent="0.45">
      <c r="AC731" t="s">
        <v>19</v>
      </c>
      <c r="AD731" t="s">
        <v>1718</v>
      </c>
      <c r="AE731">
        <v>1.158172457286859E-4</v>
      </c>
    </row>
    <row r="732" spans="29:31" x14ac:dyDescent="0.45">
      <c r="AC732" t="s">
        <v>19</v>
      </c>
      <c r="AD732" t="s">
        <v>1719</v>
      </c>
      <c r="AE732">
        <v>1.1544376299215406E-4</v>
      </c>
    </row>
    <row r="733" spans="29:31" x14ac:dyDescent="0.45">
      <c r="AC733" t="s">
        <v>19</v>
      </c>
      <c r="AD733" t="s">
        <v>1720</v>
      </c>
      <c r="AE733">
        <v>1.1535793155580825E-4</v>
      </c>
    </row>
    <row r="734" spans="29:31" x14ac:dyDescent="0.45">
      <c r="AC734" t="s">
        <v>19</v>
      </c>
      <c r="AD734" t="s">
        <v>1721</v>
      </c>
      <c r="AE734">
        <v>1.1539698099306469E-4</v>
      </c>
    </row>
    <row r="735" spans="29:31" x14ac:dyDescent="0.45">
      <c r="AC735" t="s">
        <v>19</v>
      </c>
      <c r="AD735" t="s">
        <v>1722</v>
      </c>
      <c r="AE735">
        <v>1.1525934139243804E-4</v>
      </c>
    </row>
    <row r="736" spans="29:31" x14ac:dyDescent="0.45">
      <c r="AC736" t="s">
        <v>19</v>
      </c>
      <c r="AD736" t="s">
        <v>1723</v>
      </c>
      <c r="AE736">
        <v>1.1525934139243804E-4</v>
      </c>
    </row>
    <row r="737" spans="29:31" x14ac:dyDescent="0.45">
      <c r="AC737" t="s">
        <v>19</v>
      </c>
      <c r="AD737" t="s">
        <v>1724</v>
      </c>
      <c r="AE737">
        <v>1.1535947806817483E-4</v>
      </c>
    </row>
    <row r="738" spans="29:31" x14ac:dyDescent="0.45">
      <c r="AC738" t="s">
        <v>19</v>
      </c>
      <c r="AD738" t="s">
        <v>1725</v>
      </c>
      <c r="AE738">
        <v>1.1616830403590216E-4</v>
      </c>
    </row>
    <row r="739" spans="29:31" x14ac:dyDescent="0.45">
      <c r="AC739" t="s">
        <v>19</v>
      </c>
      <c r="AD739" t="s">
        <v>1726</v>
      </c>
      <c r="AE739">
        <v>1.1663496414252111E-4</v>
      </c>
    </row>
    <row r="740" spans="29:31" x14ac:dyDescent="0.45">
      <c r="AC740" t="s">
        <v>19</v>
      </c>
      <c r="AD740" t="s">
        <v>1727</v>
      </c>
      <c r="AE740">
        <v>1.1669566475290982E-4</v>
      </c>
    </row>
    <row r="741" spans="29:31" x14ac:dyDescent="0.45">
      <c r="AC741" t="s">
        <v>19</v>
      </c>
      <c r="AD741" t="s">
        <v>1728</v>
      </c>
      <c r="AE741">
        <v>1.171205690256308E-4</v>
      </c>
    </row>
    <row r="742" spans="29:31" x14ac:dyDescent="0.45">
      <c r="AC742" t="s">
        <v>19</v>
      </c>
      <c r="AD742" t="s">
        <v>1729</v>
      </c>
      <c r="AE742">
        <v>1.1670881010802584E-4</v>
      </c>
    </row>
    <row r="743" spans="29:31" x14ac:dyDescent="0.45">
      <c r="AC743" t="s">
        <v>19</v>
      </c>
      <c r="AD743" t="s">
        <v>1730</v>
      </c>
      <c r="AE743">
        <v>1.1574146662272291E-4</v>
      </c>
    </row>
    <row r="744" spans="29:31" x14ac:dyDescent="0.45">
      <c r="AC744" t="s">
        <v>19</v>
      </c>
      <c r="AD744" t="s">
        <v>1731</v>
      </c>
      <c r="AE744">
        <v>1.1458467537251254E-4</v>
      </c>
    </row>
    <row r="745" spans="29:31" x14ac:dyDescent="0.45">
      <c r="AC745" t="s">
        <v>19</v>
      </c>
      <c r="AD745" t="s">
        <v>1732</v>
      </c>
      <c r="AE745">
        <v>1.1381296570158344E-4</v>
      </c>
    </row>
    <row r="746" spans="29:31" x14ac:dyDescent="0.45">
      <c r="AC746" t="s">
        <v>19</v>
      </c>
      <c r="AD746" t="s">
        <v>1733</v>
      </c>
      <c r="AE746">
        <v>1.1238862781195273E-4</v>
      </c>
    </row>
    <row r="747" spans="29:31" x14ac:dyDescent="0.45">
      <c r="AC747" t="s">
        <v>19</v>
      </c>
      <c r="AD747" t="s">
        <v>1734</v>
      </c>
      <c r="AE747">
        <v>1.1221464517071119E-4</v>
      </c>
    </row>
    <row r="748" spans="29:31" x14ac:dyDescent="0.45">
      <c r="AC748" t="s">
        <v>19</v>
      </c>
      <c r="AD748" t="s">
        <v>1735</v>
      </c>
      <c r="AE748">
        <v>1.1202210438107055E-4</v>
      </c>
    </row>
    <row r="749" spans="29:31" x14ac:dyDescent="0.45">
      <c r="AC749" t="s">
        <v>19</v>
      </c>
      <c r="AD749" t="s">
        <v>1736</v>
      </c>
      <c r="AE749">
        <v>1.1219028760093738E-4</v>
      </c>
    </row>
    <row r="750" spans="29:31" x14ac:dyDescent="0.45">
      <c r="AC750" t="s">
        <v>19</v>
      </c>
      <c r="AD750" t="s">
        <v>1737</v>
      </c>
      <c r="AE750">
        <v>1.1249301739669766E-4</v>
      </c>
    </row>
    <row r="751" spans="29:31" x14ac:dyDescent="0.45">
      <c r="AC751" t="s">
        <v>19</v>
      </c>
      <c r="AD751" t="s">
        <v>1738</v>
      </c>
      <c r="AE751">
        <v>1.1370548309210532E-4</v>
      </c>
    </row>
    <row r="752" spans="29:31" x14ac:dyDescent="0.45">
      <c r="AC752" t="s">
        <v>19</v>
      </c>
      <c r="AD752" t="s">
        <v>1739</v>
      </c>
      <c r="AE752">
        <v>1.1495893136522766E-4</v>
      </c>
    </row>
    <row r="753" spans="29:31" x14ac:dyDescent="0.45">
      <c r="AC753" t="s">
        <v>19</v>
      </c>
      <c r="AD753" t="s">
        <v>1740</v>
      </c>
      <c r="AE753">
        <v>1.1548706533841862E-4</v>
      </c>
    </row>
    <row r="754" spans="29:31" x14ac:dyDescent="0.45">
      <c r="AC754" t="s">
        <v>19</v>
      </c>
      <c r="AD754" t="s">
        <v>1741</v>
      </c>
      <c r="AE754">
        <v>1.1634190004905203E-4</v>
      </c>
    </row>
    <row r="755" spans="29:31" x14ac:dyDescent="0.45">
      <c r="AC755" t="s">
        <v>19</v>
      </c>
      <c r="AD755" t="s">
        <v>1742</v>
      </c>
      <c r="AE755">
        <v>1.1642077217974819E-4</v>
      </c>
    </row>
    <row r="756" spans="29:31" x14ac:dyDescent="0.45">
      <c r="AC756" t="s">
        <v>19</v>
      </c>
      <c r="AD756" t="s">
        <v>1743</v>
      </c>
      <c r="AE756">
        <v>1.1569429799554188E-4</v>
      </c>
    </row>
    <row r="757" spans="29:31" x14ac:dyDescent="0.45">
      <c r="AC757" t="s">
        <v>19</v>
      </c>
      <c r="AD757" t="s">
        <v>1744</v>
      </c>
      <c r="AE757">
        <v>1.1555124560163216E-4</v>
      </c>
    </row>
    <row r="758" spans="29:31" x14ac:dyDescent="0.45">
      <c r="AC758" t="s">
        <v>19</v>
      </c>
      <c r="AD758" t="s">
        <v>1745</v>
      </c>
      <c r="AE758">
        <v>1.1559029503888859E-4</v>
      </c>
    </row>
    <row r="759" spans="29:31" x14ac:dyDescent="0.45">
      <c r="AC759" t="s">
        <v>19</v>
      </c>
      <c r="AD759" t="s">
        <v>1746</v>
      </c>
      <c r="AE759">
        <v>1.1538499552222358E-4</v>
      </c>
    </row>
    <row r="760" spans="29:31" x14ac:dyDescent="0.45">
      <c r="AC760" t="s">
        <v>19</v>
      </c>
      <c r="AD760" t="s">
        <v>1747</v>
      </c>
      <c r="AE760">
        <v>1.1532506816801817E-4</v>
      </c>
    </row>
    <row r="761" spans="29:31" x14ac:dyDescent="0.45">
      <c r="AC761" t="s">
        <v>19</v>
      </c>
      <c r="AD761" t="s">
        <v>1748</v>
      </c>
      <c r="AE761">
        <v>1.1542520484375497E-4</v>
      </c>
    </row>
    <row r="762" spans="29:31" x14ac:dyDescent="0.45">
      <c r="AC762" t="s">
        <v>19</v>
      </c>
      <c r="AD762" t="s">
        <v>1749</v>
      </c>
      <c r="AE762">
        <v>1.1647528674067053E-4</v>
      </c>
    </row>
    <row r="763" spans="29:31" x14ac:dyDescent="0.45">
      <c r="AC763" t="s">
        <v>19</v>
      </c>
      <c r="AD763" t="s">
        <v>1750</v>
      </c>
      <c r="AE763">
        <v>1.1663496414252111E-4</v>
      </c>
    </row>
    <row r="764" spans="29:31" x14ac:dyDescent="0.45">
      <c r="AC764" t="s">
        <v>19</v>
      </c>
      <c r="AD764" t="s">
        <v>1751</v>
      </c>
      <c r="AE764">
        <v>1.1669566475290982E-4</v>
      </c>
    </row>
    <row r="765" spans="29:31" x14ac:dyDescent="0.45">
      <c r="AC765" t="s">
        <v>19</v>
      </c>
      <c r="AD765" t="s">
        <v>1752</v>
      </c>
      <c r="AE765">
        <v>1.171205690256308E-4</v>
      </c>
    </row>
    <row r="766" spans="29:31" x14ac:dyDescent="0.45">
      <c r="AC766" t="s">
        <v>19</v>
      </c>
      <c r="AD766" t="s">
        <v>1753</v>
      </c>
      <c r="AE766">
        <v>1.1670881010802584E-4</v>
      </c>
    </row>
    <row r="767" spans="29:31" x14ac:dyDescent="0.45">
      <c r="AC767" t="s">
        <v>19</v>
      </c>
      <c r="AD767" t="s">
        <v>1754</v>
      </c>
      <c r="AE767">
        <v>1.1574146662272291E-4</v>
      </c>
    </row>
    <row r="768" spans="29:31" x14ac:dyDescent="0.45">
      <c r="AC768" t="s">
        <v>19</v>
      </c>
      <c r="AD768" t="s">
        <v>1755</v>
      </c>
      <c r="AE768">
        <v>1.1456650385220508E-4</v>
      </c>
    </row>
    <row r="769" spans="29:31" x14ac:dyDescent="0.45">
      <c r="AC769" t="s">
        <v>19</v>
      </c>
      <c r="AD769" t="s">
        <v>1756</v>
      </c>
      <c r="AE769">
        <v>1.1387134654342225E-4</v>
      </c>
    </row>
    <row r="770" spans="29:31" x14ac:dyDescent="0.45">
      <c r="AC770" t="s">
        <v>19</v>
      </c>
      <c r="AD770" t="s">
        <v>1757</v>
      </c>
      <c r="AE770">
        <v>1.1252897380922089E-4</v>
      </c>
    </row>
    <row r="771" spans="29:31" x14ac:dyDescent="0.45">
      <c r="AC771" t="s">
        <v>19</v>
      </c>
      <c r="AD771" t="s">
        <v>1758</v>
      </c>
      <c r="AE771">
        <v>1.1228114520247461E-4</v>
      </c>
    </row>
    <row r="772" spans="29:31" x14ac:dyDescent="0.45">
      <c r="AC772" t="s">
        <v>19</v>
      </c>
      <c r="AD772" t="s">
        <v>1759</v>
      </c>
      <c r="AE772">
        <v>1.1202210438107055E-4</v>
      </c>
    </row>
    <row r="773" spans="29:31" x14ac:dyDescent="0.45">
      <c r="AC773" t="s">
        <v>19</v>
      </c>
      <c r="AD773" t="s">
        <v>1760</v>
      </c>
      <c r="AE773">
        <v>1.1212185442871569E-4</v>
      </c>
    </row>
    <row r="774" spans="29:31" x14ac:dyDescent="0.45">
      <c r="AC774" t="s">
        <v>19</v>
      </c>
      <c r="AD774" t="s">
        <v>1761</v>
      </c>
      <c r="AE774">
        <v>1.1247987204158162E-4</v>
      </c>
    </row>
    <row r="775" spans="29:31" x14ac:dyDescent="0.45">
      <c r="AC775" t="s">
        <v>19</v>
      </c>
      <c r="AD775" t="s">
        <v>1762</v>
      </c>
      <c r="AE775">
        <v>1.1363666329179198E-4</v>
      </c>
    </row>
    <row r="776" spans="29:31" x14ac:dyDescent="0.45">
      <c r="AC776" t="s">
        <v>19</v>
      </c>
      <c r="AD776" t="s">
        <v>1763</v>
      </c>
      <c r="AE776">
        <v>1.1489011156491434E-4</v>
      </c>
    </row>
    <row r="777" spans="29:31" x14ac:dyDescent="0.45">
      <c r="AC777" t="s">
        <v>19</v>
      </c>
      <c r="AD777" t="s">
        <v>1764</v>
      </c>
      <c r="AE777">
        <v>1.157793561757044E-4</v>
      </c>
    </row>
    <row r="778" spans="29:31" x14ac:dyDescent="0.45">
      <c r="AC778" t="s">
        <v>19</v>
      </c>
      <c r="AD778" t="s">
        <v>1765</v>
      </c>
      <c r="AE778">
        <v>1.1644203672478883E-4</v>
      </c>
    </row>
    <row r="779" spans="29:31" x14ac:dyDescent="0.45">
      <c r="AC779" t="s">
        <v>19</v>
      </c>
      <c r="AD779" t="s">
        <v>1766</v>
      </c>
      <c r="AE779">
        <v>1.1624872267896492E-4</v>
      </c>
    </row>
    <row r="780" spans="29:31" x14ac:dyDescent="0.45">
      <c r="AC780" t="s">
        <v>19</v>
      </c>
      <c r="AD780" t="s">
        <v>1767</v>
      </c>
      <c r="AE780">
        <v>1.1569429799554188E-4</v>
      </c>
    </row>
    <row r="781" spans="29:31" x14ac:dyDescent="0.45">
      <c r="AC781" t="s">
        <v>19</v>
      </c>
      <c r="AD781" t="s">
        <v>1768</v>
      </c>
      <c r="AE781">
        <v>1.1559609446026334E-4</v>
      </c>
    </row>
    <row r="782" spans="29:31" x14ac:dyDescent="0.45">
      <c r="AC782" t="s">
        <v>19</v>
      </c>
      <c r="AD782" t="s">
        <v>1769</v>
      </c>
      <c r="AE782">
        <v>1.1563514389751977E-4</v>
      </c>
    </row>
    <row r="783" spans="29:31" x14ac:dyDescent="0.45">
      <c r="AC783" t="s">
        <v>19</v>
      </c>
      <c r="AD783" t="s">
        <v>1770</v>
      </c>
      <c r="AE783">
        <v>1.1557830956804753E-4</v>
      </c>
    </row>
    <row r="784" spans="29:31" x14ac:dyDescent="0.45">
      <c r="AC784" t="s">
        <v>19</v>
      </c>
      <c r="AD784" t="s">
        <v>1771</v>
      </c>
      <c r="AE784">
        <v>1.1557830956804753E-4</v>
      </c>
    </row>
    <row r="785" spans="29:31" x14ac:dyDescent="0.45">
      <c r="AC785" t="s">
        <v>19</v>
      </c>
      <c r="AD785" t="s">
        <v>1772</v>
      </c>
      <c r="AE785">
        <v>1.1577123698577981E-4</v>
      </c>
    </row>
    <row r="786" spans="29:31" x14ac:dyDescent="0.45">
      <c r="AC786" t="s">
        <v>19</v>
      </c>
      <c r="AD786" t="s">
        <v>1773</v>
      </c>
      <c r="AE786">
        <v>1.1659166179625654E-4</v>
      </c>
    </row>
    <row r="787" spans="29:31" x14ac:dyDescent="0.45">
      <c r="AC787" t="s">
        <v>19</v>
      </c>
      <c r="AD787" t="s">
        <v>1774</v>
      </c>
      <c r="AE787">
        <v>1.1690637706285791E-4</v>
      </c>
    </row>
    <row r="788" spans="29:31" x14ac:dyDescent="0.45">
      <c r="AC788" t="s">
        <v>19</v>
      </c>
      <c r="AD788" t="s">
        <v>1775</v>
      </c>
      <c r="AE788">
        <v>1.1696707767324663E-4</v>
      </c>
    </row>
    <row r="789" spans="29:31" x14ac:dyDescent="0.45">
      <c r="AC789" t="s">
        <v>19</v>
      </c>
      <c r="AD789" t="s">
        <v>1776</v>
      </c>
      <c r="AE789">
        <v>1.1732122900519606E-4</v>
      </c>
    </row>
    <row r="790" spans="29:31" x14ac:dyDescent="0.45">
      <c r="AC790" t="s">
        <v>19</v>
      </c>
      <c r="AD790" t="s">
        <v>1777</v>
      </c>
      <c r="AE790">
        <v>1.1688743228636716E-4</v>
      </c>
    </row>
    <row r="791" spans="29:31" x14ac:dyDescent="0.45">
      <c r="AC791" t="s">
        <v>19</v>
      </c>
      <c r="AD791" t="s">
        <v>1778</v>
      </c>
      <c r="AE791">
        <v>1.1590307716503173E-4</v>
      </c>
    </row>
    <row r="792" spans="29:31" x14ac:dyDescent="0.45">
      <c r="AC792" t="s">
        <v>19</v>
      </c>
      <c r="AD792" t="s">
        <v>1779</v>
      </c>
      <c r="AE792">
        <v>1.1458235560396265E-4</v>
      </c>
    </row>
    <row r="793" spans="29:31" x14ac:dyDescent="0.45">
      <c r="AC793" t="s">
        <v>19</v>
      </c>
      <c r="AD793" t="s">
        <v>1780</v>
      </c>
      <c r="AE793">
        <v>1.1391116923686198E-4</v>
      </c>
    </row>
    <row r="794" spans="29:31" x14ac:dyDescent="0.45">
      <c r="AC794" t="s">
        <v>19</v>
      </c>
      <c r="AD794" t="s">
        <v>1781</v>
      </c>
      <c r="AE794">
        <v>1.1260823256800872E-4</v>
      </c>
    </row>
    <row r="795" spans="29:31" x14ac:dyDescent="0.45">
      <c r="AC795" t="s">
        <v>19</v>
      </c>
      <c r="AD795" t="s">
        <v>1782</v>
      </c>
      <c r="AE795">
        <v>1.1231439521835634E-4</v>
      </c>
    </row>
    <row r="796" spans="29:31" x14ac:dyDescent="0.45">
      <c r="AC796" t="s">
        <v>19</v>
      </c>
      <c r="AD796" t="s">
        <v>1783</v>
      </c>
      <c r="AE796">
        <v>1.1198382819999745E-4</v>
      </c>
    </row>
    <row r="797" spans="29:31" x14ac:dyDescent="0.45">
      <c r="AC797" t="s">
        <v>19</v>
      </c>
      <c r="AD797" t="s">
        <v>1784</v>
      </c>
      <c r="AE797">
        <v>1.1194052585373286E-4</v>
      </c>
    </row>
    <row r="798" spans="29:31" x14ac:dyDescent="0.45">
      <c r="AC798" t="s">
        <v>19</v>
      </c>
      <c r="AD798" t="s">
        <v>1785</v>
      </c>
      <c r="AE798">
        <v>1.1219106085712068E-4</v>
      </c>
    </row>
    <row r="799" spans="29:31" x14ac:dyDescent="0.45">
      <c r="AC799" t="s">
        <v>19</v>
      </c>
      <c r="AD799" t="s">
        <v>1786</v>
      </c>
      <c r="AE799">
        <v>1.1251041566082181E-4</v>
      </c>
    </row>
    <row r="800" spans="29:31" x14ac:dyDescent="0.45">
      <c r="AC800" t="s">
        <v>19</v>
      </c>
      <c r="AD800" t="s">
        <v>1787</v>
      </c>
      <c r="AE800">
        <v>1.1292836062789315E-4</v>
      </c>
    </row>
    <row r="801" spans="29:31" x14ac:dyDescent="0.45">
      <c r="AC801" t="s">
        <v>19</v>
      </c>
      <c r="AD801" t="s">
        <v>1788</v>
      </c>
      <c r="AE801">
        <v>1.1333548000839833E-4</v>
      </c>
    </row>
    <row r="802" spans="29:31" x14ac:dyDescent="0.45">
      <c r="AC802" t="s">
        <v>19</v>
      </c>
      <c r="AD802" t="s">
        <v>1789</v>
      </c>
      <c r="AE802">
        <v>1.137538116035613E-4</v>
      </c>
    </row>
    <row r="803" spans="29:31" x14ac:dyDescent="0.45">
      <c r="AC803" t="s">
        <v>19</v>
      </c>
      <c r="AD803" t="s">
        <v>1790</v>
      </c>
      <c r="AE803">
        <v>1.1404146290374732E-4</v>
      </c>
    </row>
    <row r="804" spans="29:31" x14ac:dyDescent="0.45">
      <c r="AC804" t="s">
        <v>19</v>
      </c>
      <c r="AD804" t="s">
        <v>1791</v>
      </c>
      <c r="AE804">
        <v>1.1410409665459426E-4</v>
      </c>
    </row>
    <row r="805" spans="29:31" x14ac:dyDescent="0.45">
      <c r="AC805" t="s">
        <v>19</v>
      </c>
      <c r="AD805" t="s">
        <v>1792</v>
      </c>
      <c r="AE805">
        <v>1.1411144258833557E-4</v>
      </c>
    </row>
    <row r="806" spans="29:31" x14ac:dyDescent="0.45">
      <c r="AC806" t="s">
        <v>19</v>
      </c>
      <c r="AD806" t="s">
        <v>1793</v>
      </c>
      <c r="AE806">
        <v>1.1415049202559201E-4</v>
      </c>
    </row>
    <row r="807" spans="29:31" x14ac:dyDescent="0.45">
      <c r="AC807" t="s">
        <v>19</v>
      </c>
      <c r="AD807" t="s">
        <v>1794</v>
      </c>
      <c r="AE807">
        <v>1.1385201513883987E-4</v>
      </c>
    </row>
    <row r="808" spans="29:31" x14ac:dyDescent="0.45">
      <c r="AC808" t="s">
        <v>19</v>
      </c>
      <c r="AD808" t="s">
        <v>1795</v>
      </c>
      <c r="AE808">
        <v>1.138346168747157E-4</v>
      </c>
    </row>
    <row r="809" spans="29:31" x14ac:dyDescent="0.45">
      <c r="AC809" t="s">
        <v>19</v>
      </c>
      <c r="AD809" t="s">
        <v>1796</v>
      </c>
      <c r="AE809">
        <v>1.1390382330312068E-4</v>
      </c>
    </row>
    <row r="810" spans="29:31" x14ac:dyDescent="0.45">
      <c r="AC810" t="s">
        <v>19</v>
      </c>
      <c r="AD810" t="s">
        <v>1797</v>
      </c>
      <c r="AE810">
        <v>1.1486111445804077E-4</v>
      </c>
    </row>
    <row r="811" spans="29:31" x14ac:dyDescent="0.45">
      <c r="AC811" t="s">
        <v>19</v>
      </c>
      <c r="AD811" t="s">
        <v>1798</v>
      </c>
      <c r="AE811">
        <v>1.1531346932526875E-4</v>
      </c>
    </row>
    <row r="812" spans="29:31" x14ac:dyDescent="0.45">
      <c r="AC812" t="s">
        <v>19</v>
      </c>
      <c r="AD812" t="s">
        <v>1799</v>
      </c>
      <c r="AE812">
        <v>1.1528872512740328E-4</v>
      </c>
    </row>
    <row r="813" spans="29:31" x14ac:dyDescent="0.45">
      <c r="AC813" t="s">
        <v>19</v>
      </c>
      <c r="AD813" t="s">
        <v>1800</v>
      </c>
      <c r="AE813">
        <v>1.154924781317017E-4</v>
      </c>
    </row>
    <row r="814" spans="29:31" x14ac:dyDescent="0.45">
      <c r="AC814" t="s">
        <v>19</v>
      </c>
      <c r="AD814" t="s">
        <v>1801</v>
      </c>
      <c r="AE814">
        <v>1.1511087620524528E-4</v>
      </c>
    </row>
    <row r="815" spans="29:31" x14ac:dyDescent="0.45">
      <c r="AC815" t="s">
        <v>19</v>
      </c>
      <c r="AD815" t="s">
        <v>1802</v>
      </c>
      <c r="AE815">
        <v>1.1458815502533738E-4</v>
      </c>
    </row>
    <row r="816" spans="29:31" x14ac:dyDescent="0.45">
      <c r="AC816" t="s">
        <v>19</v>
      </c>
      <c r="AD816" t="s">
        <v>1803</v>
      </c>
      <c r="AE816">
        <v>1.1420655309888094E-4</v>
      </c>
    </row>
    <row r="817" spans="29:31" x14ac:dyDescent="0.45">
      <c r="AC817" t="s">
        <v>19</v>
      </c>
      <c r="AD817" t="s">
        <v>1804</v>
      </c>
      <c r="AE817">
        <v>1.1356475046674552E-4</v>
      </c>
    </row>
    <row r="818" spans="29:31" x14ac:dyDescent="0.45">
      <c r="AC818" t="s">
        <v>19</v>
      </c>
      <c r="AD818" t="s">
        <v>1805</v>
      </c>
      <c r="AE818">
        <v>1.124941772809726E-4</v>
      </c>
    </row>
    <row r="819" spans="29:31" x14ac:dyDescent="0.45">
      <c r="AC819" t="s">
        <v>19</v>
      </c>
      <c r="AD819" t="s">
        <v>1806</v>
      </c>
      <c r="AE819">
        <v>1.1221271203025296E-4</v>
      </c>
    </row>
    <row r="820" spans="29:31" x14ac:dyDescent="0.45">
      <c r="AC820" t="s">
        <v>19</v>
      </c>
      <c r="AD820" t="s">
        <v>1807</v>
      </c>
      <c r="AE820">
        <v>1.1189761013555996E-4</v>
      </c>
    </row>
    <row r="821" spans="29:31" x14ac:dyDescent="0.45">
      <c r="AC821" t="s">
        <v>19</v>
      </c>
      <c r="AD821" t="s">
        <v>1808</v>
      </c>
      <c r="AE821">
        <v>1.1188098512761911E-4</v>
      </c>
    </row>
    <row r="822" spans="29:31" x14ac:dyDescent="0.45">
      <c r="AC822" t="s">
        <v>19</v>
      </c>
      <c r="AD822" t="s">
        <v>1809</v>
      </c>
      <c r="AE822">
        <v>1.1212649396581549E-4</v>
      </c>
    </row>
    <row r="823" spans="29:31" x14ac:dyDescent="0.45">
      <c r="AC823" t="s">
        <v>19</v>
      </c>
      <c r="AD823" t="s">
        <v>1810</v>
      </c>
      <c r="AE823">
        <v>1.1249224414051436E-4</v>
      </c>
    </row>
    <row r="824" spans="29:31" x14ac:dyDescent="0.45">
      <c r="AC824" t="s">
        <v>19</v>
      </c>
      <c r="AD824" t="s">
        <v>1811</v>
      </c>
      <c r="AE824">
        <v>1.1281353208467373E-4</v>
      </c>
    </row>
    <row r="825" spans="29:31" x14ac:dyDescent="0.45">
      <c r="AC825" t="s">
        <v>19</v>
      </c>
      <c r="AD825" t="s">
        <v>1812</v>
      </c>
      <c r="AE825">
        <v>1.1324578229113602E-4</v>
      </c>
    </row>
    <row r="826" spans="29:31" x14ac:dyDescent="0.45">
      <c r="AC826" t="s">
        <v>19</v>
      </c>
      <c r="AD826" t="s">
        <v>1813</v>
      </c>
      <c r="AE826">
        <v>1.1359684059835228E-4</v>
      </c>
    </row>
    <row r="827" spans="29:31" x14ac:dyDescent="0.45">
      <c r="AC827" t="s">
        <v>19</v>
      </c>
      <c r="AD827" t="s">
        <v>1814</v>
      </c>
      <c r="AE827">
        <v>1.138844918985383E-4</v>
      </c>
    </row>
    <row r="828" spans="29:31" x14ac:dyDescent="0.45">
      <c r="AC828" t="s">
        <v>19</v>
      </c>
      <c r="AD828" t="s">
        <v>1815</v>
      </c>
      <c r="AE828">
        <v>1.1400898614404889E-4</v>
      </c>
    </row>
    <row r="829" spans="29:31" x14ac:dyDescent="0.45">
      <c r="AC829" t="s">
        <v>19</v>
      </c>
      <c r="AD829" t="s">
        <v>1816</v>
      </c>
      <c r="AE829">
        <v>1.1401439893733196E-4</v>
      </c>
    </row>
    <row r="830" spans="29:31" x14ac:dyDescent="0.45">
      <c r="AC830" t="s">
        <v>19</v>
      </c>
      <c r="AD830" t="s">
        <v>1817</v>
      </c>
      <c r="AE830">
        <v>1.1397225647534236E-4</v>
      </c>
    </row>
    <row r="831" spans="29:31" x14ac:dyDescent="0.45">
      <c r="AC831" t="s">
        <v>19</v>
      </c>
      <c r="AD831" t="s">
        <v>1818</v>
      </c>
      <c r="AE831">
        <v>1.1383577675899066E-4</v>
      </c>
    </row>
    <row r="832" spans="29:31" x14ac:dyDescent="0.45">
      <c r="AC832" t="s">
        <v>19</v>
      </c>
      <c r="AD832" t="s">
        <v>1819</v>
      </c>
      <c r="AE832">
        <v>1.138346168747157E-4</v>
      </c>
    </row>
    <row r="833" spans="29:31" x14ac:dyDescent="0.45">
      <c r="AC833" t="s">
        <v>19</v>
      </c>
      <c r="AD833" t="s">
        <v>1820</v>
      </c>
      <c r="AE833">
        <v>1.1390382330312068E-4</v>
      </c>
    </row>
    <row r="834" spans="29:31" x14ac:dyDescent="0.45">
      <c r="AC834" t="s">
        <v>19</v>
      </c>
      <c r="AD834" t="s">
        <v>1821</v>
      </c>
      <c r="AE834">
        <v>1.1465968122229224E-4</v>
      </c>
    </row>
    <row r="835" spans="29:31" x14ac:dyDescent="0.45">
      <c r="AC835" t="s">
        <v>19</v>
      </c>
      <c r="AD835" t="s">
        <v>1822</v>
      </c>
      <c r="AE835">
        <v>1.1528485884648681E-4</v>
      </c>
    </row>
    <row r="836" spans="29:31" x14ac:dyDescent="0.45">
      <c r="AC836" t="s">
        <v>19</v>
      </c>
      <c r="AD836" t="s">
        <v>1823</v>
      </c>
      <c r="AE836">
        <v>1.1525972802052971E-4</v>
      </c>
    </row>
    <row r="837" spans="29:31" x14ac:dyDescent="0.45">
      <c r="AC837" t="s">
        <v>19</v>
      </c>
      <c r="AD837" t="s">
        <v>1824</v>
      </c>
      <c r="AE837">
        <v>1.1537185016710757E-4</v>
      </c>
    </row>
    <row r="838" spans="29:31" x14ac:dyDescent="0.45">
      <c r="AC838" t="s">
        <v>19</v>
      </c>
      <c r="AD838" t="s">
        <v>1825</v>
      </c>
      <c r="AE838">
        <v>1.150099662733252E-4</v>
      </c>
    </row>
    <row r="839" spans="29:31" x14ac:dyDescent="0.45">
      <c r="AC839" t="s">
        <v>19</v>
      </c>
      <c r="AD839" t="s">
        <v>1826</v>
      </c>
      <c r="AE839">
        <v>1.1451701545647417E-4</v>
      </c>
    </row>
    <row r="840" spans="29:31" x14ac:dyDescent="0.45">
      <c r="AC840" t="s">
        <v>19</v>
      </c>
      <c r="AD840" t="s">
        <v>1827</v>
      </c>
      <c r="AE840">
        <v>1.1420655309888094E-4</v>
      </c>
    </row>
    <row r="841" spans="29:31" x14ac:dyDescent="0.45">
      <c r="AC841" t="s">
        <v>19</v>
      </c>
      <c r="AD841" t="s">
        <v>1828</v>
      </c>
      <c r="AE841">
        <v>1.1354116615315499E-4</v>
      </c>
    </row>
    <row r="842" spans="29:31" x14ac:dyDescent="0.45">
      <c r="AC842" t="s">
        <v>19</v>
      </c>
      <c r="AD842" t="s">
        <v>1829</v>
      </c>
      <c r="AE842">
        <v>1.1247948541348999E-4</v>
      </c>
    </row>
    <row r="843" spans="29:31" x14ac:dyDescent="0.45">
      <c r="AC843" t="s">
        <v>19</v>
      </c>
      <c r="AD843" t="s">
        <v>1830</v>
      </c>
      <c r="AE843">
        <v>1.1228114520247464E-4</v>
      </c>
    </row>
    <row r="844" spans="29:31" x14ac:dyDescent="0.45">
      <c r="AC844" t="s">
        <v>19</v>
      </c>
      <c r="AD844" t="s">
        <v>1831</v>
      </c>
      <c r="AE844">
        <v>1.1204298229801956E-4</v>
      </c>
    </row>
    <row r="845" spans="29:31" x14ac:dyDescent="0.45">
      <c r="AC845" t="s">
        <v>19</v>
      </c>
      <c r="AD845" t="s">
        <v>1832</v>
      </c>
      <c r="AE845">
        <v>1.1212185442871572E-4</v>
      </c>
    </row>
    <row r="846" spans="29:31" x14ac:dyDescent="0.45">
      <c r="AC846" t="s">
        <v>19</v>
      </c>
      <c r="AD846" t="s">
        <v>1833</v>
      </c>
      <c r="AE846">
        <v>1.1247987204158162E-4</v>
      </c>
    </row>
    <row r="847" spans="29:31" x14ac:dyDescent="0.45">
      <c r="AC847" t="s">
        <v>19</v>
      </c>
      <c r="AD847" t="s">
        <v>1834</v>
      </c>
      <c r="AE847">
        <v>1.1363666329179201E-4</v>
      </c>
    </row>
    <row r="848" spans="29:31" x14ac:dyDescent="0.45">
      <c r="AC848" t="s">
        <v>19</v>
      </c>
      <c r="AD848" t="s">
        <v>1835</v>
      </c>
      <c r="AE848">
        <v>1.1484216968155002E-4</v>
      </c>
    </row>
    <row r="849" spans="29:31" x14ac:dyDescent="0.45">
      <c r="AC849" t="s">
        <v>19</v>
      </c>
      <c r="AD849" t="s">
        <v>1836</v>
      </c>
      <c r="AE849">
        <v>1.1535406527489178E-4</v>
      </c>
    </row>
    <row r="850" spans="29:31" x14ac:dyDescent="0.45">
      <c r="AC850" t="s">
        <v>19</v>
      </c>
      <c r="AD850" t="s">
        <v>1837</v>
      </c>
      <c r="AE850">
        <v>1.1601945222061773E-4</v>
      </c>
    </row>
    <row r="851" spans="29:31" x14ac:dyDescent="0.45">
      <c r="AC851" t="s">
        <v>19</v>
      </c>
      <c r="AD851" t="s">
        <v>1838</v>
      </c>
      <c r="AE851">
        <v>1.1599045511374413E-4</v>
      </c>
    </row>
    <row r="852" spans="29:31" x14ac:dyDescent="0.45">
      <c r="AC852" t="s">
        <v>19</v>
      </c>
      <c r="AD852" t="s">
        <v>1839</v>
      </c>
      <c r="AE852">
        <v>1.1548861185078522E-4</v>
      </c>
    </row>
    <row r="853" spans="29:31" x14ac:dyDescent="0.45">
      <c r="AC853" t="s">
        <v>19</v>
      </c>
      <c r="AD853" t="s">
        <v>1840</v>
      </c>
      <c r="AE853">
        <v>1.1555124560163218E-4</v>
      </c>
    </row>
    <row r="854" spans="29:31" x14ac:dyDescent="0.45">
      <c r="AC854" t="s">
        <v>19</v>
      </c>
      <c r="AD854" t="s">
        <v>1841</v>
      </c>
      <c r="AE854">
        <v>1.15493251387885E-4</v>
      </c>
    </row>
    <row r="855" spans="29:31" x14ac:dyDescent="0.45">
      <c r="AC855" t="s">
        <v>19</v>
      </c>
      <c r="AD855" t="s">
        <v>1842</v>
      </c>
      <c r="AE855">
        <v>1.1525934139243804E-4</v>
      </c>
    </row>
    <row r="856" spans="29:31" x14ac:dyDescent="0.45">
      <c r="AC856" t="s">
        <v>19</v>
      </c>
      <c r="AD856" t="s">
        <v>1843</v>
      </c>
      <c r="AE856">
        <v>1.151854954269333E-4</v>
      </c>
    </row>
    <row r="857" spans="29:31" x14ac:dyDescent="0.45">
      <c r="AC857" t="s">
        <v>19</v>
      </c>
      <c r="AD857" t="s">
        <v>1844</v>
      </c>
      <c r="AE857">
        <v>1.152856321026701E-4</v>
      </c>
    </row>
    <row r="858" spans="29:31" x14ac:dyDescent="0.45">
      <c r="AC858" t="s">
        <v>19</v>
      </c>
      <c r="AD858" t="s">
        <v>1845</v>
      </c>
      <c r="AE858">
        <v>1.1601249291496805E-4</v>
      </c>
    </row>
    <row r="859" spans="29:31" x14ac:dyDescent="0.45">
      <c r="AC859" t="s">
        <v>19</v>
      </c>
      <c r="AD859" t="s">
        <v>1846</v>
      </c>
      <c r="AE859">
        <v>1.1616985054826873E-4</v>
      </c>
    </row>
    <row r="860" spans="29:31" x14ac:dyDescent="0.45">
      <c r="AC860" t="s">
        <v>19</v>
      </c>
      <c r="AD860" t="s">
        <v>1847</v>
      </c>
      <c r="AE860">
        <v>1.1630091747133737E-4</v>
      </c>
    </row>
    <row r="861" spans="29:31" x14ac:dyDescent="0.45">
      <c r="AC861" t="s">
        <v>19</v>
      </c>
      <c r="AD861" t="s">
        <v>1848</v>
      </c>
      <c r="AE861">
        <v>1.167907752634552E-4</v>
      </c>
    </row>
    <row r="862" spans="29:31" x14ac:dyDescent="0.45">
      <c r="AC862" t="s">
        <v>19</v>
      </c>
      <c r="AD862" t="s">
        <v>1849</v>
      </c>
      <c r="AE862">
        <v>1.1647451348448725E-4</v>
      </c>
    </row>
    <row r="863" spans="29:31" x14ac:dyDescent="0.45">
      <c r="AC863" t="s">
        <v>19</v>
      </c>
      <c r="AD863" t="s">
        <v>1850</v>
      </c>
      <c r="AE863">
        <v>1.1550446360254277E-4</v>
      </c>
    </row>
    <row r="864" spans="29:31" x14ac:dyDescent="0.45">
      <c r="AC864" t="s">
        <v>19</v>
      </c>
      <c r="AD864" t="s">
        <v>1851</v>
      </c>
      <c r="AE864">
        <v>1.1443659681341141E-4</v>
      </c>
    </row>
    <row r="865" spans="29:31" x14ac:dyDescent="0.45">
      <c r="AC865" t="s">
        <v>19</v>
      </c>
      <c r="AD865" t="s">
        <v>1852</v>
      </c>
      <c r="AE865">
        <v>1.1379556743745927E-4</v>
      </c>
    </row>
    <row r="866" spans="29:31" x14ac:dyDescent="0.45">
      <c r="AC866" t="s">
        <v>19</v>
      </c>
      <c r="AD866" t="s">
        <v>1853</v>
      </c>
      <c r="AE866">
        <v>1.1238862781195273E-4</v>
      </c>
    </row>
    <row r="867" spans="29:31" x14ac:dyDescent="0.45">
      <c r="AC867" t="s">
        <v>19</v>
      </c>
      <c r="AD867" t="s">
        <v>1854</v>
      </c>
      <c r="AE867">
        <v>1.121864213200209E-4</v>
      </c>
    </row>
    <row r="868" spans="29:31" x14ac:dyDescent="0.45">
      <c r="AC868" t="s">
        <v>19</v>
      </c>
      <c r="AD868" t="s">
        <v>1855</v>
      </c>
      <c r="AE868">
        <v>1.1192660724243354E-4</v>
      </c>
    </row>
    <row r="869" spans="29:31" x14ac:dyDescent="0.45">
      <c r="AC869" t="s">
        <v>19</v>
      </c>
      <c r="AD869" t="s">
        <v>1856</v>
      </c>
      <c r="AE869">
        <v>1.1200509274503806E-4</v>
      </c>
    </row>
    <row r="870" spans="29:31" x14ac:dyDescent="0.45">
      <c r="AC870" t="s">
        <v>19</v>
      </c>
      <c r="AD870" t="s">
        <v>1857</v>
      </c>
      <c r="AE870">
        <v>1.1226529345071706E-4</v>
      </c>
    </row>
    <row r="871" spans="29:31" x14ac:dyDescent="0.45">
      <c r="AC871" t="s">
        <v>19</v>
      </c>
      <c r="AD871" t="s">
        <v>1858</v>
      </c>
      <c r="AE871">
        <v>1.1346345390673375E-4</v>
      </c>
    </row>
    <row r="872" spans="29:31" x14ac:dyDescent="0.45">
      <c r="AC872" t="s">
        <v>19</v>
      </c>
      <c r="AD872" t="s">
        <v>1859</v>
      </c>
      <c r="AE872">
        <v>1.1465852133801728E-4</v>
      </c>
    </row>
    <row r="873" spans="29:31" x14ac:dyDescent="0.45">
      <c r="AC873" t="s">
        <v>19</v>
      </c>
      <c r="AD873" t="s">
        <v>1860</v>
      </c>
      <c r="AE873">
        <v>1.1535406527489178E-4</v>
      </c>
    </row>
    <row r="874" spans="29:31" x14ac:dyDescent="0.45">
      <c r="AC874" t="s">
        <v>19</v>
      </c>
      <c r="AD874" t="s">
        <v>1861</v>
      </c>
      <c r="AE874">
        <v>1.1592318182579741E-4</v>
      </c>
    </row>
    <row r="875" spans="29:31" x14ac:dyDescent="0.45">
      <c r="AC875" t="s">
        <v>19</v>
      </c>
      <c r="AD875" t="s">
        <v>323</v>
      </c>
      <c r="AE875">
        <v>2.1346820840001699E-2</v>
      </c>
    </row>
    <row r="876" spans="29:31" x14ac:dyDescent="0.45">
      <c r="AC876" t="s">
        <v>19</v>
      </c>
      <c r="AD876" t="s">
        <v>324</v>
      </c>
      <c r="AE876">
        <v>3.557157031164381E-3</v>
      </c>
    </row>
    <row r="877" spans="29:31" x14ac:dyDescent="0.45">
      <c r="AC877" t="s">
        <v>19</v>
      </c>
      <c r="AD877" t="s">
        <v>325</v>
      </c>
      <c r="AE877">
        <v>3.5730536317805741E-3</v>
      </c>
    </row>
    <row r="878" spans="29:31" x14ac:dyDescent="0.45">
      <c r="AC878" t="s">
        <v>19</v>
      </c>
      <c r="AD878" t="s">
        <v>326</v>
      </c>
      <c r="AE878">
        <v>2.1431810973620097E-2</v>
      </c>
    </row>
    <row r="879" spans="29:31" x14ac:dyDescent="0.45">
      <c r="AC879" t="s">
        <v>19</v>
      </c>
      <c r="AD879" t="s">
        <v>327</v>
      </c>
      <c r="AE879">
        <v>1.0477739875958328E-2</v>
      </c>
    </row>
    <row r="880" spans="29:31" x14ac:dyDescent="0.45">
      <c r="AC880" t="s">
        <v>19</v>
      </c>
      <c r="AD880" t="s">
        <v>328</v>
      </c>
      <c r="AE880">
        <v>3.4655134147168151E-3</v>
      </c>
    </row>
    <row r="881" spans="29:31" x14ac:dyDescent="0.45">
      <c r="AC881" t="s">
        <v>19</v>
      </c>
      <c r="AD881" t="s">
        <v>329</v>
      </c>
      <c r="AE881">
        <v>3.4671685695771598E-3</v>
      </c>
    </row>
    <row r="882" spans="29:31" x14ac:dyDescent="0.45">
      <c r="AC882" t="s">
        <v>19</v>
      </c>
      <c r="AD882" t="s">
        <v>330</v>
      </c>
      <c r="AE882">
        <v>1.7639771190730177E-2</v>
      </c>
    </row>
    <row r="883" spans="29:31" x14ac:dyDescent="0.45">
      <c r="AC883" t="s">
        <v>19</v>
      </c>
      <c r="AD883" t="s">
        <v>331</v>
      </c>
      <c r="AE883">
        <v>2.134432436308252E-2</v>
      </c>
    </row>
    <row r="884" spans="29:31" x14ac:dyDescent="0.45">
      <c r="AC884" t="s">
        <v>19</v>
      </c>
      <c r="AD884" t="s">
        <v>332</v>
      </c>
      <c r="AE884">
        <v>3.5586963232513611E-3</v>
      </c>
    </row>
    <row r="885" spans="29:31" x14ac:dyDescent="0.45">
      <c r="AC885" t="s">
        <v>19</v>
      </c>
      <c r="AD885" t="s">
        <v>333</v>
      </c>
      <c r="AE885">
        <v>3.5689408077957539E-3</v>
      </c>
    </row>
    <row r="886" spans="29:31" x14ac:dyDescent="0.45">
      <c r="AC886" t="s">
        <v>19</v>
      </c>
      <c r="AD886" t="s">
        <v>334</v>
      </c>
      <c r="AE886">
        <v>2.1425827111314258E-2</v>
      </c>
    </row>
    <row r="887" spans="29:31" x14ac:dyDescent="0.45">
      <c r="AC887" t="s">
        <v>19</v>
      </c>
      <c r="AD887" t="s">
        <v>335</v>
      </c>
      <c r="AE887">
        <v>1.0482450156333171E-2</v>
      </c>
    </row>
    <row r="888" spans="29:31" x14ac:dyDescent="0.45">
      <c r="AC888" t="s">
        <v>19</v>
      </c>
      <c r="AD888" t="s">
        <v>336</v>
      </c>
      <c r="AE888">
        <v>3.4675862535702693E-3</v>
      </c>
    </row>
    <row r="889" spans="29:31" x14ac:dyDescent="0.45">
      <c r="AC889" t="s">
        <v>19</v>
      </c>
      <c r="AD889" t="s">
        <v>337</v>
      </c>
      <c r="AE889">
        <v>3.4692027456214489E-3</v>
      </c>
    </row>
    <row r="890" spans="29:31" x14ac:dyDescent="0.45">
      <c r="AC890" t="s">
        <v>19</v>
      </c>
      <c r="AD890" t="s">
        <v>338</v>
      </c>
      <c r="AE890">
        <v>1.7627093897247603E-2</v>
      </c>
    </row>
    <row r="891" spans="29:31" x14ac:dyDescent="0.45">
      <c r="AC891" t="s">
        <v>19</v>
      </c>
      <c r="AD891" t="s">
        <v>339</v>
      </c>
      <c r="AE891">
        <v>1.9988286291884989E-2</v>
      </c>
    </row>
    <row r="892" spans="29:31" x14ac:dyDescent="0.45">
      <c r="AC892" t="s">
        <v>19</v>
      </c>
      <c r="AD892" t="s">
        <v>340</v>
      </c>
      <c r="AE892">
        <v>3.3321190572364388E-3</v>
      </c>
    </row>
    <row r="893" spans="29:31" x14ac:dyDescent="0.45">
      <c r="AC893" t="s">
        <v>19</v>
      </c>
      <c r="AD893" t="s">
        <v>341</v>
      </c>
      <c r="AE893">
        <v>3.3349661865033336E-3</v>
      </c>
    </row>
    <row r="894" spans="29:31" x14ac:dyDescent="0.45">
      <c r="AC894" t="s">
        <v>19</v>
      </c>
      <c r="AD894" t="s">
        <v>342</v>
      </c>
      <c r="AE894">
        <v>1.9976693635185023E-2</v>
      </c>
    </row>
    <row r="895" spans="29:31" x14ac:dyDescent="0.45">
      <c r="AC895" t="s">
        <v>19</v>
      </c>
      <c r="AD895" t="s">
        <v>343</v>
      </c>
      <c r="AE895">
        <v>9.8187178019769773E-3</v>
      </c>
    </row>
    <row r="896" spans="29:31" x14ac:dyDescent="0.45">
      <c r="AC896" t="s">
        <v>19</v>
      </c>
      <c r="AD896" t="s">
        <v>344</v>
      </c>
      <c r="AE896">
        <v>3.2496841486757419E-3</v>
      </c>
    </row>
    <row r="897" spans="29:31" x14ac:dyDescent="0.45">
      <c r="AC897" t="s">
        <v>19</v>
      </c>
      <c r="AD897" t="s">
        <v>345</v>
      </c>
      <c r="AE897">
        <v>3.2513048936359296E-3</v>
      </c>
    </row>
    <row r="898" spans="29:31" x14ac:dyDescent="0.45">
      <c r="AC898" t="s">
        <v>19</v>
      </c>
      <c r="AD898" t="s">
        <v>346</v>
      </c>
      <c r="AE898">
        <v>1.6478622975426759E-2</v>
      </c>
    </row>
    <row r="899" spans="29:31" x14ac:dyDescent="0.45">
      <c r="AC899" t="s">
        <v>19</v>
      </c>
      <c r="AD899" t="s">
        <v>371</v>
      </c>
      <c r="AE899">
        <v>1.1547694631468998E-4</v>
      </c>
    </row>
    <row r="900" spans="29:31" x14ac:dyDescent="0.45">
      <c r="AC900" t="s">
        <v>19</v>
      </c>
      <c r="AD900" t="s">
        <v>372</v>
      </c>
      <c r="AE900">
        <v>1.1536869044902857E-4</v>
      </c>
    </row>
    <row r="901" spans="29:31" x14ac:dyDescent="0.45">
      <c r="AC901" t="s">
        <v>19</v>
      </c>
      <c r="AD901" t="s">
        <v>373</v>
      </c>
      <c r="AE901">
        <v>1.153729433580367E-4</v>
      </c>
    </row>
    <row r="902" spans="29:31" x14ac:dyDescent="0.45">
      <c r="AC902" t="s">
        <v>19</v>
      </c>
      <c r="AD902" t="s">
        <v>374</v>
      </c>
      <c r="AE902">
        <v>1.153729433580367E-4</v>
      </c>
    </row>
    <row r="903" spans="29:31" x14ac:dyDescent="0.45">
      <c r="AC903" t="s">
        <v>19</v>
      </c>
      <c r="AD903" t="s">
        <v>375</v>
      </c>
      <c r="AE903">
        <v>1.153640509119288E-4</v>
      </c>
    </row>
    <row r="904" spans="29:31" x14ac:dyDescent="0.45">
      <c r="AC904" t="s">
        <v>19</v>
      </c>
      <c r="AD904" t="s">
        <v>376</v>
      </c>
      <c r="AE904">
        <v>1.1537255672994507E-4</v>
      </c>
    </row>
    <row r="905" spans="29:31" x14ac:dyDescent="0.45">
      <c r="AC905" t="s">
        <v>19</v>
      </c>
      <c r="AD905" t="s">
        <v>377</v>
      </c>
      <c r="AE905">
        <v>1.1539459453116899E-4</v>
      </c>
    </row>
    <row r="906" spans="29:31" x14ac:dyDescent="0.45">
      <c r="AC906" t="s">
        <v>19</v>
      </c>
      <c r="AD906" t="s">
        <v>378</v>
      </c>
      <c r="AE906">
        <v>1.154471759516331E-4</v>
      </c>
    </row>
    <row r="907" spans="29:31" x14ac:dyDescent="0.45">
      <c r="AC907" t="s">
        <v>19</v>
      </c>
      <c r="AD907" t="s">
        <v>379</v>
      </c>
      <c r="AE907">
        <v>1.1546844049667374E-4</v>
      </c>
    </row>
    <row r="908" spans="29:31" x14ac:dyDescent="0.45">
      <c r="AC908" t="s">
        <v>19</v>
      </c>
      <c r="AD908" t="s">
        <v>380</v>
      </c>
      <c r="AE908">
        <v>1.1552914110706245E-4</v>
      </c>
    </row>
    <row r="909" spans="29:31" x14ac:dyDescent="0.45">
      <c r="AC909" t="s">
        <v>19</v>
      </c>
      <c r="AD909" t="s">
        <v>381</v>
      </c>
      <c r="AE909">
        <v>1.1546341433148231E-4</v>
      </c>
    </row>
    <row r="910" spans="29:31" x14ac:dyDescent="0.45">
      <c r="AC910" t="s">
        <v>19</v>
      </c>
      <c r="AD910" t="s">
        <v>382</v>
      </c>
      <c r="AE910">
        <v>1.15263914236192E-4</v>
      </c>
    </row>
    <row r="911" spans="29:31" x14ac:dyDescent="0.45">
      <c r="AC911" t="s">
        <v>19</v>
      </c>
      <c r="AD911" t="s">
        <v>383</v>
      </c>
      <c r="AE911">
        <v>1.1500757981142949E-4</v>
      </c>
    </row>
    <row r="912" spans="29:31" x14ac:dyDescent="0.45">
      <c r="AC912" t="s">
        <v>19</v>
      </c>
      <c r="AD912" t="s">
        <v>384</v>
      </c>
      <c r="AE912">
        <v>1.1419488756278569E-4</v>
      </c>
    </row>
    <row r="913" spans="29:31" x14ac:dyDescent="0.45">
      <c r="AC913" t="s">
        <v>19</v>
      </c>
      <c r="AD913" t="s">
        <v>385</v>
      </c>
      <c r="AE913">
        <v>1.1372281466288365E-4</v>
      </c>
    </row>
    <row r="914" spans="29:31" x14ac:dyDescent="0.45">
      <c r="AC914" t="s">
        <v>19</v>
      </c>
      <c r="AD914" t="s">
        <v>386</v>
      </c>
      <c r="AE914">
        <v>1.1265340136138569E-4</v>
      </c>
    </row>
    <row r="915" spans="29:31" x14ac:dyDescent="0.45">
      <c r="AC915" t="s">
        <v>19</v>
      </c>
      <c r="AD915" t="s">
        <v>387</v>
      </c>
      <c r="AE915">
        <v>1.1240441287036447E-4</v>
      </c>
    </row>
    <row r="916" spans="29:31" x14ac:dyDescent="0.45">
      <c r="AC916" t="s">
        <v>19</v>
      </c>
      <c r="AD916" t="s">
        <v>388</v>
      </c>
      <c r="AE916">
        <v>1.1214575867705207E-4</v>
      </c>
    </row>
    <row r="917" spans="29:31" x14ac:dyDescent="0.45">
      <c r="AC917" t="s">
        <v>19</v>
      </c>
      <c r="AD917" t="s">
        <v>389</v>
      </c>
      <c r="AE917">
        <v>1.1222463080774823E-4</v>
      </c>
    </row>
    <row r="918" spans="29:31" x14ac:dyDescent="0.45">
      <c r="AC918" t="s">
        <v>19</v>
      </c>
      <c r="AD918" t="s">
        <v>390</v>
      </c>
      <c r="AE918">
        <v>1.1227218606302091E-4</v>
      </c>
    </row>
    <row r="919" spans="29:31" x14ac:dyDescent="0.45">
      <c r="AC919" t="s">
        <v>19</v>
      </c>
      <c r="AD919" t="s">
        <v>391</v>
      </c>
      <c r="AE919">
        <v>1.1318656149976809E-4</v>
      </c>
    </row>
    <row r="920" spans="29:31" x14ac:dyDescent="0.45">
      <c r="AC920" t="s">
        <v>19</v>
      </c>
      <c r="AD920" t="s">
        <v>392</v>
      </c>
      <c r="AE920">
        <v>1.1406266075544213E-4</v>
      </c>
    </row>
    <row r="921" spans="29:31" x14ac:dyDescent="0.45">
      <c r="AC921" t="s">
        <v>19</v>
      </c>
      <c r="AD921" t="s">
        <v>393</v>
      </c>
      <c r="AE921">
        <v>1.1463216393443942E-4</v>
      </c>
    </row>
    <row r="922" spans="29:31" x14ac:dyDescent="0.45">
      <c r="AC922" t="s">
        <v>19</v>
      </c>
      <c r="AD922" t="s">
        <v>394</v>
      </c>
      <c r="AE922">
        <v>1.1531146949146469E-4</v>
      </c>
    </row>
    <row r="923" spans="29:31" x14ac:dyDescent="0.45">
      <c r="AC923" t="s">
        <v>19</v>
      </c>
      <c r="AD923" t="s">
        <v>395</v>
      </c>
      <c r="AE923">
        <v>2.0705579701362661E-2</v>
      </c>
    </row>
    <row r="924" spans="29:31" x14ac:dyDescent="0.45">
      <c r="AC924" t="s">
        <v>19</v>
      </c>
      <c r="AD924" t="s">
        <v>396</v>
      </c>
      <c r="AE924">
        <v>3.4533611321054072E-3</v>
      </c>
    </row>
    <row r="925" spans="29:31" x14ac:dyDescent="0.45">
      <c r="AC925" t="s">
        <v>19</v>
      </c>
      <c r="AD925" t="s">
        <v>397</v>
      </c>
      <c r="AE925">
        <v>3.4542697081207793E-3</v>
      </c>
    </row>
    <row r="926" spans="29:31" x14ac:dyDescent="0.45">
      <c r="AC926" t="s">
        <v>19</v>
      </c>
      <c r="AD926" t="s">
        <v>398</v>
      </c>
      <c r="AE926">
        <v>2.0634184571330875E-2</v>
      </c>
    </row>
    <row r="927" spans="29:31" x14ac:dyDescent="0.45">
      <c r="AC927" t="s">
        <v>19</v>
      </c>
      <c r="AD927" t="s">
        <v>399</v>
      </c>
      <c r="AE927">
        <v>1.0114274534720715E-2</v>
      </c>
    </row>
    <row r="928" spans="29:31" x14ac:dyDescent="0.45">
      <c r="AC928" t="s">
        <v>19</v>
      </c>
      <c r="AD928" t="s">
        <v>400</v>
      </c>
      <c r="AE928">
        <v>3.3610157856715007E-3</v>
      </c>
    </row>
    <row r="929" spans="29:31" x14ac:dyDescent="0.45">
      <c r="AC929" t="s">
        <v>19</v>
      </c>
      <c r="AD929" t="s">
        <v>401</v>
      </c>
      <c r="AE929">
        <v>3.3623898619092167E-3</v>
      </c>
    </row>
    <row r="930" spans="29:31" x14ac:dyDescent="0.45">
      <c r="AC930" t="s">
        <v>19</v>
      </c>
      <c r="AD930" t="s">
        <v>402</v>
      </c>
      <c r="AE930">
        <v>1.7106964328365611E-2</v>
      </c>
    </row>
    <row r="931" spans="29:31" x14ac:dyDescent="0.45">
      <c r="AC931" t="s">
        <v>19</v>
      </c>
      <c r="AD931" t="s">
        <v>1864</v>
      </c>
      <c r="AE931">
        <v>1.1374320675357377E-4</v>
      </c>
    </row>
    <row r="932" spans="29:31" x14ac:dyDescent="0.45">
      <c r="AC932" t="s">
        <v>19</v>
      </c>
      <c r="AD932" t="s">
        <v>1865</v>
      </c>
      <c r="AE932">
        <v>1.136763200937187E-4</v>
      </c>
    </row>
    <row r="933" spans="29:31" x14ac:dyDescent="0.45">
      <c r="AC933" t="s">
        <v>19</v>
      </c>
      <c r="AD933" t="s">
        <v>1866</v>
      </c>
      <c r="AE933">
        <v>1.136763200937187E-4</v>
      </c>
    </row>
    <row r="934" spans="29:31" x14ac:dyDescent="0.45">
      <c r="AC934" t="s">
        <v>19</v>
      </c>
      <c r="AD934" t="s">
        <v>1867</v>
      </c>
      <c r="AE934">
        <v>1.1363572414409567E-4</v>
      </c>
    </row>
    <row r="935" spans="29:31" x14ac:dyDescent="0.45">
      <c r="AC935" t="s">
        <v>19</v>
      </c>
      <c r="AD935" t="s">
        <v>1868</v>
      </c>
      <c r="AE935">
        <v>1.1368250614318508E-4</v>
      </c>
    </row>
    <row r="936" spans="29:31" x14ac:dyDescent="0.45">
      <c r="AC936" t="s">
        <v>19</v>
      </c>
      <c r="AD936" t="s">
        <v>1869</v>
      </c>
      <c r="AE936">
        <v>1.1375480559632321E-4</v>
      </c>
    </row>
    <row r="937" spans="29:31" x14ac:dyDescent="0.45">
      <c r="AC937" t="s">
        <v>19</v>
      </c>
      <c r="AD937" t="s">
        <v>1870</v>
      </c>
      <c r="AE937">
        <v>1.1386499460244285E-4</v>
      </c>
    </row>
    <row r="938" spans="29:31" x14ac:dyDescent="0.45">
      <c r="AC938" t="s">
        <v>19</v>
      </c>
      <c r="AD938" t="s">
        <v>1871</v>
      </c>
      <c r="AE938">
        <v>1.1403549759085955E-4</v>
      </c>
    </row>
    <row r="939" spans="29:31" x14ac:dyDescent="0.45">
      <c r="AC939" t="s">
        <v>19</v>
      </c>
      <c r="AD939" t="s">
        <v>1872</v>
      </c>
      <c r="AE939">
        <v>1.1406604121009973E-4</v>
      </c>
    </row>
    <row r="940" spans="29:31" x14ac:dyDescent="0.45">
      <c r="AC940" t="s">
        <v>19</v>
      </c>
      <c r="AD940" t="s">
        <v>1873</v>
      </c>
      <c r="AE940">
        <v>1.1404941620215888E-4</v>
      </c>
    </row>
    <row r="941" spans="29:31" x14ac:dyDescent="0.45">
      <c r="AC941" t="s">
        <v>19</v>
      </c>
      <c r="AD941" t="s">
        <v>1874</v>
      </c>
      <c r="AE941">
        <v>1.139106167172573E-4</v>
      </c>
    </row>
    <row r="942" spans="29:31" x14ac:dyDescent="0.45">
      <c r="AC942" t="s">
        <v>19</v>
      </c>
      <c r="AD942" t="s">
        <v>1875</v>
      </c>
      <c r="AE942">
        <v>1.1376872420762254E-4</v>
      </c>
    </row>
    <row r="943" spans="29:31" x14ac:dyDescent="0.45">
      <c r="AC943" t="s">
        <v>19</v>
      </c>
      <c r="AD943" t="s">
        <v>1876</v>
      </c>
      <c r="AE943">
        <v>1.1342075892513948E-4</v>
      </c>
    </row>
    <row r="944" spans="29:31" x14ac:dyDescent="0.45">
      <c r="AC944" t="s">
        <v>19</v>
      </c>
      <c r="AD944" t="s">
        <v>1877</v>
      </c>
      <c r="AE944">
        <v>1.1320038091290019E-4</v>
      </c>
    </row>
    <row r="945" spans="29:31" x14ac:dyDescent="0.45">
      <c r="AC945" t="s">
        <v>19</v>
      </c>
      <c r="AD945" t="s">
        <v>1878</v>
      </c>
      <c r="AE945">
        <v>1.1261425272596205E-4</v>
      </c>
    </row>
    <row r="946" spans="29:31" x14ac:dyDescent="0.45">
      <c r="AC946" t="s">
        <v>19</v>
      </c>
      <c r="AD946" t="s">
        <v>1879</v>
      </c>
      <c r="AE946">
        <v>1.1235946481356611E-4</v>
      </c>
    </row>
    <row r="947" spans="29:31" x14ac:dyDescent="0.45">
      <c r="AC947" t="s">
        <v>19</v>
      </c>
      <c r="AD947" t="s">
        <v>1880</v>
      </c>
      <c r="AE947">
        <v>1.1209153154605414E-4</v>
      </c>
    </row>
    <row r="948" spans="29:31" x14ac:dyDescent="0.45">
      <c r="AC948" t="s">
        <v>19</v>
      </c>
      <c r="AD948" t="s">
        <v>1881</v>
      </c>
      <c r="AE948">
        <v>1.1213754028896025E-4</v>
      </c>
    </row>
    <row r="949" spans="29:31" x14ac:dyDescent="0.45">
      <c r="AC949" t="s">
        <v>19</v>
      </c>
      <c r="AD949" t="s">
        <v>1882</v>
      </c>
      <c r="AE949">
        <v>1.1219862752744061E-4</v>
      </c>
    </row>
    <row r="950" spans="29:31" x14ac:dyDescent="0.45">
      <c r="AC950" t="s">
        <v>19</v>
      </c>
      <c r="AD950" t="s">
        <v>1883</v>
      </c>
      <c r="AE950">
        <v>1.1296724417363653E-4</v>
      </c>
    </row>
    <row r="951" spans="29:31" x14ac:dyDescent="0.45">
      <c r="AC951" t="s">
        <v>19</v>
      </c>
      <c r="AD951" t="s">
        <v>1884</v>
      </c>
      <c r="AE951">
        <v>1.1398755570749522E-4</v>
      </c>
    </row>
    <row r="952" spans="29:31" x14ac:dyDescent="0.45">
      <c r="AC952" t="s">
        <v>19</v>
      </c>
      <c r="AD952" t="s">
        <v>1885</v>
      </c>
      <c r="AE952">
        <v>1.1481919273262975E-4</v>
      </c>
    </row>
    <row r="953" spans="29:31" x14ac:dyDescent="0.45">
      <c r="AC953" t="s">
        <v>19</v>
      </c>
      <c r="AD953" t="s">
        <v>1886</v>
      </c>
      <c r="AE953">
        <v>1.1549192561209703E-4</v>
      </c>
    </row>
    <row r="954" spans="29:31" x14ac:dyDescent="0.45">
      <c r="AC954" t="s">
        <v>19</v>
      </c>
      <c r="AD954" t="s">
        <v>1887</v>
      </c>
      <c r="AE954">
        <v>1.1552633551225369E-4</v>
      </c>
    </row>
    <row r="955" spans="29:31" x14ac:dyDescent="0.45">
      <c r="AC955" t="s">
        <v>19</v>
      </c>
      <c r="AD955" t="s">
        <v>403</v>
      </c>
      <c r="AE955">
        <v>2.0700732586758447E-2</v>
      </c>
    </row>
    <row r="956" spans="29:31" x14ac:dyDescent="0.45">
      <c r="AC956" t="s">
        <v>19</v>
      </c>
      <c r="AD956" t="s">
        <v>404</v>
      </c>
      <c r="AE956">
        <v>3.452575381910611E-3</v>
      </c>
    </row>
    <row r="957" spans="29:31" x14ac:dyDescent="0.45">
      <c r="AC957" t="s">
        <v>19</v>
      </c>
      <c r="AD957" t="s">
        <v>405</v>
      </c>
      <c r="AE957">
        <v>3.4535021294462907E-3</v>
      </c>
    </row>
    <row r="958" spans="29:31" x14ac:dyDescent="0.45">
      <c r="AC958" t="s">
        <v>19</v>
      </c>
      <c r="AD958" t="s">
        <v>406</v>
      </c>
      <c r="AE958">
        <v>2.0623439445188577E-2</v>
      </c>
    </row>
    <row r="959" spans="29:31" x14ac:dyDescent="0.45">
      <c r="AC959" t="s">
        <v>19</v>
      </c>
      <c r="AD959" t="s">
        <v>407</v>
      </c>
      <c r="AE959">
        <v>1.0111045051161569E-2</v>
      </c>
    </row>
    <row r="960" spans="29:31" x14ac:dyDescent="0.45">
      <c r="AC960" t="s">
        <v>19</v>
      </c>
      <c r="AD960" t="s">
        <v>408</v>
      </c>
      <c r="AE960">
        <v>3.3624407749047467E-3</v>
      </c>
    </row>
    <row r="961" spans="29:31" x14ac:dyDescent="0.45">
      <c r="AC961" t="s">
        <v>19</v>
      </c>
      <c r="AD961" t="s">
        <v>409</v>
      </c>
      <c r="AE961">
        <v>3.3637788947299399E-3</v>
      </c>
    </row>
    <row r="962" spans="29:31" x14ac:dyDescent="0.45">
      <c r="AC962" t="s">
        <v>19</v>
      </c>
      <c r="AD962" t="s">
        <v>410</v>
      </c>
      <c r="AE962">
        <v>1.7106455689490346E-2</v>
      </c>
    </row>
    <row r="963" spans="29:31" x14ac:dyDescent="0.45">
      <c r="AC963" t="s">
        <v>19</v>
      </c>
      <c r="AD963" t="s">
        <v>411</v>
      </c>
      <c r="AE963">
        <v>2.1400161656032014E-2</v>
      </c>
    </row>
    <row r="964" spans="29:31" x14ac:dyDescent="0.45">
      <c r="AC964" t="s">
        <v>19</v>
      </c>
      <c r="AD964" t="s">
        <v>412</v>
      </c>
      <c r="AE964">
        <v>3.5695159944076986E-3</v>
      </c>
    </row>
    <row r="965" spans="29:31" x14ac:dyDescent="0.45">
      <c r="AC965" t="s">
        <v>19</v>
      </c>
      <c r="AD965" t="s">
        <v>413</v>
      </c>
      <c r="AE965">
        <v>3.5692561803301113E-3</v>
      </c>
    </row>
    <row r="966" spans="29:31" x14ac:dyDescent="0.45">
      <c r="AC966" t="s">
        <v>19</v>
      </c>
      <c r="AD966" t="s">
        <v>414</v>
      </c>
      <c r="AE966">
        <v>2.1303165560283676E-2</v>
      </c>
    </row>
    <row r="967" spans="29:31" x14ac:dyDescent="0.45">
      <c r="AC967" t="s">
        <v>19</v>
      </c>
      <c r="AD967" t="s">
        <v>415</v>
      </c>
      <c r="AE967">
        <v>1.0451353310956653E-2</v>
      </c>
    </row>
    <row r="968" spans="29:31" x14ac:dyDescent="0.45">
      <c r="AC968" t="s">
        <v>19</v>
      </c>
      <c r="AD968" t="s">
        <v>416</v>
      </c>
      <c r="AE968">
        <v>3.4750267952056049E-3</v>
      </c>
    </row>
    <row r="969" spans="29:31" x14ac:dyDescent="0.45">
      <c r="AC969" t="s">
        <v>19</v>
      </c>
      <c r="AD969" t="s">
        <v>417</v>
      </c>
      <c r="AE969">
        <v>3.4761688945883326E-3</v>
      </c>
    </row>
    <row r="970" spans="29:31" x14ac:dyDescent="0.45">
      <c r="AC970" t="s">
        <v>19</v>
      </c>
      <c r="AD970" t="s">
        <v>418</v>
      </c>
      <c r="AE970">
        <v>1.7679452426616876E-2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93A5-F105-4B58-95EC-06234EED907D}">
  <dimension ref="A9:AN3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127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124</v>
      </c>
      <c r="K10" t="s">
        <v>248</v>
      </c>
      <c r="L10" t="s">
        <v>30</v>
      </c>
      <c r="N10" t="s">
        <v>13</v>
      </c>
      <c r="O10" t="s">
        <v>124</v>
      </c>
      <c r="P10" t="s">
        <v>248</v>
      </c>
      <c r="Q10" t="s">
        <v>30</v>
      </c>
      <c r="S10" t="s">
        <v>13</v>
      </c>
      <c r="T10" t="s">
        <v>124</v>
      </c>
      <c r="U10" t="s">
        <v>248</v>
      </c>
      <c r="V10" t="s">
        <v>30</v>
      </c>
      <c r="X10" t="s">
        <v>421</v>
      </c>
      <c r="Y10" t="s">
        <v>248</v>
      </c>
      <c r="Z10" t="s">
        <v>124</v>
      </c>
      <c r="AA10" t="s">
        <v>13</v>
      </c>
      <c r="AC10" t="s">
        <v>13</v>
      </c>
      <c r="AD10" t="s">
        <v>124</v>
      </c>
      <c r="AE10" t="s">
        <v>248</v>
      </c>
      <c r="AG10" t="s">
        <v>13</v>
      </c>
      <c r="AH10" t="s">
        <v>124</v>
      </c>
      <c r="AI10" t="s">
        <v>427</v>
      </c>
      <c r="AK10" t="s">
        <v>47</v>
      </c>
      <c r="AL10" t="s">
        <v>124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240</v>
      </c>
      <c r="F11" t="s">
        <v>1890</v>
      </c>
      <c r="G11" t="s">
        <v>152</v>
      </c>
      <c r="I11" t="s">
        <v>249</v>
      </c>
      <c r="J11" t="s">
        <v>250</v>
      </c>
      <c r="K11">
        <v>1.9097441212058874E-2</v>
      </c>
      <c r="L11" t="s">
        <v>251</v>
      </c>
      <c r="N11" t="s">
        <v>419</v>
      </c>
      <c r="O11" t="s">
        <v>250</v>
      </c>
      <c r="P11">
        <v>0.11158026662297411</v>
      </c>
      <c r="Q11" t="s">
        <v>251</v>
      </c>
      <c r="S11" t="s">
        <v>420</v>
      </c>
      <c r="T11" t="s">
        <v>250</v>
      </c>
      <c r="U11">
        <v>7.0645312290173096E-2</v>
      </c>
      <c r="V11" t="s">
        <v>251</v>
      </c>
      <c r="X11">
        <v>8.2191780821917804E-2</v>
      </c>
      <c r="Y11">
        <v>4.555602515973449E-2</v>
      </c>
      <c r="Z11" t="s">
        <v>250</v>
      </c>
      <c r="AA11" t="s">
        <v>25</v>
      </c>
      <c r="AC11" t="s">
        <v>22</v>
      </c>
      <c r="AD11" t="s">
        <v>250</v>
      </c>
      <c r="AE11">
        <v>9.4324726919737145E-2</v>
      </c>
      <c r="AG11" t="s">
        <v>99</v>
      </c>
      <c r="AH11" t="s">
        <v>250</v>
      </c>
      <c r="AI11">
        <v>0.17054789350890021</v>
      </c>
    </row>
    <row r="12" spans="1:40" x14ac:dyDescent="0.45">
      <c r="C12" t="s">
        <v>156</v>
      </c>
      <c r="E12" t="s">
        <v>241</v>
      </c>
      <c r="G12" t="s">
        <v>152</v>
      </c>
      <c r="I12" t="s">
        <v>249</v>
      </c>
      <c r="J12" t="s">
        <v>252</v>
      </c>
      <c r="K12">
        <v>0.24619855272329619</v>
      </c>
      <c r="L12" t="s">
        <v>251</v>
      </c>
      <c r="N12" t="s">
        <v>419</v>
      </c>
      <c r="O12" t="s">
        <v>252</v>
      </c>
      <c r="P12">
        <v>8.5350681977461845E-2</v>
      </c>
      <c r="Q12" t="s">
        <v>251</v>
      </c>
      <c r="S12" t="s">
        <v>420</v>
      </c>
      <c r="T12" t="s">
        <v>252</v>
      </c>
      <c r="U12">
        <v>9.1770261512004569E-2</v>
      </c>
      <c r="V12" t="s">
        <v>251</v>
      </c>
      <c r="X12">
        <v>0.10273972602739725</v>
      </c>
      <c r="Y12">
        <v>0.14672202471222937</v>
      </c>
      <c r="Z12" t="s">
        <v>252</v>
      </c>
      <c r="AA12" t="s">
        <v>25</v>
      </c>
      <c r="AC12" t="s">
        <v>22</v>
      </c>
      <c r="AD12" t="s">
        <v>252</v>
      </c>
      <c r="AE12">
        <v>9.6537584379752461E-2</v>
      </c>
      <c r="AG12" t="s">
        <v>99</v>
      </c>
      <c r="AH12" t="s">
        <v>252</v>
      </c>
      <c r="AI12">
        <v>0.29431724655558944</v>
      </c>
    </row>
    <row r="13" spans="1:40" x14ac:dyDescent="0.45">
      <c r="C13" t="s">
        <v>159</v>
      </c>
      <c r="E13" t="s">
        <v>242</v>
      </c>
      <c r="G13" t="s">
        <v>152</v>
      </c>
      <c r="I13" t="s">
        <v>249</v>
      </c>
      <c r="J13" t="s">
        <v>253</v>
      </c>
      <c r="K13">
        <v>1.503953008340451E-2</v>
      </c>
      <c r="L13" t="s">
        <v>251</v>
      </c>
      <c r="N13" t="s">
        <v>419</v>
      </c>
      <c r="O13" t="s">
        <v>253</v>
      </c>
      <c r="P13">
        <v>7.9255892116019522E-2</v>
      </c>
      <c r="Q13" t="s">
        <v>251</v>
      </c>
      <c r="S13" t="s">
        <v>420</v>
      </c>
      <c r="T13" t="s">
        <v>253</v>
      </c>
      <c r="U13">
        <v>5.5201637584045435E-2</v>
      </c>
      <c r="V13" t="s">
        <v>251</v>
      </c>
      <c r="X13">
        <v>6.1643835616438353E-2</v>
      </c>
      <c r="Y13">
        <v>5.4297292593789633E-2</v>
      </c>
      <c r="Z13" t="s">
        <v>253</v>
      </c>
      <c r="AA13" t="s">
        <v>25</v>
      </c>
      <c r="AC13" t="s">
        <v>22</v>
      </c>
      <c r="AD13" t="s">
        <v>253</v>
      </c>
      <c r="AE13">
        <v>5.7604852620230886E-2</v>
      </c>
      <c r="AG13" t="s">
        <v>99</v>
      </c>
      <c r="AH13" t="s">
        <v>253</v>
      </c>
      <c r="AI13">
        <v>0.2254281861887597</v>
      </c>
    </row>
    <row r="14" spans="1:40" x14ac:dyDescent="0.45">
      <c r="C14" t="s">
        <v>163</v>
      </c>
      <c r="I14" t="s">
        <v>249</v>
      </c>
      <c r="J14" t="s">
        <v>259</v>
      </c>
      <c r="K14">
        <v>6.6307805393972085E-3</v>
      </c>
      <c r="L14" t="s">
        <v>251</v>
      </c>
      <c r="N14" t="s">
        <v>419</v>
      </c>
      <c r="O14" t="s">
        <v>259</v>
      </c>
      <c r="P14">
        <v>7.9140125200043321E-2</v>
      </c>
      <c r="Q14" t="s">
        <v>251</v>
      </c>
      <c r="S14" t="s">
        <v>420</v>
      </c>
      <c r="T14" t="s">
        <v>259</v>
      </c>
      <c r="U14">
        <v>7.4582275022908706E-2</v>
      </c>
      <c r="V14" t="s">
        <v>251</v>
      </c>
      <c r="X14">
        <v>8.3105022831050229E-2</v>
      </c>
      <c r="Y14">
        <v>4.6062203217064869E-2</v>
      </c>
      <c r="Z14" t="s">
        <v>259</v>
      </c>
      <c r="AA14" t="s">
        <v>25</v>
      </c>
      <c r="AC14" t="s">
        <v>22</v>
      </c>
      <c r="AD14" t="s">
        <v>259</v>
      </c>
      <c r="AE14">
        <v>9.1599620015273692E-2</v>
      </c>
      <c r="AG14" t="s">
        <v>99</v>
      </c>
      <c r="AH14" t="s">
        <v>259</v>
      </c>
      <c r="AI14">
        <v>0.16022442981795204</v>
      </c>
    </row>
    <row r="15" spans="1:40" x14ac:dyDescent="0.45">
      <c r="I15" t="s">
        <v>249</v>
      </c>
      <c r="J15" t="s">
        <v>260</v>
      </c>
      <c r="K15">
        <v>0.16156341429540941</v>
      </c>
      <c r="L15" t="s">
        <v>251</v>
      </c>
      <c r="N15" t="s">
        <v>419</v>
      </c>
      <c r="O15" t="s">
        <v>260</v>
      </c>
      <c r="P15">
        <v>6.3299350723607775E-2</v>
      </c>
      <c r="Q15" t="s">
        <v>251</v>
      </c>
      <c r="S15" t="s">
        <v>420</v>
      </c>
      <c r="T15" t="s">
        <v>260</v>
      </c>
      <c r="U15">
        <v>8.9252230117003853E-2</v>
      </c>
      <c r="V15" t="s">
        <v>251</v>
      </c>
      <c r="X15">
        <v>0.10388127853881278</v>
      </c>
      <c r="Y15">
        <v>0.14835226943125412</v>
      </c>
      <c r="Z15" t="s">
        <v>260</v>
      </c>
      <c r="AA15" t="s">
        <v>25</v>
      </c>
      <c r="AC15" t="s">
        <v>22</v>
      </c>
      <c r="AD15" t="s">
        <v>260</v>
      </c>
      <c r="AE15">
        <v>0.10185324232130828</v>
      </c>
      <c r="AG15" t="s">
        <v>99</v>
      </c>
      <c r="AH15" t="s">
        <v>260</v>
      </c>
      <c r="AI15">
        <v>0.31780774255248678</v>
      </c>
    </row>
    <row r="16" spans="1:40" x14ac:dyDescent="0.45">
      <c r="I16" t="s">
        <v>249</v>
      </c>
      <c r="J16" t="s">
        <v>261</v>
      </c>
      <c r="K16">
        <v>2.7044112184937763E-3</v>
      </c>
      <c r="L16" t="s">
        <v>251</v>
      </c>
      <c r="N16" t="s">
        <v>419</v>
      </c>
      <c r="O16" t="s">
        <v>261</v>
      </c>
      <c r="P16">
        <v>5.4088321919668739E-2</v>
      </c>
      <c r="Q16" t="s">
        <v>251</v>
      </c>
      <c r="S16" t="s">
        <v>420</v>
      </c>
      <c r="T16" t="s">
        <v>261</v>
      </c>
      <c r="U16">
        <v>5.6123042060110588E-2</v>
      </c>
      <c r="V16" t="s">
        <v>251</v>
      </c>
      <c r="X16">
        <v>6.2328767123287672E-2</v>
      </c>
      <c r="Y16">
        <v>5.4900595844831736E-2</v>
      </c>
      <c r="Z16" t="s">
        <v>261</v>
      </c>
      <c r="AA16" t="s">
        <v>25</v>
      </c>
      <c r="AC16" t="s">
        <v>22</v>
      </c>
      <c r="AD16" t="s">
        <v>261</v>
      </c>
      <c r="AE16">
        <v>5.5969287076943486E-2</v>
      </c>
      <c r="AG16" t="s">
        <v>99</v>
      </c>
      <c r="AH16" t="s">
        <v>261</v>
      </c>
      <c r="AI16">
        <v>0.31090564643450325</v>
      </c>
    </row>
    <row r="17" spans="9:35" x14ac:dyDescent="0.45">
      <c r="I17" t="s">
        <v>249</v>
      </c>
      <c r="J17" t="s">
        <v>267</v>
      </c>
      <c r="K17">
        <v>3.332239195841369E-3</v>
      </c>
      <c r="L17" t="s">
        <v>251</v>
      </c>
      <c r="N17" t="s">
        <v>419</v>
      </c>
      <c r="O17" t="s">
        <v>267</v>
      </c>
      <c r="P17">
        <v>6.0545118928599186E-2</v>
      </c>
      <c r="Q17" t="s">
        <v>251</v>
      </c>
      <c r="S17" t="s">
        <v>420</v>
      </c>
      <c r="T17" t="s">
        <v>267</v>
      </c>
      <c r="U17">
        <v>6.6233459999998273E-2</v>
      </c>
      <c r="V17" t="s">
        <v>251</v>
      </c>
      <c r="X17">
        <v>5.6621004566210047E-2</v>
      </c>
      <c r="Y17">
        <v>3.1383039554483752E-2</v>
      </c>
      <c r="Z17" t="s">
        <v>267</v>
      </c>
      <c r="AA17" t="s">
        <v>25</v>
      </c>
      <c r="AC17" t="s">
        <v>22</v>
      </c>
      <c r="AD17" t="s">
        <v>267</v>
      </c>
      <c r="AE17">
        <v>6.360212748297836E-2</v>
      </c>
      <c r="AG17" t="s">
        <v>99</v>
      </c>
      <c r="AH17" t="s">
        <v>267</v>
      </c>
      <c r="AI17">
        <v>0.14093553768120293</v>
      </c>
    </row>
    <row r="18" spans="9:35" x14ac:dyDescent="0.45">
      <c r="I18" t="s">
        <v>249</v>
      </c>
      <c r="J18" t="s">
        <v>268</v>
      </c>
      <c r="K18">
        <v>0.12745623720770244</v>
      </c>
      <c r="L18" t="s">
        <v>251</v>
      </c>
      <c r="N18" t="s">
        <v>419</v>
      </c>
      <c r="O18" t="s">
        <v>268</v>
      </c>
      <c r="P18">
        <v>5.6043282933455958E-2</v>
      </c>
      <c r="Q18" t="s">
        <v>251</v>
      </c>
      <c r="S18" t="s">
        <v>420</v>
      </c>
      <c r="T18" t="s">
        <v>268</v>
      </c>
      <c r="U18">
        <v>8.3064569891005177E-2</v>
      </c>
      <c r="V18" t="s">
        <v>251</v>
      </c>
      <c r="X18">
        <v>7.0776255707762553E-2</v>
      </c>
      <c r="Y18">
        <v>0.10107517257953577</v>
      </c>
      <c r="Z18" t="s">
        <v>268</v>
      </c>
      <c r="AA18" t="s">
        <v>25</v>
      </c>
      <c r="AC18" t="s">
        <v>22</v>
      </c>
      <c r="AD18" t="s">
        <v>268</v>
      </c>
      <c r="AE18">
        <v>7.2795802680040225E-2</v>
      </c>
      <c r="AG18" t="s">
        <v>99</v>
      </c>
      <c r="AH18" t="s">
        <v>268</v>
      </c>
      <c r="AI18">
        <v>0.26087433081970146</v>
      </c>
    </row>
    <row r="19" spans="9:35" x14ac:dyDescent="0.45">
      <c r="I19" t="s">
        <v>249</v>
      </c>
      <c r="J19" t="s">
        <v>269</v>
      </c>
      <c r="K19">
        <v>3.1816117783316435E-3</v>
      </c>
      <c r="L19" t="s">
        <v>251</v>
      </c>
      <c r="N19" t="s">
        <v>419</v>
      </c>
      <c r="O19" t="s">
        <v>269</v>
      </c>
      <c r="P19">
        <v>4.3061664112195197E-2</v>
      </c>
      <c r="Q19" t="s">
        <v>251</v>
      </c>
      <c r="S19" t="s">
        <v>420</v>
      </c>
      <c r="T19" t="s">
        <v>269</v>
      </c>
      <c r="U19">
        <v>4.9853023133428237E-2</v>
      </c>
      <c r="V19" t="s">
        <v>251</v>
      </c>
      <c r="X19">
        <v>4.2465753424657533E-2</v>
      </c>
      <c r="Y19">
        <v>3.7404801564610637E-2</v>
      </c>
      <c r="Z19" t="s">
        <v>269</v>
      </c>
      <c r="AA19" t="s">
        <v>25</v>
      </c>
      <c r="AC19" t="s">
        <v>22</v>
      </c>
      <c r="AD19" t="s">
        <v>269</v>
      </c>
      <c r="AE19">
        <v>3.9867028359732666E-2</v>
      </c>
      <c r="AG19" t="s">
        <v>99</v>
      </c>
      <c r="AH19" t="s">
        <v>269</v>
      </c>
      <c r="AI19">
        <v>0.25382065550958965</v>
      </c>
    </row>
    <row r="20" spans="9:35" x14ac:dyDescent="0.45">
      <c r="I20" t="s">
        <v>249</v>
      </c>
      <c r="J20" t="s">
        <v>275</v>
      </c>
      <c r="K20">
        <v>3.6991518595226411E-2</v>
      </c>
      <c r="L20" t="s">
        <v>251</v>
      </c>
      <c r="N20" t="s">
        <v>419</v>
      </c>
      <c r="O20" t="s">
        <v>275</v>
      </c>
      <c r="P20">
        <v>0.14747919695787079</v>
      </c>
      <c r="Q20" t="s">
        <v>251</v>
      </c>
      <c r="S20" t="s">
        <v>420</v>
      </c>
      <c r="T20" t="s">
        <v>275</v>
      </c>
      <c r="U20">
        <v>0.12001528762879243</v>
      </c>
      <c r="V20" t="s">
        <v>251</v>
      </c>
      <c r="X20">
        <v>0.11141552511415526</v>
      </c>
      <c r="Y20">
        <v>6.1753722994306731E-2</v>
      </c>
      <c r="Z20" t="s">
        <v>275</v>
      </c>
      <c r="AA20" t="s">
        <v>25</v>
      </c>
      <c r="AC20" t="s">
        <v>22</v>
      </c>
      <c r="AD20" t="s">
        <v>275</v>
      </c>
      <c r="AE20">
        <v>0.12170498558278042</v>
      </c>
      <c r="AG20" t="s">
        <v>99</v>
      </c>
      <c r="AH20" t="s">
        <v>275</v>
      </c>
      <c r="AI20">
        <v>0.12317891335068754</v>
      </c>
    </row>
    <row r="21" spans="9:35" x14ac:dyDescent="0.45">
      <c r="I21" t="s">
        <v>249</v>
      </c>
      <c r="J21" t="s">
        <v>276</v>
      </c>
      <c r="K21">
        <v>0.36236245997875099</v>
      </c>
      <c r="L21" t="s">
        <v>251</v>
      </c>
      <c r="N21" t="s">
        <v>419</v>
      </c>
      <c r="O21" t="s">
        <v>276</v>
      </c>
      <c r="P21">
        <v>0.12142767197028635</v>
      </c>
      <c r="Q21" t="s">
        <v>251</v>
      </c>
      <c r="S21" t="s">
        <v>420</v>
      </c>
      <c r="T21" t="s">
        <v>276</v>
      </c>
      <c r="U21">
        <v>0.15236061716634944</v>
      </c>
      <c r="V21" t="s">
        <v>251</v>
      </c>
      <c r="X21">
        <v>0.13926940639269406</v>
      </c>
      <c r="Y21">
        <v>0.19888985572102202</v>
      </c>
      <c r="Z21" t="s">
        <v>276</v>
      </c>
      <c r="AA21" t="s">
        <v>25</v>
      </c>
      <c r="AC21" t="s">
        <v>22</v>
      </c>
      <c r="AD21" t="s">
        <v>276</v>
      </c>
      <c r="AE21">
        <v>0.12817429351306855</v>
      </c>
      <c r="AG21" t="s">
        <v>99</v>
      </c>
      <c r="AH21" t="s">
        <v>276</v>
      </c>
      <c r="AI21">
        <v>0.22004072751521631</v>
      </c>
    </row>
    <row r="22" spans="9:35" x14ac:dyDescent="0.45">
      <c r="I22" t="s">
        <v>249</v>
      </c>
      <c r="J22" t="s">
        <v>277</v>
      </c>
      <c r="K22">
        <v>1.5441803171886162E-2</v>
      </c>
      <c r="L22" t="s">
        <v>251</v>
      </c>
      <c r="N22" t="s">
        <v>419</v>
      </c>
      <c r="O22" t="s">
        <v>277</v>
      </c>
      <c r="P22">
        <v>9.8728426537565792E-2</v>
      </c>
      <c r="Q22" t="s">
        <v>251</v>
      </c>
      <c r="S22" t="s">
        <v>420</v>
      </c>
      <c r="T22" t="s">
        <v>277</v>
      </c>
      <c r="U22">
        <v>9.0898283593922033E-2</v>
      </c>
      <c r="V22" t="s">
        <v>251</v>
      </c>
      <c r="X22">
        <v>8.3561643835616442E-2</v>
      </c>
      <c r="Y22">
        <v>7.3602996627137054E-2</v>
      </c>
      <c r="Z22" t="s">
        <v>277</v>
      </c>
      <c r="AA22" t="s">
        <v>25</v>
      </c>
      <c r="AC22" t="s">
        <v>22</v>
      </c>
      <c r="AD22" t="s">
        <v>277</v>
      </c>
      <c r="AE22">
        <v>7.596644904815382E-2</v>
      </c>
      <c r="AG22" t="s">
        <v>99</v>
      </c>
      <c r="AH22" t="s">
        <v>277</v>
      </c>
      <c r="AI22">
        <v>0.20937505804717937</v>
      </c>
    </row>
    <row r="23" spans="9:35" x14ac:dyDescent="0.45">
      <c r="AC23" t="s">
        <v>19</v>
      </c>
      <c r="AD23" t="s">
        <v>250</v>
      </c>
      <c r="AE23">
        <v>8.2942302814767194E-2</v>
      </c>
    </row>
    <row r="24" spans="9:35" x14ac:dyDescent="0.45">
      <c r="AC24" t="s">
        <v>19</v>
      </c>
      <c r="AD24" t="s">
        <v>252</v>
      </c>
      <c r="AE24">
        <v>0.10229095172954637</v>
      </c>
    </row>
    <row r="25" spans="9:35" x14ac:dyDescent="0.45">
      <c r="AC25" t="s">
        <v>19</v>
      </c>
      <c r="AD25" t="s">
        <v>253</v>
      </c>
      <c r="AE25">
        <v>6.1353950615087874E-2</v>
      </c>
    </row>
    <row r="26" spans="9:35" x14ac:dyDescent="0.45">
      <c r="AC26" t="s">
        <v>19</v>
      </c>
      <c r="AD26" t="s">
        <v>259</v>
      </c>
      <c r="AE26">
        <v>8.3654277998954793E-2</v>
      </c>
    </row>
    <row r="27" spans="9:35" x14ac:dyDescent="0.45">
      <c r="AC27" t="s">
        <v>19</v>
      </c>
      <c r="AD27" t="s">
        <v>260</v>
      </c>
      <c r="AE27">
        <v>0.10374703122727394</v>
      </c>
    </row>
    <row r="28" spans="9:35" x14ac:dyDescent="0.45">
      <c r="AC28" t="s">
        <v>19</v>
      </c>
      <c r="AD28" t="s">
        <v>261</v>
      </c>
      <c r="AE28">
        <v>6.1914430719373928E-2</v>
      </c>
    </row>
    <row r="29" spans="9:35" x14ac:dyDescent="0.45">
      <c r="AC29" t="s">
        <v>19</v>
      </c>
      <c r="AD29" t="s">
        <v>267</v>
      </c>
      <c r="AE29">
        <v>5.6948992997076286E-2</v>
      </c>
    </row>
    <row r="30" spans="9:35" x14ac:dyDescent="0.45">
      <c r="AC30" t="s">
        <v>19</v>
      </c>
      <c r="AD30" t="s">
        <v>268</v>
      </c>
      <c r="AE30">
        <v>7.0750927785512938E-2</v>
      </c>
    </row>
    <row r="31" spans="9:35" x14ac:dyDescent="0.45">
      <c r="AC31" t="s">
        <v>19</v>
      </c>
      <c r="AD31" t="s">
        <v>269</v>
      </c>
      <c r="AE31">
        <v>4.2203236403176386E-2</v>
      </c>
    </row>
    <row r="32" spans="9:35" x14ac:dyDescent="0.45">
      <c r="AC32" t="s">
        <v>19</v>
      </c>
      <c r="AD32" t="s">
        <v>275</v>
      </c>
      <c r="AE32">
        <v>0.11224756528272117</v>
      </c>
    </row>
    <row r="33" spans="29:31" x14ac:dyDescent="0.45">
      <c r="AC33" t="s">
        <v>19</v>
      </c>
      <c r="AD33" t="s">
        <v>276</v>
      </c>
      <c r="AE33">
        <v>0.1387545139079287</v>
      </c>
    </row>
    <row r="34" spans="29:31" x14ac:dyDescent="0.45">
      <c r="AC34" t="s">
        <v>19</v>
      </c>
      <c r="AD34" t="s">
        <v>277</v>
      </c>
      <c r="AE34">
        <v>8.3191818518580443E-2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8289F-C3B3-47BF-8018-BC1D54A85B54}">
  <dimension ref="A9:AN5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124</v>
      </c>
      <c r="K10" t="s">
        <v>248</v>
      </c>
      <c r="L10" t="s">
        <v>30</v>
      </c>
      <c r="N10" t="s">
        <v>13</v>
      </c>
      <c r="O10" t="s">
        <v>124</v>
      </c>
      <c r="P10" t="s">
        <v>248</v>
      </c>
      <c r="Q10" t="s">
        <v>30</v>
      </c>
      <c r="S10" t="s">
        <v>13</v>
      </c>
      <c r="T10" t="s">
        <v>124</v>
      </c>
      <c r="U10" t="s">
        <v>248</v>
      </c>
      <c r="V10" t="s">
        <v>30</v>
      </c>
      <c r="X10" t="s">
        <v>421</v>
      </c>
      <c r="Y10" t="s">
        <v>248</v>
      </c>
      <c r="Z10" t="s">
        <v>124</v>
      </c>
      <c r="AA10" t="s">
        <v>13</v>
      </c>
      <c r="AC10" t="s">
        <v>13</v>
      </c>
      <c r="AD10" t="s">
        <v>124</v>
      </c>
      <c r="AE10" t="s">
        <v>248</v>
      </c>
      <c r="AG10" t="s">
        <v>13</v>
      </c>
      <c r="AH10" t="s">
        <v>124</v>
      </c>
      <c r="AI10" t="s">
        <v>427</v>
      </c>
      <c r="AK10" t="s">
        <v>47</v>
      </c>
      <c r="AL10" t="s">
        <v>124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240</v>
      </c>
      <c r="F11" t="s">
        <v>1890</v>
      </c>
      <c r="G11" t="s">
        <v>152</v>
      </c>
      <c r="I11" t="s">
        <v>249</v>
      </c>
      <c r="J11" t="s">
        <v>250</v>
      </c>
      <c r="K11">
        <v>3.8850639217409234E-3</v>
      </c>
      <c r="L11" t="s">
        <v>251</v>
      </c>
      <c r="N11" t="s">
        <v>419</v>
      </c>
      <c r="O11" t="s">
        <v>250</v>
      </c>
      <c r="P11">
        <v>0.10007164177822866</v>
      </c>
      <c r="Q11" t="s">
        <v>251</v>
      </c>
      <c r="S11" t="s">
        <v>420</v>
      </c>
      <c r="T11" t="s">
        <v>250</v>
      </c>
      <c r="U11">
        <v>6.1890834306433877E-2</v>
      </c>
      <c r="V11" t="s">
        <v>251</v>
      </c>
      <c r="X11">
        <v>7.1917808219178078E-2</v>
      </c>
      <c r="Y11">
        <v>2.8401660741366887E-2</v>
      </c>
      <c r="Z11" t="s">
        <v>250</v>
      </c>
      <c r="AA11" t="s">
        <v>25</v>
      </c>
      <c r="AC11" t="s">
        <v>22</v>
      </c>
      <c r="AD11" t="s">
        <v>250</v>
      </c>
      <c r="AE11">
        <v>8.2517133963453934E-2</v>
      </c>
      <c r="AG11" t="s">
        <v>99</v>
      </c>
      <c r="AH11" t="s">
        <v>250</v>
      </c>
      <c r="AI11">
        <v>0.1707118504332592</v>
      </c>
    </row>
    <row r="12" spans="1:40" x14ac:dyDescent="0.45">
      <c r="C12" t="s">
        <v>156</v>
      </c>
      <c r="E12" t="s">
        <v>241</v>
      </c>
      <c r="G12" t="s">
        <v>152</v>
      </c>
      <c r="I12" t="s">
        <v>249</v>
      </c>
      <c r="J12" t="s">
        <v>252</v>
      </c>
      <c r="K12">
        <v>1.5212377290317949E-2</v>
      </c>
      <c r="L12" t="s">
        <v>251</v>
      </c>
      <c r="N12" t="s">
        <v>419</v>
      </c>
      <c r="O12" t="s">
        <v>252</v>
      </c>
      <c r="P12">
        <v>1.1508624844745446E-2</v>
      </c>
      <c r="Q12" t="s">
        <v>251</v>
      </c>
      <c r="S12" t="s">
        <v>420</v>
      </c>
      <c r="T12" t="s">
        <v>252</v>
      </c>
      <c r="U12">
        <v>8.7544779837392239E-3</v>
      </c>
      <c r="V12" t="s">
        <v>251</v>
      </c>
      <c r="X12">
        <v>1.0273972602739725E-2</v>
      </c>
      <c r="Y12">
        <v>1.7154364418367599E-2</v>
      </c>
      <c r="Z12" t="s">
        <v>252</v>
      </c>
      <c r="AA12" t="s">
        <v>25</v>
      </c>
      <c r="AC12" t="s">
        <v>22</v>
      </c>
      <c r="AD12" t="s">
        <v>252</v>
      </c>
      <c r="AE12">
        <v>1.1807592956283209E-2</v>
      </c>
      <c r="AG12" t="s">
        <v>99</v>
      </c>
      <c r="AH12" t="s">
        <v>252</v>
      </c>
      <c r="AI12">
        <v>0.13039775427481448</v>
      </c>
    </row>
    <row r="13" spans="1:40" x14ac:dyDescent="0.45">
      <c r="C13" t="s">
        <v>159</v>
      </c>
      <c r="E13" t="s">
        <v>242</v>
      </c>
      <c r="G13" t="s">
        <v>152</v>
      </c>
      <c r="I13" t="s">
        <v>249</v>
      </c>
      <c r="J13" t="s">
        <v>253</v>
      </c>
      <c r="K13">
        <v>0.15595166903789462</v>
      </c>
      <c r="L13" t="s">
        <v>251</v>
      </c>
      <c r="N13" t="s">
        <v>419</v>
      </c>
      <c r="O13" t="s">
        <v>253</v>
      </c>
      <c r="P13">
        <v>5.1984443587502122E-2</v>
      </c>
      <c r="Q13" t="s">
        <v>251</v>
      </c>
      <c r="S13" t="s">
        <v>420</v>
      </c>
      <c r="T13" t="s">
        <v>253</v>
      </c>
      <c r="U13">
        <v>5.3971023957005287E-2</v>
      </c>
      <c r="V13" t="s">
        <v>251</v>
      </c>
      <c r="X13">
        <v>6.1643835616438353E-2</v>
      </c>
      <c r="Y13">
        <v>7.7686895557268237E-2</v>
      </c>
      <c r="Z13" t="s">
        <v>253</v>
      </c>
      <c r="AA13" t="s">
        <v>25</v>
      </c>
      <c r="AC13" t="s">
        <v>22</v>
      </c>
      <c r="AD13" t="s">
        <v>253</v>
      </c>
      <c r="AE13">
        <v>6.5302348795120022E-2</v>
      </c>
      <c r="AG13" t="s">
        <v>99</v>
      </c>
      <c r="AH13" t="s">
        <v>253</v>
      </c>
      <c r="AI13">
        <v>0.19745959154956116</v>
      </c>
    </row>
    <row r="14" spans="1:40" x14ac:dyDescent="0.45">
      <c r="C14" t="s">
        <v>163</v>
      </c>
      <c r="E14" t="s">
        <v>243</v>
      </c>
      <c r="G14" t="s">
        <v>152</v>
      </c>
      <c r="I14" t="s">
        <v>249</v>
      </c>
      <c r="J14" t="s">
        <v>254</v>
      </c>
      <c r="K14">
        <v>9.0246883685401583E-2</v>
      </c>
      <c r="L14" t="s">
        <v>251</v>
      </c>
      <c r="N14" t="s">
        <v>419</v>
      </c>
      <c r="O14" t="s">
        <v>254</v>
      </c>
      <c r="P14">
        <v>3.3366238389959731E-2</v>
      </c>
      <c r="Q14" t="s">
        <v>251</v>
      </c>
      <c r="S14" t="s">
        <v>420</v>
      </c>
      <c r="T14" t="s">
        <v>254</v>
      </c>
      <c r="U14">
        <v>3.7799237554999275E-2</v>
      </c>
      <c r="V14" t="s">
        <v>251</v>
      </c>
      <c r="X14">
        <v>4.1095890410958902E-2</v>
      </c>
      <c r="Y14">
        <v>6.90351291549611E-2</v>
      </c>
      <c r="Z14" t="s">
        <v>254</v>
      </c>
      <c r="AA14" t="s">
        <v>25</v>
      </c>
      <c r="AC14" t="s">
        <v>22</v>
      </c>
      <c r="AD14" t="s">
        <v>254</v>
      </c>
      <c r="AE14">
        <v>3.1235235584632436E-2</v>
      </c>
      <c r="AG14" t="s">
        <v>99</v>
      </c>
      <c r="AH14" t="s">
        <v>254</v>
      </c>
      <c r="AI14">
        <v>0.1270887152699991</v>
      </c>
    </row>
    <row r="15" spans="1:40" x14ac:dyDescent="0.45">
      <c r="E15" t="s">
        <v>244</v>
      </c>
      <c r="G15" t="s">
        <v>152</v>
      </c>
      <c r="I15" t="s">
        <v>249</v>
      </c>
      <c r="J15" t="s">
        <v>255</v>
      </c>
      <c r="K15">
        <v>1.227593549923761E-2</v>
      </c>
      <c r="L15" t="s">
        <v>251</v>
      </c>
      <c r="N15" t="s">
        <v>419</v>
      </c>
      <c r="O15" t="s">
        <v>255</v>
      </c>
      <c r="P15">
        <v>1.0357603255428699E-2</v>
      </c>
      <c r="Q15" t="s">
        <v>251</v>
      </c>
      <c r="S15" t="s">
        <v>420</v>
      </c>
      <c r="T15" t="s">
        <v>255</v>
      </c>
      <c r="U15">
        <v>9.541247890974611E-3</v>
      </c>
      <c r="V15" t="s">
        <v>251</v>
      </c>
      <c r="X15">
        <v>1.0273972602739725E-2</v>
      </c>
      <c r="Y15">
        <v>1.5513512169654176E-2</v>
      </c>
      <c r="Z15" t="s">
        <v>255</v>
      </c>
      <c r="AA15" t="s">
        <v>25</v>
      </c>
      <c r="AC15" t="s">
        <v>22</v>
      </c>
      <c r="AD15" t="s">
        <v>255</v>
      </c>
      <c r="AE15">
        <v>7.5084897451249332E-3</v>
      </c>
      <c r="AG15" t="s">
        <v>99</v>
      </c>
      <c r="AH15" t="s">
        <v>255</v>
      </c>
      <c r="AI15">
        <v>0.10834577279499991</v>
      </c>
    </row>
    <row r="16" spans="1:40" x14ac:dyDescent="0.45">
      <c r="E16" t="s">
        <v>245</v>
      </c>
      <c r="G16" t="s">
        <v>152</v>
      </c>
      <c r="I16" t="s">
        <v>249</v>
      </c>
      <c r="J16" t="s">
        <v>256</v>
      </c>
      <c r="K16">
        <v>2.7635945841669E-3</v>
      </c>
      <c r="L16" t="s">
        <v>251</v>
      </c>
      <c r="N16" t="s">
        <v>419</v>
      </c>
      <c r="O16" t="s">
        <v>256</v>
      </c>
      <c r="P16">
        <v>6.8898288860590823E-2</v>
      </c>
      <c r="Q16" t="s">
        <v>251</v>
      </c>
      <c r="S16" t="s">
        <v>420</v>
      </c>
      <c r="T16" t="s">
        <v>256</v>
      </c>
      <c r="U16">
        <v>4.5660389693070819E-2</v>
      </c>
      <c r="V16" t="s">
        <v>251</v>
      </c>
      <c r="X16">
        <v>5.1369863013698627E-2</v>
      </c>
      <c r="Y16">
        <v>3.8783780424135446E-2</v>
      </c>
      <c r="Z16" t="s">
        <v>256</v>
      </c>
      <c r="AA16" t="s">
        <v>25</v>
      </c>
      <c r="AC16" t="s">
        <v>22</v>
      </c>
      <c r="AD16" t="s">
        <v>256</v>
      </c>
      <c r="AE16">
        <v>5.0096362875105951E-2</v>
      </c>
      <c r="AG16" t="s">
        <v>99</v>
      </c>
      <c r="AH16" t="s">
        <v>256</v>
      </c>
      <c r="AI16">
        <v>0.19249681020788567</v>
      </c>
    </row>
    <row r="17" spans="9:35" x14ac:dyDescent="0.45">
      <c r="I17" t="s">
        <v>249</v>
      </c>
      <c r="J17" t="s">
        <v>259</v>
      </c>
      <c r="K17">
        <v>2.0517109116268366E-6</v>
      </c>
      <c r="L17" t="s">
        <v>251</v>
      </c>
      <c r="N17" t="s">
        <v>419</v>
      </c>
      <c r="O17" t="s">
        <v>259</v>
      </c>
      <c r="P17">
        <v>6.9898368461379146E-2</v>
      </c>
      <c r="Q17" t="s">
        <v>251</v>
      </c>
      <c r="S17" t="s">
        <v>420</v>
      </c>
      <c r="T17" t="s">
        <v>259</v>
      </c>
      <c r="U17">
        <v>6.558130115977602E-2</v>
      </c>
      <c r="V17" t="s">
        <v>251</v>
      </c>
      <c r="X17">
        <v>7.2716894977168947E-2</v>
      </c>
      <c r="Y17">
        <v>2.8717234749604293E-2</v>
      </c>
      <c r="Z17" t="s">
        <v>259</v>
      </c>
      <c r="AA17" t="s">
        <v>25</v>
      </c>
      <c r="AC17" t="s">
        <v>22</v>
      </c>
      <c r="AD17" t="s">
        <v>259</v>
      </c>
      <c r="AE17">
        <v>7.9836113923728705E-2</v>
      </c>
      <c r="AG17" t="s">
        <v>99</v>
      </c>
      <c r="AH17" t="s">
        <v>259</v>
      </c>
      <c r="AI17">
        <v>0.14920195985180373</v>
      </c>
    </row>
    <row r="18" spans="9:35" x14ac:dyDescent="0.45">
      <c r="I18" t="s">
        <v>249</v>
      </c>
      <c r="J18" t="s">
        <v>260</v>
      </c>
      <c r="K18">
        <v>6.6287288284855809E-3</v>
      </c>
      <c r="L18" t="s">
        <v>251</v>
      </c>
      <c r="N18" t="s">
        <v>419</v>
      </c>
      <c r="O18" t="s">
        <v>260</v>
      </c>
      <c r="P18">
        <v>9.2417567386641718E-3</v>
      </c>
      <c r="Q18" t="s">
        <v>251</v>
      </c>
      <c r="S18" t="s">
        <v>420</v>
      </c>
      <c r="T18" t="s">
        <v>260</v>
      </c>
      <c r="U18">
        <v>9.000973863132691E-3</v>
      </c>
      <c r="V18" t="s">
        <v>251</v>
      </c>
      <c r="X18">
        <v>1.0388127853881279E-2</v>
      </c>
      <c r="Y18">
        <v>1.7344968467460573E-2</v>
      </c>
      <c r="Z18" t="s">
        <v>260</v>
      </c>
      <c r="AA18" t="s">
        <v>25</v>
      </c>
      <c r="AC18" t="s">
        <v>22</v>
      </c>
      <c r="AD18" t="s">
        <v>260</v>
      </c>
      <c r="AE18">
        <v>1.1763506091544987E-2</v>
      </c>
      <c r="AG18" t="s">
        <v>99</v>
      </c>
      <c r="AH18" t="s">
        <v>260</v>
      </c>
      <c r="AI18">
        <v>0.13929296186989792</v>
      </c>
    </row>
    <row r="19" spans="9:35" x14ac:dyDescent="0.45">
      <c r="I19" t="s">
        <v>249</v>
      </c>
      <c r="J19" t="s">
        <v>261</v>
      </c>
      <c r="K19">
        <v>0.10477372040755309</v>
      </c>
      <c r="L19" t="s">
        <v>251</v>
      </c>
      <c r="N19" t="s">
        <v>419</v>
      </c>
      <c r="O19" t="s">
        <v>261</v>
      </c>
      <c r="P19">
        <v>3.9657752397469673E-2</v>
      </c>
      <c r="Q19" t="s">
        <v>251</v>
      </c>
      <c r="S19" t="s">
        <v>420</v>
      </c>
      <c r="T19" t="s">
        <v>261</v>
      </c>
      <c r="U19">
        <v>5.3485429732591377E-2</v>
      </c>
      <c r="V19" t="s">
        <v>251</v>
      </c>
      <c r="X19">
        <v>6.2328767123287672E-2</v>
      </c>
      <c r="Y19">
        <v>7.8550083285682332E-2</v>
      </c>
      <c r="Z19" t="s">
        <v>261</v>
      </c>
      <c r="AA19" t="s">
        <v>25</v>
      </c>
      <c r="AC19" t="s">
        <v>22</v>
      </c>
      <c r="AD19" t="s">
        <v>261</v>
      </c>
      <c r="AE19">
        <v>6.9379432323162141E-2</v>
      </c>
      <c r="AG19" t="s">
        <v>99</v>
      </c>
      <c r="AH19" t="s">
        <v>261</v>
      </c>
      <c r="AI19">
        <v>0.212112960683009</v>
      </c>
    </row>
    <row r="20" spans="9:35" x14ac:dyDescent="0.45">
      <c r="I20" t="s">
        <v>249</v>
      </c>
      <c r="J20" t="s">
        <v>262</v>
      </c>
      <c r="K20">
        <v>5.6789693887856318E-2</v>
      </c>
      <c r="L20" t="s">
        <v>251</v>
      </c>
      <c r="N20" t="s">
        <v>419</v>
      </c>
      <c r="O20" t="s">
        <v>262</v>
      </c>
      <c r="P20">
        <v>2.3641598326138106E-2</v>
      </c>
      <c r="Q20" t="s">
        <v>251</v>
      </c>
      <c r="S20" t="s">
        <v>420</v>
      </c>
      <c r="T20" t="s">
        <v>262</v>
      </c>
      <c r="U20">
        <v>3.5766800384412475E-2</v>
      </c>
      <c r="V20" t="s">
        <v>251</v>
      </c>
      <c r="X20">
        <v>4.1552511415525115E-2</v>
      </c>
      <c r="Y20">
        <v>6.9802186145571779E-2</v>
      </c>
      <c r="Z20" t="s">
        <v>262</v>
      </c>
      <c r="AA20" t="s">
        <v>25</v>
      </c>
      <c r="AC20" t="s">
        <v>22</v>
      </c>
      <c r="AD20" t="s">
        <v>262</v>
      </c>
      <c r="AE20">
        <v>3.2473809998146141E-2</v>
      </c>
      <c r="AG20" t="s">
        <v>99</v>
      </c>
      <c r="AH20" t="s">
        <v>262</v>
      </c>
      <c r="AI20">
        <v>0.16802544884047954</v>
      </c>
    </row>
    <row r="21" spans="9:35" x14ac:dyDescent="0.45">
      <c r="I21" t="s">
        <v>249</v>
      </c>
      <c r="J21" t="s">
        <v>263</v>
      </c>
      <c r="K21">
        <v>2.7044112184937763E-3</v>
      </c>
      <c r="L21" t="s">
        <v>251</v>
      </c>
      <c r="N21" t="s">
        <v>419</v>
      </c>
      <c r="O21" t="s">
        <v>263</v>
      </c>
      <c r="P21">
        <v>7.0273954903091705E-3</v>
      </c>
      <c r="Q21" t="s">
        <v>251</v>
      </c>
      <c r="S21" t="s">
        <v>420</v>
      </c>
      <c r="T21" t="s">
        <v>263</v>
      </c>
      <c r="U21">
        <v>9.2494068828312404E-3</v>
      </c>
      <c r="V21" t="s">
        <v>251</v>
      </c>
      <c r="X21">
        <v>1.0388127853881279E-2</v>
      </c>
      <c r="Y21">
        <v>1.5685884527094778E-2</v>
      </c>
      <c r="Z21" t="s">
        <v>263</v>
      </c>
      <c r="AA21" t="s">
        <v>25</v>
      </c>
      <c r="AC21" t="s">
        <v>22</v>
      </c>
      <c r="AD21" t="s">
        <v>263</v>
      </c>
      <c r="AE21">
        <v>7.3580031764057807E-3</v>
      </c>
      <c r="AG21" t="s">
        <v>99</v>
      </c>
      <c r="AH21" t="s">
        <v>263</v>
      </c>
      <c r="AI21">
        <v>5.0526572889450394E-2</v>
      </c>
    </row>
    <row r="22" spans="9:35" x14ac:dyDescent="0.45">
      <c r="I22" t="s">
        <v>249</v>
      </c>
      <c r="J22" t="s">
        <v>264</v>
      </c>
      <c r="K22">
        <v>0</v>
      </c>
      <c r="L22" t="s">
        <v>251</v>
      </c>
      <c r="N22" t="s">
        <v>419</v>
      </c>
      <c r="O22" t="s">
        <v>264</v>
      </c>
      <c r="P22">
        <v>4.7060926429359572E-2</v>
      </c>
      <c r="Q22" t="s">
        <v>251</v>
      </c>
      <c r="S22" t="s">
        <v>420</v>
      </c>
      <c r="T22" t="s">
        <v>264</v>
      </c>
      <c r="U22">
        <v>4.6873635177279348E-2</v>
      </c>
      <c r="V22" t="s">
        <v>251</v>
      </c>
      <c r="X22">
        <v>5.194063926940639E-2</v>
      </c>
      <c r="Y22">
        <v>3.9214711317736954E-2</v>
      </c>
      <c r="Z22" t="s">
        <v>264</v>
      </c>
      <c r="AA22" t="s">
        <v>25</v>
      </c>
      <c r="AC22" t="s">
        <v>22</v>
      </c>
      <c r="AD22" t="s">
        <v>264</v>
      </c>
      <c r="AE22">
        <v>4.8611283900537705E-2</v>
      </c>
      <c r="AG22" t="s">
        <v>99</v>
      </c>
      <c r="AH22" t="s">
        <v>264</v>
      </c>
      <c r="AI22">
        <v>0.27722973523475369</v>
      </c>
    </row>
    <row r="23" spans="9:35" x14ac:dyDescent="0.45">
      <c r="I23" t="s">
        <v>249</v>
      </c>
      <c r="J23" t="s">
        <v>267</v>
      </c>
      <c r="K23">
        <v>0</v>
      </c>
      <c r="L23" t="s">
        <v>251</v>
      </c>
      <c r="N23" t="s">
        <v>419</v>
      </c>
      <c r="O23" t="s">
        <v>267</v>
      </c>
      <c r="P23">
        <v>5.3402338798274371E-2</v>
      </c>
      <c r="Q23" t="s">
        <v>251</v>
      </c>
      <c r="S23" t="s">
        <v>420</v>
      </c>
      <c r="T23" t="s">
        <v>267</v>
      </c>
      <c r="U23">
        <v>5.8149908896543409E-2</v>
      </c>
      <c r="V23" t="s">
        <v>251</v>
      </c>
      <c r="X23">
        <v>4.954337899543379E-2</v>
      </c>
      <c r="Y23">
        <v>1.956558851071941E-2</v>
      </c>
      <c r="Z23" t="s">
        <v>267</v>
      </c>
      <c r="AA23" t="s">
        <v>25</v>
      </c>
      <c r="AC23" t="s">
        <v>22</v>
      </c>
      <c r="AD23" t="s">
        <v>267</v>
      </c>
      <c r="AE23">
        <v>5.5291796061843937E-2</v>
      </c>
      <c r="AG23" t="s">
        <v>99</v>
      </c>
      <c r="AH23" t="s">
        <v>267</v>
      </c>
      <c r="AI23">
        <v>0.111807235251006</v>
      </c>
    </row>
    <row r="24" spans="9:35" x14ac:dyDescent="0.45">
      <c r="I24" t="s">
        <v>249</v>
      </c>
      <c r="J24" t="s">
        <v>268</v>
      </c>
      <c r="K24">
        <v>3.332239195841369E-3</v>
      </c>
      <c r="L24" t="s">
        <v>251</v>
      </c>
      <c r="N24" t="s">
        <v>419</v>
      </c>
      <c r="O24" t="s">
        <v>268</v>
      </c>
      <c r="P24">
        <v>7.1427801303248113E-3</v>
      </c>
      <c r="Q24" t="s">
        <v>251</v>
      </c>
      <c r="S24" t="s">
        <v>420</v>
      </c>
      <c r="T24" t="s">
        <v>268</v>
      </c>
      <c r="U24">
        <v>8.083551103454871E-3</v>
      </c>
      <c r="V24" t="s">
        <v>251</v>
      </c>
      <c r="X24">
        <v>7.0776255707762558E-3</v>
      </c>
      <c r="Y24">
        <v>1.1817451043764349E-2</v>
      </c>
      <c r="Z24" t="s">
        <v>268</v>
      </c>
      <c r="AA24" t="s">
        <v>25</v>
      </c>
      <c r="AC24" t="s">
        <v>22</v>
      </c>
      <c r="AD24" t="s">
        <v>268</v>
      </c>
      <c r="AE24">
        <v>8.3103314211344335E-3</v>
      </c>
      <c r="AG24" t="s">
        <v>99</v>
      </c>
      <c r="AH24" t="s">
        <v>268</v>
      </c>
      <c r="AI24">
        <v>0.10706292205358769</v>
      </c>
    </row>
    <row r="25" spans="9:35" x14ac:dyDescent="0.45">
      <c r="I25" t="s">
        <v>249</v>
      </c>
      <c r="J25" t="s">
        <v>269</v>
      </c>
      <c r="K25">
        <v>8.0580729254222508E-2</v>
      </c>
      <c r="L25" t="s">
        <v>251</v>
      </c>
      <c r="N25" t="s">
        <v>419</v>
      </c>
      <c r="O25" t="s">
        <v>269</v>
      </c>
      <c r="P25">
        <v>3.4049808482892088E-2</v>
      </c>
      <c r="Q25" t="s">
        <v>251</v>
      </c>
      <c r="S25" t="s">
        <v>420</v>
      </c>
      <c r="T25" t="s">
        <v>269</v>
      </c>
      <c r="U25">
        <v>4.9636780428115881E-2</v>
      </c>
      <c r="V25" t="s">
        <v>251</v>
      </c>
      <c r="X25">
        <v>4.2465753424657533E-2</v>
      </c>
      <c r="Y25">
        <v>5.3517639161673687E-2</v>
      </c>
      <c r="Z25" t="s">
        <v>269</v>
      </c>
      <c r="AA25" t="s">
        <v>25</v>
      </c>
      <c r="AC25" t="s">
        <v>22</v>
      </c>
      <c r="AD25" t="s">
        <v>269</v>
      </c>
      <c r="AE25">
        <v>4.994936828594311E-2</v>
      </c>
      <c r="AG25" t="s">
        <v>99</v>
      </c>
      <c r="AH25" t="s">
        <v>269</v>
      </c>
      <c r="AI25">
        <v>0.15233085961207382</v>
      </c>
    </row>
    <row r="26" spans="9:35" x14ac:dyDescent="0.45">
      <c r="I26" t="s">
        <v>249</v>
      </c>
      <c r="J26" t="s">
        <v>270</v>
      </c>
      <c r="K26">
        <v>4.6875507953479938E-2</v>
      </c>
      <c r="L26" t="s">
        <v>251</v>
      </c>
      <c r="N26" t="s">
        <v>419</v>
      </c>
      <c r="O26" t="s">
        <v>270</v>
      </c>
      <c r="P26">
        <v>2.1993474450563877E-2</v>
      </c>
      <c r="Q26" t="s">
        <v>251</v>
      </c>
      <c r="S26" t="s">
        <v>420</v>
      </c>
      <c r="T26" t="s">
        <v>270</v>
      </c>
      <c r="U26">
        <v>3.3427789462889296E-2</v>
      </c>
      <c r="V26" t="s">
        <v>251</v>
      </c>
      <c r="X26">
        <v>2.8310502283105023E-2</v>
      </c>
      <c r="Y26">
        <v>4.7557533417862084E-2</v>
      </c>
      <c r="Z26" t="s">
        <v>270</v>
      </c>
      <c r="AA26" t="s">
        <v>25</v>
      </c>
      <c r="AC26" t="s">
        <v>22</v>
      </c>
      <c r="AD26" t="s">
        <v>270</v>
      </c>
      <c r="AE26">
        <v>2.2846434394097115E-2</v>
      </c>
      <c r="AG26" t="s">
        <v>99</v>
      </c>
      <c r="AH26" t="s">
        <v>270</v>
      </c>
      <c r="AI26">
        <v>0.14313950615489701</v>
      </c>
    </row>
    <row r="27" spans="9:35" x14ac:dyDescent="0.45">
      <c r="I27" t="s">
        <v>249</v>
      </c>
      <c r="J27" t="s">
        <v>271</v>
      </c>
      <c r="K27">
        <v>3.1816117783316435E-3</v>
      </c>
      <c r="L27" t="s">
        <v>251</v>
      </c>
      <c r="N27" t="s">
        <v>419</v>
      </c>
      <c r="O27" t="s">
        <v>271</v>
      </c>
      <c r="P27">
        <v>5.8845545468735284E-3</v>
      </c>
      <c r="Q27" t="s">
        <v>251</v>
      </c>
      <c r="S27" t="s">
        <v>420</v>
      </c>
      <c r="T27" t="s">
        <v>271</v>
      </c>
      <c r="U27">
        <v>8.245429981741428E-3</v>
      </c>
      <c r="V27" t="s">
        <v>251</v>
      </c>
      <c r="X27">
        <v>7.0776255707762558E-3</v>
      </c>
      <c r="Y27">
        <v>1.0687086161317328E-2</v>
      </c>
      <c r="Z27" t="s">
        <v>271</v>
      </c>
      <c r="AA27" t="s">
        <v>25</v>
      </c>
      <c r="AC27" t="s">
        <v>22</v>
      </c>
      <c r="AD27" t="s">
        <v>271</v>
      </c>
      <c r="AE27">
        <v>5.142304359993125E-3</v>
      </c>
      <c r="AG27" t="s">
        <v>99</v>
      </c>
      <c r="AH27" t="s">
        <v>271</v>
      </c>
      <c r="AI27">
        <v>4.2985261170463751E-2</v>
      </c>
    </row>
    <row r="28" spans="9:35" x14ac:dyDescent="0.45">
      <c r="I28" t="s">
        <v>249</v>
      </c>
      <c r="J28" t="s">
        <v>272</v>
      </c>
      <c r="K28">
        <v>0</v>
      </c>
      <c r="L28" t="s">
        <v>251</v>
      </c>
      <c r="N28" t="s">
        <v>419</v>
      </c>
      <c r="O28" t="s">
        <v>272</v>
      </c>
      <c r="P28">
        <v>3.7177109565321671E-2</v>
      </c>
      <c r="Q28" t="s">
        <v>251</v>
      </c>
      <c r="S28" t="s">
        <v>420</v>
      </c>
      <c r="T28" t="s">
        <v>272</v>
      </c>
      <c r="U28">
        <v>4.1607593151686807E-2</v>
      </c>
      <c r="V28" t="s">
        <v>251</v>
      </c>
      <c r="X28">
        <v>3.5388127853881277E-2</v>
      </c>
      <c r="Y28">
        <v>2.6717715403293308E-2</v>
      </c>
      <c r="Z28" t="s">
        <v>272</v>
      </c>
      <c r="AA28" t="s">
        <v>25</v>
      </c>
      <c r="AC28" t="s">
        <v>22</v>
      </c>
      <c r="AD28" t="s">
        <v>272</v>
      </c>
      <c r="AE28">
        <v>3.472472399973954E-2</v>
      </c>
      <c r="AG28" t="s">
        <v>99</v>
      </c>
      <c r="AH28" t="s">
        <v>272</v>
      </c>
      <c r="AI28">
        <v>0.21882047638856261</v>
      </c>
    </row>
    <row r="29" spans="9:35" x14ac:dyDescent="0.45">
      <c r="I29" t="s">
        <v>249</v>
      </c>
      <c r="J29" t="s">
        <v>275</v>
      </c>
      <c r="K29">
        <v>1.1182611621656511E-2</v>
      </c>
      <c r="L29" t="s">
        <v>251</v>
      </c>
      <c r="N29" t="s">
        <v>419</v>
      </c>
      <c r="O29" t="s">
        <v>275</v>
      </c>
      <c r="P29">
        <v>0.13205498557727688</v>
      </c>
      <c r="Q29" t="s">
        <v>251</v>
      </c>
      <c r="S29" t="s">
        <v>420</v>
      </c>
      <c r="T29" t="s">
        <v>275</v>
      </c>
      <c r="U29">
        <v>0.10523983049684402</v>
      </c>
      <c r="V29" t="s">
        <v>251</v>
      </c>
      <c r="X29">
        <v>9.7488584474885842E-2</v>
      </c>
      <c r="Y29">
        <v>3.8500029004964E-2</v>
      </c>
      <c r="Z29" t="s">
        <v>275</v>
      </c>
      <c r="AA29" t="s">
        <v>25</v>
      </c>
      <c r="AC29" t="s">
        <v>22</v>
      </c>
      <c r="AD29" t="s">
        <v>275</v>
      </c>
      <c r="AE29">
        <v>0.10632960834636788</v>
      </c>
      <c r="AG29" t="s">
        <v>99</v>
      </c>
      <c r="AH29" t="s">
        <v>275</v>
      </c>
      <c r="AI29">
        <v>0.12432418308443904</v>
      </c>
    </row>
    <row r="30" spans="9:35" x14ac:dyDescent="0.45">
      <c r="I30" t="s">
        <v>249</v>
      </c>
      <c r="J30" t="s">
        <v>276</v>
      </c>
      <c r="K30">
        <v>2.5808906973569901E-2</v>
      </c>
      <c r="L30" t="s">
        <v>251</v>
      </c>
      <c r="N30" t="s">
        <v>419</v>
      </c>
      <c r="O30" t="s">
        <v>276</v>
      </c>
      <c r="P30">
        <v>1.5424211380593926E-2</v>
      </c>
      <c r="Q30" t="s">
        <v>251</v>
      </c>
      <c r="S30" t="s">
        <v>420</v>
      </c>
      <c r="T30" t="s">
        <v>276</v>
      </c>
      <c r="U30">
        <v>1.4775457131948413E-2</v>
      </c>
      <c r="V30" t="s">
        <v>251</v>
      </c>
      <c r="X30">
        <v>1.3926940639269407E-2</v>
      </c>
      <c r="Y30">
        <v>2.3253693989342742E-2</v>
      </c>
      <c r="Z30" t="s">
        <v>276</v>
      </c>
      <c r="AA30" t="s">
        <v>25</v>
      </c>
      <c r="AC30" t="s">
        <v>22</v>
      </c>
      <c r="AD30" t="s">
        <v>276</v>
      </c>
      <c r="AE30">
        <v>1.5375377236412528E-2</v>
      </c>
      <c r="AG30" t="s">
        <v>99</v>
      </c>
      <c r="AH30" t="s">
        <v>276</v>
      </c>
      <c r="AI30">
        <v>8.4245725254431303E-2</v>
      </c>
    </row>
    <row r="31" spans="9:35" x14ac:dyDescent="0.45">
      <c r="I31" t="s">
        <v>249</v>
      </c>
      <c r="J31" t="s">
        <v>277</v>
      </c>
      <c r="K31">
        <v>0.22962123242334459</v>
      </c>
      <c r="L31" t="s">
        <v>251</v>
      </c>
      <c r="N31" t="s">
        <v>419</v>
      </c>
      <c r="O31" t="s">
        <v>277</v>
      </c>
      <c r="P31">
        <v>7.4425570026673188E-2</v>
      </c>
      <c r="Q31" t="s">
        <v>251</v>
      </c>
      <c r="S31" t="s">
        <v>420</v>
      </c>
      <c r="T31" t="s">
        <v>277</v>
      </c>
      <c r="U31">
        <v>9.0055565532743187E-2</v>
      </c>
      <c r="V31" t="s">
        <v>251</v>
      </c>
      <c r="X31">
        <v>8.3561643835616442E-2</v>
      </c>
      <c r="Y31">
        <v>0.10530890286651917</v>
      </c>
      <c r="Z31" t="s">
        <v>277</v>
      </c>
      <c r="AA31" t="s">
        <v>25</v>
      </c>
      <c r="AC31" t="s">
        <v>22</v>
      </c>
      <c r="AD31" t="s">
        <v>277</v>
      </c>
      <c r="AE31">
        <v>8.7044176015827798E-2</v>
      </c>
      <c r="AG31" t="s">
        <v>99</v>
      </c>
      <c r="AH31" t="s">
        <v>277</v>
      </c>
      <c r="AI31">
        <v>0.12653337994998992</v>
      </c>
    </row>
    <row r="32" spans="9:35" x14ac:dyDescent="0.45">
      <c r="I32" t="s">
        <v>249</v>
      </c>
      <c r="J32" t="s">
        <v>278</v>
      </c>
      <c r="K32">
        <v>0.1327412275554064</v>
      </c>
      <c r="L32" t="s">
        <v>251</v>
      </c>
      <c r="N32" t="s">
        <v>419</v>
      </c>
      <c r="O32" t="s">
        <v>278</v>
      </c>
      <c r="P32">
        <v>4.7002101943613171E-2</v>
      </c>
      <c r="Q32" t="s">
        <v>251</v>
      </c>
      <c r="S32" t="s">
        <v>420</v>
      </c>
      <c r="T32" t="s">
        <v>278</v>
      </c>
      <c r="U32">
        <v>6.2305051633606251E-2</v>
      </c>
      <c r="V32" t="s">
        <v>251</v>
      </c>
      <c r="X32">
        <v>5.5707762557077628E-2</v>
      </c>
      <c r="Y32">
        <v>9.3580952854502825E-2</v>
      </c>
      <c r="Z32" t="s">
        <v>278</v>
      </c>
      <c r="AA32" t="s">
        <v>25</v>
      </c>
      <c r="AC32" t="s">
        <v>22</v>
      </c>
      <c r="AD32" t="s">
        <v>278</v>
      </c>
      <c r="AE32">
        <v>4.1130117497240735E-2</v>
      </c>
      <c r="AG32" t="s">
        <v>99</v>
      </c>
      <c r="AH32" t="s">
        <v>278</v>
      </c>
      <c r="AI32">
        <v>0.14782096662941591</v>
      </c>
    </row>
    <row r="33" spans="9:35" x14ac:dyDescent="0.45">
      <c r="I33" t="s">
        <v>249</v>
      </c>
      <c r="J33" t="s">
        <v>279</v>
      </c>
      <c r="K33">
        <v>1.4403799837254911E-2</v>
      </c>
      <c r="L33" t="s">
        <v>251</v>
      </c>
      <c r="N33" t="s">
        <v>419</v>
      </c>
      <c r="O33" t="s">
        <v>279</v>
      </c>
      <c r="P33">
        <v>1.2772985520905786E-2</v>
      </c>
      <c r="Q33" t="s">
        <v>251</v>
      </c>
      <c r="S33" t="s">
        <v>420</v>
      </c>
      <c r="T33" t="s">
        <v>279</v>
      </c>
      <c r="U33">
        <v>1.5497948892348777E-2</v>
      </c>
      <c r="V33" t="s">
        <v>251</v>
      </c>
      <c r="X33">
        <v>1.3926940639269407E-2</v>
      </c>
      <c r="Y33">
        <v>2.1029427607753434E-2</v>
      </c>
      <c r="Z33" t="s">
        <v>279</v>
      </c>
      <c r="AA33" t="s">
        <v>25</v>
      </c>
      <c r="AC33" t="s">
        <v>22</v>
      </c>
      <c r="AD33" t="s">
        <v>279</v>
      </c>
      <c r="AE33">
        <v>9.776317682226237E-3</v>
      </c>
      <c r="AG33" t="s">
        <v>99</v>
      </c>
      <c r="AH33" t="s">
        <v>279</v>
      </c>
      <c r="AI33">
        <v>3.605510850928062E-2</v>
      </c>
    </row>
    <row r="34" spans="9:35" x14ac:dyDescent="0.45">
      <c r="I34" t="s">
        <v>249</v>
      </c>
      <c r="J34" t="s">
        <v>280</v>
      </c>
      <c r="K34">
        <v>1.0380033346312502E-3</v>
      </c>
      <c r="L34" t="s">
        <v>251</v>
      </c>
      <c r="N34" t="s">
        <v>419</v>
      </c>
      <c r="O34" t="s">
        <v>280</v>
      </c>
      <c r="P34">
        <v>8.595544101666E-2</v>
      </c>
      <c r="Q34" t="s">
        <v>251</v>
      </c>
      <c r="S34" t="s">
        <v>420</v>
      </c>
      <c r="T34" t="s">
        <v>280</v>
      </c>
      <c r="U34">
        <v>7.5400334701573257E-2</v>
      </c>
      <c r="V34" t="s">
        <v>251</v>
      </c>
      <c r="X34">
        <v>6.9634703196347028E-2</v>
      </c>
      <c r="Y34">
        <v>5.2573569019383606E-2</v>
      </c>
      <c r="Z34" t="s">
        <v>280</v>
      </c>
      <c r="AA34" t="s">
        <v>25</v>
      </c>
      <c r="AC34" t="s">
        <v>22</v>
      </c>
      <c r="AD34" t="s">
        <v>280</v>
      </c>
      <c r="AE34">
        <v>6.6190131365927593E-2</v>
      </c>
      <c r="AG34" t="s">
        <v>99</v>
      </c>
      <c r="AH34" t="s">
        <v>280</v>
      </c>
      <c r="AI34">
        <v>0.17579728239192716</v>
      </c>
    </row>
    <row r="35" spans="9:35" x14ac:dyDescent="0.45">
      <c r="AC35" t="s">
        <v>19</v>
      </c>
      <c r="AD35" t="s">
        <v>250</v>
      </c>
      <c r="AE35">
        <v>7.2573411429690704E-2</v>
      </c>
    </row>
    <row r="36" spans="9:35" x14ac:dyDescent="0.45">
      <c r="AC36" t="s">
        <v>19</v>
      </c>
      <c r="AD36" t="s">
        <v>252</v>
      </c>
      <c r="AE36">
        <v>1.0368891385076484E-2</v>
      </c>
    </row>
    <row r="37" spans="9:35" x14ac:dyDescent="0.45">
      <c r="AC37" t="s">
        <v>19</v>
      </c>
      <c r="AD37" t="s">
        <v>253</v>
      </c>
      <c r="AE37">
        <v>6.1853562260701801E-2</v>
      </c>
    </row>
    <row r="38" spans="9:35" x14ac:dyDescent="0.45">
      <c r="AC38" t="s">
        <v>19</v>
      </c>
      <c r="AD38" t="s">
        <v>254</v>
      </c>
      <c r="AE38">
        <v>4.0437389468844571E-2</v>
      </c>
    </row>
    <row r="39" spans="9:35" x14ac:dyDescent="0.45">
      <c r="AC39" t="s">
        <v>19</v>
      </c>
      <c r="AD39" t="s">
        <v>255</v>
      </c>
      <c r="AE39">
        <v>1.0089854932028578E-2</v>
      </c>
    </row>
    <row r="40" spans="9:35" x14ac:dyDescent="0.45">
      <c r="AC40" t="s">
        <v>19</v>
      </c>
      <c r="AD40" t="s">
        <v>256</v>
      </c>
      <c r="AE40">
        <v>5.1264095683059299E-2</v>
      </c>
    </row>
    <row r="41" spans="9:35" x14ac:dyDescent="0.45">
      <c r="AC41" t="s">
        <v>19</v>
      </c>
      <c r="AD41" t="s">
        <v>259</v>
      </c>
      <c r="AE41">
        <v>7.3177141822940259E-2</v>
      </c>
    </row>
    <row r="42" spans="9:35" x14ac:dyDescent="0.45">
      <c r="AC42" t="s">
        <v>19</v>
      </c>
      <c r="AD42" t="s">
        <v>260</v>
      </c>
      <c r="AE42">
        <v>1.0477136176014531E-2</v>
      </c>
    </row>
    <row r="43" spans="9:35" x14ac:dyDescent="0.45">
      <c r="AC43" t="s">
        <v>19</v>
      </c>
      <c r="AD43" t="s">
        <v>261</v>
      </c>
      <c r="AE43">
        <v>6.2784826050811884E-2</v>
      </c>
    </row>
    <row r="44" spans="9:35" x14ac:dyDescent="0.45">
      <c r="AC44" t="s">
        <v>19</v>
      </c>
      <c r="AD44" t="s">
        <v>262</v>
      </c>
      <c r="AE44">
        <v>4.0962205176462055E-2</v>
      </c>
    </row>
    <row r="45" spans="9:35" x14ac:dyDescent="0.45">
      <c r="AC45" t="s">
        <v>19</v>
      </c>
      <c r="AD45" t="s">
        <v>263</v>
      </c>
      <c r="AE45">
        <v>1.0191193771993611E-2</v>
      </c>
    </row>
    <row r="46" spans="9:35" x14ac:dyDescent="0.45">
      <c r="AC46" t="s">
        <v>19</v>
      </c>
      <c r="AD46" t="s">
        <v>264</v>
      </c>
      <c r="AE46">
        <v>5.1723236947380319E-2</v>
      </c>
    </row>
    <row r="47" spans="9:35" x14ac:dyDescent="0.45">
      <c r="AC47" t="s">
        <v>19</v>
      </c>
      <c r="AD47" t="s">
        <v>267</v>
      </c>
      <c r="AE47">
        <v>4.9806998557499954E-2</v>
      </c>
    </row>
    <row r="48" spans="9:35" x14ac:dyDescent="0.45">
      <c r="AC48" t="s">
        <v>19</v>
      </c>
      <c r="AD48" t="s">
        <v>268</v>
      </c>
      <c r="AE48">
        <v>7.1419944395763289E-3</v>
      </c>
    </row>
    <row r="49" spans="29:31" x14ac:dyDescent="0.45">
      <c r="AC49" t="s">
        <v>19</v>
      </c>
      <c r="AD49" t="s">
        <v>269</v>
      </c>
      <c r="AE49">
        <v>4.2857638084934348E-2</v>
      </c>
    </row>
    <row r="50" spans="29:31" x14ac:dyDescent="0.45">
      <c r="AC50" t="s">
        <v>19</v>
      </c>
      <c r="AD50" t="s">
        <v>270</v>
      </c>
      <c r="AE50">
        <v>2.7893289700578583E-2</v>
      </c>
    </row>
    <row r="51" spans="29:31" x14ac:dyDescent="0.45">
      <c r="AC51" t="s">
        <v>19</v>
      </c>
      <c r="AD51" t="s">
        <v>271</v>
      </c>
      <c r="AE51">
        <v>6.9363713151986087E-3</v>
      </c>
    </row>
    <row r="52" spans="29:31" x14ac:dyDescent="0.45">
      <c r="AC52" t="s">
        <v>19</v>
      </c>
      <c r="AD52" t="s">
        <v>272</v>
      </c>
      <c r="AE52">
        <v>3.5266865087977779E-2</v>
      </c>
    </row>
    <row r="53" spans="29:31" x14ac:dyDescent="0.45">
      <c r="AC53" t="s">
        <v>19</v>
      </c>
      <c r="AD53" t="s">
        <v>275</v>
      </c>
      <c r="AE53">
        <v>9.8206088404778166E-2</v>
      </c>
    </row>
    <row r="54" spans="29:31" x14ac:dyDescent="0.45">
      <c r="AC54" t="s">
        <v>19</v>
      </c>
      <c r="AD54" t="s">
        <v>276</v>
      </c>
      <c r="AE54">
        <v>1.4041476877943009E-2</v>
      </c>
    </row>
    <row r="55" spans="29:31" x14ac:dyDescent="0.45">
      <c r="AC55" t="s">
        <v>19</v>
      </c>
      <c r="AD55" t="s">
        <v>277</v>
      </c>
      <c r="AE55">
        <v>8.3910826527708954E-2</v>
      </c>
    </row>
    <row r="56" spans="29:31" x14ac:dyDescent="0.45">
      <c r="AC56" t="s">
        <v>19</v>
      </c>
      <c r="AD56" t="s">
        <v>278</v>
      </c>
      <c r="AE56">
        <v>5.4843687380219733E-2</v>
      </c>
    </row>
    <row r="57" spans="29:31" x14ac:dyDescent="0.45">
      <c r="AC57" t="s">
        <v>19</v>
      </c>
      <c r="AD57" t="s">
        <v>279</v>
      </c>
      <c r="AE57">
        <v>1.3678065803198606E-2</v>
      </c>
    </row>
    <row r="58" spans="29:31" x14ac:dyDescent="0.45">
      <c r="AC58" t="s">
        <v>19</v>
      </c>
      <c r="AD58" t="s">
        <v>280</v>
      </c>
      <c r="AE58">
        <v>6.9513752715381835E-2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D4FF-41D1-4DAC-8E95-799A62B4EF3A}">
  <dimension ref="A9:AN1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124</v>
      </c>
      <c r="K10" t="s">
        <v>248</v>
      </c>
      <c r="L10" t="s">
        <v>30</v>
      </c>
      <c r="N10" t="s">
        <v>13</v>
      </c>
      <c r="O10" t="s">
        <v>124</v>
      </c>
      <c r="P10" t="s">
        <v>248</v>
      </c>
      <c r="Q10" t="s">
        <v>30</v>
      </c>
      <c r="S10" t="s">
        <v>13</v>
      </c>
      <c r="T10" t="s">
        <v>124</v>
      </c>
      <c r="U10" t="s">
        <v>248</v>
      </c>
      <c r="V10" t="s">
        <v>30</v>
      </c>
      <c r="X10" t="s">
        <v>421</v>
      </c>
      <c r="Y10" t="s">
        <v>248</v>
      </c>
      <c r="Z10" t="s">
        <v>124</v>
      </c>
      <c r="AA10" t="s">
        <v>13</v>
      </c>
      <c r="AC10" t="s">
        <v>13</v>
      </c>
      <c r="AD10" t="s">
        <v>124</v>
      </c>
      <c r="AE10" t="s">
        <v>248</v>
      </c>
      <c r="AG10" t="s">
        <v>13</v>
      </c>
      <c r="AH10" t="s">
        <v>124</v>
      </c>
      <c r="AI10" t="s">
        <v>427</v>
      </c>
      <c r="AK10" t="s">
        <v>47</v>
      </c>
      <c r="AL10" t="s">
        <v>124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240</v>
      </c>
      <c r="F11" t="s">
        <v>1895</v>
      </c>
      <c r="G11" t="s">
        <v>152</v>
      </c>
      <c r="I11" t="s">
        <v>249</v>
      </c>
      <c r="J11" t="s">
        <v>250</v>
      </c>
      <c r="K11">
        <v>3.8850639217409234E-3</v>
      </c>
      <c r="L11" t="s">
        <v>251</v>
      </c>
      <c r="N11" t="s">
        <v>419</v>
      </c>
      <c r="O11" t="s">
        <v>250</v>
      </c>
      <c r="P11">
        <v>0.10007164177822866</v>
      </c>
      <c r="Q11" t="s">
        <v>251</v>
      </c>
      <c r="S11" t="s">
        <v>420</v>
      </c>
      <c r="T11" t="s">
        <v>250</v>
      </c>
      <c r="U11">
        <v>6.1890834306433877E-2</v>
      </c>
      <c r="V11" t="s">
        <v>251</v>
      </c>
      <c r="X11">
        <v>7.1917808219178078E-2</v>
      </c>
      <c r="Y11">
        <v>2.8401660741366887E-2</v>
      </c>
      <c r="Z11" t="s">
        <v>250</v>
      </c>
      <c r="AA11" t="s">
        <v>25</v>
      </c>
      <c r="AC11" t="s">
        <v>22</v>
      </c>
      <c r="AD11" t="s">
        <v>250</v>
      </c>
      <c r="AE11">
        <v>8.2517133963453934E-2</v>
      </c>
      <c r="AG11" t="s">
        <v>99</v>
      </c>
      <c r="AH11" t="s">
        <v>250</v>
      </c>
      <c r="AI11">
        <v>0.1707118504332592</v>
      </c>
    </row>
    <row r="12" spans="1:40" x14ac:dyDescent="0.45">
      <c r="C12" t="s">
        <v>156</v>
      </c>
      <c r="E12" t="s">
        <v>241</v>
      </c>
      <c r="G12" t="s">
        <v>152</v>
      </c>
      <c r="I12" t="s">
        <v>249</v>
      </c>
      <c r="J12" t="s">
        <v>252</v>
      </c>
      <c r="K12">
        <v>1.5212377290317949E-2</v>
      </c>
      <c r="L12" t="s">
        <v>251</v>
      </c>
      <c r="N12" t="s">
        <v>419</v>
      </c>
      <c r="O12" t="s">
        <v>252</v>
      </c>
      <c r="P12">
        <v>1.1508624844745446E-2</v>
      </c>
      <c r="Q12" t="s">
        <v>251</v>
      </c>
      <c r="S12" t="s">
        <v>420</v>
      </c>
      <c r="T12" t="s">
        <v>252</v>
      </c>
      <c r="U12">
        <v>8.7544779837392239E-3</v>
      </c>
      <c r="V12" t="s">
        <v>251</v>
      </c>
      <c r="X12">
        <v>1.0273972602739725E-2</v>
      </c>
      <c r="Y12">
        <v>1.7154364418367599E-2</v>
      </c>
      <c r="Z12" t="s">
        <v>252</v>
      </c>
      <c r="AA12" t="s">
        <v>25</v>
      </c>
      <c r="AC12" t="s">
        <v>22</v>
      </c>
      <c r="AD12" t="s">
        <v>252</v>
      </c>
      <c r="AE12">
        <v>1.1807592956283209E-2</v>
      </c>
      <c r="AG12" t="s">
        <v>99</v>
      </c>
      <c r="AH12" t="s">
        <v>252</v>
      </c>
      <c r="AI12">
        <v>0.13039775427481448</v>
      </c>
    </row>
    <row r="13" spans="1:40" x14ac:dyDescent="0.45">
      <c r="C13" t="s">
        <v>159</v>
      </c>
      <c r="E13" t="s">
        <v>242</v>
      </c>
      <c r="G13" t="s">
        <v>152</v>
      </c>
      <c r="I13" t="s">
        <v>249</v>
      </c>
      <c r="J13" t="s">
        <v>253</v>
      </c>
      <c r="K13">
        <v>0.15595166903789462</v>
      </c>
      <c r="L13" t="s">
        <v>251</v>
      </c>
      <c r="N13" t="s">
        <v>419</v>
      </c>
      <c r="O13" t="s">
        <v>253</v>
      </c>
      <c r="P13">
        <v>5.1984443587502122E-2</v>
      </c>
      <c r="Q13" t="s">
        <v>251</v>
      </c>
      <c r="S13" t="s">
        <v>420</v>
      </c>
      <c r="T13" t="s">
        <v>253</v>
      </c>
      <c r="U13">
        <v>5.3971023957005287E-2</v>
      </c>
      <c r="V13" t="s">
        <v>251</v>
      </c>
      <c r="X13">
        <v>6.1643835616438353E-2</v>
      </c>
      <c r="Y13">
        <v>7.7686895557268237E-2</v>
      </c>
      <c r="Z13" t="s">
        <v>253</v>
      </c>
      <c r="AA13" t="s">
        <v>25</v>
      </c>
      <c r="AC13" t="s">
        <v>22</v>
      </c>
      <c r="AD13" t="s">
        <v>253</v>
      </c>
      <c r="AE13">
        <v>6.5302348795120022E-2</v>
      </c>
      <c r="AG13" t="s">
        <v>99</v>
      </c>
      <c r="AH13" t="s">
        <v>253</v>
      </c>
      <c r="AI13">
        <v>0.19745959154956116</v>
      </c>
    </row>
    <row r="14" spans="1:40" x14ac:dyDescent="0.45">
      <c r="C14" t="s">
        <v>163</v>
      </c>
      <c r="E14" t="s">
        <v>243</v>
      </c>
      <c r="G14" t="s">
        <v>152</v>
      </c>
      <c r="I14" t="s">
        <v>249</v>
      </c>
      <c r="J14" t="s">
        <v>254</v>
      </c>
      <c r="K14">
        <v>9.0246883685401583E-2</v>
      </c>
      <c r="L14" t="s">
        <v>251</v>
      </c>
      <c r="N14" t="s">
        <v>419</v>
      </c>
      <c r="O14" t="s">
        <v>254</v>
      </c>
      <c r="P14">
        <v>3.3366238389959731E-2</v>
      </c>
      <c r="Q14" t="s">
        <v>251</v>
      </c>
      <c r="S14" t="s">
        <v>420</v>
      </c>
      <c r="T14" t="s">
        <v>254</v>
      </c>
      <c r="U14">
        <v>3.7799237554999275E-2</v>
      </c>
      <c r="V14" t="s">
        <v>251</v>
      </c>
      <c r="X14">
        <v>4.1095890410958902E-2</v>
      </c>
      <c r="Y14">
        <v>6.90351291549611E-2</v>
      </c>
      <c r="Z14" t="s">
        <v>254</v>
      </c>
      <c r="AA14" t="s">
        <v>25</v>
      </c>
      <c r="AC14" t="s">
        <v>22</v>
      </c>
      <c r="AD14" t="s">
        <v>254</v>
      </c>
      <c r="AE14">
        <v>3.1235235584632436E-2</v>
      </c>
      <c r="AG14" t="s">
        <v>99</v>
      </c>
      <c r="AH14" t="s">
        <v>254</v>
      </c>
      <c r="AI14">
        <v>0.1270887152699991</v>
      </c>
    </row>
    <row r="15" spans="1:40" x14ac:dyDescent="0.45">
      <c r="C15" t="s">
        <v>166</v>
      </c>
      <c r="E15" t="s">
        <v>244</v>
      </c>
      <c r="G15" t="s">
        <v>152</v>
      </c>
      <c r="I15" t="s">
        <v>249</v>
      </c>
      <c r="J15" t="s">
        <v>255</v>
      </c>
      <c r="K15">
        <v>1.227593549923761E-2</v>
      </c>
      <c r="L15" t="s">
        <v>251</v>
      </c>
      <c r="N15" t="s">
        <v>419</v>
      </c>
      <c r="O15" t="s">
        <v>255</v>
      </c>
      <c r="P15">
        <v>1.0357603255428699E-2</v>
      </c>
      <c r="Q15" t="s">
        <v>251</v>
      </c>
      <c r="S15" t="s">
        <v>420</v>
      </c>
      <c r="T15" t="s">
        <v>255</v>
      </c>
      <c r="U15">
        <v>9.541247890974611E-3</v>
      </c>
      <c r="V15" t="s">
        <v>251</v>
      </c>
      <c r="X15">
        <v>1.0273972602739725E-2</v>
      </c>
      <c r="Y15">
        <v>1.5513512169654176E-2</v>
      </c>
      <c r="Z15" t="s">
        <v>255</v>
      </c>
      <c r="AA15" t="s">
        <v>25</v>
      </c>
      <c r="AC15" t="s">
        <v>22</v>
      </c>
      <c r="AD15" t="s">
        <v>255</v>
      </c>
      <c r="AE15">
        <v>7.5084897451249332E-3</v>
      </c>
      <c r="AG15" t="s">
        <v>99</v>
      </c>
      <c r="AH15" t="s">
        <v>255</v>
      </c>
      <c r="AI15">
        <v>0.10834577279499991</v>
      </c>
    </row>
    <row r="16" spans="1:40" x14ac:dyDescent="0.45">
      <c r="C16" t="s">
        <v>158</v>
      </c>
      <c r="E16" t="s">
        <v>245</v>
      </c>
      <c r="G16" t="s">
        <v>152</v>
      </c>
      <c r="I16" t="s">
        <v>249</v>
      </c>
      <c r="J16" t="s">
        <v>256</v>
      </c>
      <c r="K16">
        <v>2.7635945841669E-3</v>
      </c>
      <c r="L16" t="s">
        <v>251</v>
      </c>
      <c r="N16" t="s">
        <v>419</v>
      </c>
      <c r="O16" t="s">
        <v>256</v>
      </c>
      <c r="P16">
        <v>6.8898288860590823E-2</v>
      </c>
      <c r="Q16" t="s">
        <v>251</v>
      </c>
      <c r="S16" t="s">
        <v>420</v>
      </c>
      <c r="T16" t="s">
        <v>256</v>
      </c>
      <c r="U16">
        <v>4.5660389693070819E-2</v>
      </c>
      <c r="V16" t="s">
        <v>251</v>
      </c>
      <c r="X16">
        <v>5.1369863013698627E-2</v>
      </c>
      <c r="Y16">
        <v>3.8783780424135446E-2</v>
      </c>
      <c r="Z16" t="s">
        <v>256</v>
      </c>
      <c r="AA16" t="s">
        <v>25</v>
      </c>
      <c r="AC16" t="s">
        <v>22</v>
      </c>
      <c r="AD16" t="s">
        <v>256</v>
      </c>
      <c r="AE16">
        <v>5.0096362875105951E-2</v>
      </c>
      <c r="AG16" t="s">
        <v>99</v>
      </c>
      <c r="AH16" t="s">
        <v>256</v>
      </c>
      <c r="AI16">
        <v>0.19249681020788567</v>
      </c>
    </row>
    <row r="17" spans="3:35" x14ac:dyDescent="0.45">
      <c r="C17" t="s">
        <v>169</v>
      </c>
      <c r="I17" t="s">
        <v>249</v>
      </c>
      <c r="J17" t="s">
        <v>259</v>
      </c>
      <c r="K17">
        <v>2.0517109116268366E-6</v>
      </c>
      <c r="L17" t="s">
        <v>251</v>
      </c>
      <c r="N17" t="s">
        <v>419</v>
      </c>
      <c r="O17" t="s">
        <v>259</v>
      </c>
      <c r="P17">
        <v>4.9802206647082015E-2</v>
      </c>
      <c r="Q17" t="s">
        <v>251</v>
      </c>
      <c r="S17" t="s">
        <v>420</v>
      </c>
      <c r="T17" t="s">
        <v>259</v>
      </c>
      <c r="U17">
        <v>4.3606174638867068E-2</v>
      </c>
      <c r="V17" t="s">
        <v>251</v>
      </c>
      <c r="X17">
        <v>4.8744292237442921E-2</v>
      </c>
      <c r="Y17">
        <v>1.9250014502482003E-2</v>
      </c>
      <c r="Z17" t="s">
        <v>259</v>
      </c>
      <c r="AA17" t="s">
        <v>25</v>
      </c>
      <c r="AC17" t="s">
        <v>22</v>
      </c>
      <c r="AD17" t="s">
        <v>259</v>
      </c>
      <c r="AE17">
        <v>5.3060262347876905E-2</v>
      </c>
      <c r="AG17" t="s">
        <v>99</v>
      </c>
      <c r="AH17" t="s">
        <v>259</v>
      </c>
      <c r="AI17">
        <v>7.4666793025701006E-2</v>
      </c>
    </row>
    <row r="18" spans="3:35" x14ac:dyDescent="0.45">
      <c r="C18" t="s">
        <v>171</v>
      </c>
      <c r="I18" t="s">
        <v>249</v>
      </c>
      <c r="J18" t="s">
        <v>260</v>
      </c>
      <c r="K18">
        <v>6.1120878655059312E-3</v>
      </c>
      <c r="L18" t="s">
        <v>251</v>
      </c>
      <c r="N18" t="s">
        <v>419</v>
      </c>
      <c r="O18" t="s">
        <v>260</v>
      </c>
      <c r="P18">
        <v>6.523720919774198E-3</v>
      </c>
      <c r="Q18" t="s">
        <v>251</v>
      </c>
      <c r="S18" t="s">
        <v>420</v>
      </c>
      <c r="T18" t="s">
        <v>260</v>
      </c>
      <c r="U18">
        <v>5.9465728427313359E-3</v>
      </c>
      <c r="V18" t="s">
        <v>251</v>
      </c>
      <c r="X18">
        <v>6.9634703196347035E-3</v>
      </c>
      <c r="Y18">
        <v>1.1626846994671376E-2</v>
      </c>
      <c r="Z18" t="s">
        <v>260</v>
      </c>
      <c r="AA18" t="s">
        <v>25</v>
      </c>
      <c r="AC18" t="s">
        <v>22</v>
      </c>
      <c r="AD18" t="s">
        <v>260</v>
      </c>
      <c r="AE18">
        <v>7.6873102735385036E-3</v>
      </c>
      <c r="AG18" t="s">
        <v>99</v>
      </c>
      <c r="AH18" t="s">
        <v>260</v>
      </c>
      <c r="AI18">
        <v>5.1855371875045408E-2</v>
      </c>
    </row>
    <row r="19" spans="3:35" x14ac:dyDescent="0.45">
      <c r="I19" t="s">
        <v>249</v>
      </c>
      <c r="J19" t="s">
        <v>261</v>
      </c>
      <c r="K19">
        <v>7.946031834604976E-2</v>
      </c>
      <c r="L19" t="s">
        <v>251</v>
      </c>
      <c r="N19" t="s">
        <v>419</v>
      </c>
      <c r="O19" t="s">
        <v>261</v>
      </c>
      <c r="P19">
        <v>2.665596232555829E-2</v>
      </c>
      <c r="Q19" t="s">
        <v>251</v>
      </c>
      <c r="S19" t="s">
        <v>420</v>
      </c>
      <c r="T19" t="s">
        <v>261</v>
      </c>
      <c r="U19">
        <v>3.466315351367881E-2</v>
      </c>
      <c r="V19" t="s">
        <v>251</v>
      </c>
      <c r="X19">
        <v>4.1780821917808221E-2</v>
      </c>
      <c r="Y19">
        <v>5.2654451433259586E-2</v>
      </c>
      <c r="Z19" t="s">
        <v>261</v>
      </c>
      <c r="AA19" t="s">
        <v>25</v>
      </c>
      <c r="AC19" t="s">
        <v>22</v>
      </c>
      <c r="AD19" t="s">
        <v>261</v>
      </c>
      <c r="AE19">
        <v>4.4977530220701507E-2</v>
      </c>
      <c r="AG19" t="s">
        <v>99</v>
      </c>
      <c r="AH19" t="s">
        <v>261</v>
      </c>
      <c r="AI19">
        <v>0.12084594434593376</v>
      </c>
    </row>
    <row r="20" spans="3:35" x14ac:dyDescent="0.45">
      <c r="I20" t="s">
        <v>249</v>
      </c>
      <c r="J20" t="s">
        <v>262</v>
      </c>
      <c r="K20">
        <v>4.3683422884877213E-2</v>
      </c>
      <c r="L20" t="s">
        <v>251</v>
      </c>
      <c r="N20" t="s">
        <v>419</v>
      </c>
      <c r="O20" t="s">
        <v>262</v>
      </c>
      <c r="P20">
        <v>1.5896541780066643E-2</v>
      </c>
      <c r="Q20" t="s">
        <v>251</v>
      </c>
      <c r="S20" t="s">
        <v>420</v>
      </c>
      <c r="T20" t="s">
        <v>262</v>
      </c>
      <c r="U20">
        <v>2.3624802267129645E-2</v>
      </c>
      <c r="V20" t="s">
        <v>251</v>
      </c>
      <c r="X20">
        <v>2.7853881278538814E-2</v>
      </c>
      <c r="Y20">
        <v>4.6790476427251412E-2</v>
      </c>
      <c r="Z20" t="s">
        <v>262</v>
      </c>
      <c r="AA20" t="s">
        <v>25</v>
      </c>
      <c r="AC20" t="s">
        <v>22</v>
      </c>
      <c r="AD20" t="s">
        <v>262</v>
      </c>
      <c r="AE20">
        <v>2.1392762545650222E-2</v>
      </c>
      <c r="AG20" t="s">
        <v>99</v>
      </c>
      <c r="AH20" t="s">
        <v>262</v>
      </c>
      <c r="AI20">
        <v>0.12160409745836054</v>
      </c>
    </row>
    <row r="21" spans="3:35" x14ac:dyDescent="0.45">
      <c r="I21" t="s">
        <v>249</v>
      </c>
      <c r="J21" t="s">
        <v>263</v>
      </c>
      <c r="K21">
        <v>2.5260182832761127E-3</v>
      </c>
      <c r="L21" t="s">
        <v>251</v>
      </c>
      <c r="N21" t="s">
        <v>419</v>
      </c>
      <c r="O21" t="s">
        <v>263</v>
      </c>
      <c r="P21">
        <v>4.7137984916886923E-3</v>
      </c>
      <c r="Q21" t="s">
        <v>251</v>
      </c>
      <c r="S21" t="s">
        <v>420</v>
      </c>
      <c r="T21" t="s">
        <v>263</v>
      </c>
      <c r="U21">
        <v>6.127862263176645E-3</v>
      </c>
      <c r="V21" t="s">
        <v>251</v>
      </c>
      <c r="X21">
        <v>6.9634703196347035E-3</v>
      </c>
      <c r="Y21">
        <v>1.0514713803876726E-2</v>
      </c>
      <c r="Z21" t="s">
        <v>263</v>
      </c>
      <c r="AA21" t="s">
        <v>25</v>
      </c>
      <c r="AC21" t="s">
        <v>22</v>
      </c>
      <c r="AD21" t="s">
        <v>263</v>
      </c>
      <c r="AE21">
        <v>4.859682444509514E-3</v>
      </c>
      <c r="AG21" t="s">
        <v>99</v>
      </c>
      <c r="AH21" t="s">
        <v>263</v>
      </c>
      <c r="AI21">
        <v>1.5869443968920871E-2</v>
      </c>
    </row>
    <row r="22" spans="3:35" x14ac:dyDescent="0.45">
      <c r="I22" t="s">
        <v>249</v>
      </c>
      <c r="J22" t="s">
        <v>264</v>
      </c>
      <c r="K22">
        <v>0</v>
      </c>
      <c r="L22" t="s">
        <v>251</v>
      </c>
      <c r="N22" t="s">
        <v>419</v>
      </c>
      <c r="O22" t="s">
        <v>264</v>
      </c>
      <c r="P22">
        <v>3.2392700803106876E-2</v>
      </c>
      <c r="Q22" t="s">
        <v>251</v>
      </c>
      <c r="S22" t="s">
        <v>420</v>
      </c>
      <c r="T22" t="s">
        <v>264</v>
      </c>
      <c r="U22">
        <v>3.1235468806572953E-2</v>
      </c>
      <c r="V22" t="s">
        <v>251</v>
      </c>
      <c r="X22">
        <v>3.4817351598173514E-2</v>
      </c>
      <c r="Y22">
        <v>2.6286784509691803E-2</v>
      </c>
      <c r="Z22" t="s">
        <v>264</v>
      </c>
      <c r="AA22" t="s">
        <v>25</v>
      </c>
      <c r="AC22" t="s">
        <v>22</v>
      </c>
      <c r="AD22" t="s">
        <v>264</v>
      </c>
      <c r="AE22">
        <v>3.1792794686410969E-2</v>
      </c>
      <c r="AG22" t="s">
        <v>99</v>
      </c>
      <c r="AH22" t="s">
        <v>264</v>
      </c>
      <c r="AI22">
        <v>0.22342826829271178</v>
      </c>
    </row>
    <row r="23" spans="3:35" x14ac:dyDescent="0.45">
      <c r="I23" t="s">
        <v>249</v>
      </c>
      <c r="J23" t="s">
        <v>267</v>
      </c>
      <c r="K23">
        <v>0</v>
      </c>
      <c r="L23" t="s">
        <v>251</v>
      </c>
      <c r="N23" t="s">
        <v>419</v>
      </c>
      <c r="O23" t="s">
        <v>267</v>
      </c>
      <c r="P23">
        <v>2.0096161814297128E-2</v>
      </c>
      <c r="Q23" t="s">
        <v>251</v>
      </c>
      <c r="S23" t="s">
        <v>420</v>
      </c>
      <c r="T23" t="s">
        <v>267</v>
      </c>
      <c r="U23">
        <v>2.1975126520908946E-2</v>
      </c>
      <c r="V23" t="s">
        <v>251</v>
      </c>
      <c r="X23">
        <v>2.3972602739726026E-2</v>
      </c>
      <c r="Y23">
        <v>9.4672202471222967E-3</v>
      </c>
      <c r="Z23" t="s">
        <v>267</v>
      </c>
      <c r="AA23" t="s">
        <v>25</v>
      </c>
      <c r="AC23" t="s">
        <v>22</v>
      </c>
      <c r="AD23" t="s">
        <v>267</v>
      </c>
      <c r="AE23">
        <v>2.677585157585181E-2</v>
      </c>
      <c r="AG23" t="s">
        <v>99</v>
      </c>
      <c r="AH23" t="s">
        <v>267</v>
      </c>
      <c r="AI23">
        <v>0.13697613830466371</v>
      </c>
    </row>
    <row r="24" spans="3:35" x14ac:dyDescent="0.45">
      <c r="I24" t="s">
        <v>249</v>
      </c>
      <c r="J24" t="s">
        <v>268</v>
      </c>
      <c r="K24">
        <v>5.1664096297965019E-4</v>
      </c>
      <c r="L24" t="s">
        <v>251</v>
      </c>
      <c r="N24" t="s">
        <v>419</v>
      </c>
      <c r="O24" t="s">
        <v>268</v>
      </c>
      <c r="P24">
        <v>2.7180358188899733E-3</v>
      </c>
      <c r="Q24" t="s">
        <v>251</v>
      </c>
      <c r="S24" t="s">
        <v>420</v>
      </c>
      <c r="T24" t="s">
        <v>268</v>
      </c>
      <c r="U24">
        <v>3.0544010204013551E-3</v>
      </c>
      <c r="V24" t="s">
        <v>251</v>
      </c>
      <c r="X24">
        <v>3.4246575342465752E-3</v>
      </c>
      <c r="Y24">
        <v>5.7181214727892006E-3</v>
      </c>
      <c r="Z24" t="s">
        <v>268</v>
      </c>
      <c r="AA24" t="s">
        <v>25</v>
      </c>
      <c r="AC24" t="s">
        <v>22</v>
      </c>
      <c r="AD24" t="s">
        <v>268</v>
      </c>
      <c r="AE24">
        <v>4.0761958180064832E-3</v>
      </c>
      <c r="AG24" t="s">
        <v>99</v>
      </c>
      <c r="AH24" t="s">
        <v>268</v>
      </c>
      <c r="AI24">
        <v>0.10211568961303708</v>
      </c>
    </row>
    <row r="25" spans="3:35" x14ac:dyDescent="0.45">
      <c r="I25" t="s">
        <v>249</v>
      </c>
      <c r="J25" t="s">
        <v>269</v>
      </c>
      <c r="K25">
        <v>2.5313402061503336E-2</v>
      </c>
      <c r="L25" t="s">
        <v>251</v>
      </c>
      <c r="N25" t="s">
        <v>419</v>
      </c>
      <c r="O25" t="s">
        <v>269</v>
      </c>
      <c r="P25">
        <v>1.3001790071911381E-2</v>
      </c>
      <c r="Q25" t="s">
        <v>251</v>
      </c>
      <c r="S25" t="s">
        <v>420</v>
      </c>
      <c r="T25" t="s">
        <v>269</v>
      </c>
      <c r="U25">
        <v>1.8822276218912571E-2</v>
      </c>
      <c r="V25" t="s">
        <v>251</v>
      </c>
      <c r="X25">
        <v>2.0547945205479451E-2</v>
      </c>
      <c r="Y25">
        <v>2.5895631852422749E-2</v>
      </c>
      <c r="Z25" t="s">
        <v>269</v>
      </c>
      <c r="AA25" t="s">
        <v>25</v>
      </c>
      <c r="AC25" t="s">
        <v>22</v>
      </c>
      <c r="AD25" t="s">
        <v>269</v>
      </c>
      <c r="AE25">
        <v>2.440190210246063E-2</v>
      </c>
      <c r="AG25" t="s">
        <v>99</v>
      </c>
      <c r="AH25" t="s">
        <v>269</v>
      </c>
      <c r="AI25">
        <v>0.16085381902352625</v>
      </c>
    </row>
    <row r="26" spans="3:35" x14ac:dyDescent="0.45">
      <c r="I26" t="s">
        <v>249</v>
      </c>
      <c r="J26" t="s">
        <v>270</v>
      </c>
      <c r="K26">
        <v>1.3106271002979107E-2</v>
      </c>
      <c r="L26" t="s">
        <v>251</v>
      </c>
      <c r="N26" t="s">
        <v>419</v>
      </c>
      <c r="O26" t="s">
        <v>270</v>
      </c>
      <c r="P26">
        <v>7.7450565460714616E-3</v>
      </c>
      <c r="Q26" t="s">
        <v>251</v>
      </c>
      <c r="S26" t="s">
        <v>420</v>
      </c>
      <c r="T26" t="s">
        <v>270</v>
      </c>
      <c r="U26">
        <v>1.214199811728283E-2</v>
      </c>
      <c r="V26" t="s">
        <v>251</v>
      </c>
      <c r="X26">
        <v>1.3698630136986301E-2</v>
      </c>
      <c r="Y26">
        <v>2.3011709718320367E-2</v>
      </c>
      <c r="Z26" t="s">
        <v>270</v>
      </c>
      <c r="AA26" t="s">
        <v>25</v>
      </c>
      <c r="AC26" t="s">
        <v>22</v>
      </c>
      <c r="AD26" t="s">
        <v>270</v>
      </c>
      <c r="AE26">
        <v>1.1081047452495925E-2</v>
      </c>
      <c r="AG26" t="s">
        <v>99</v>
      </c>
      <c r="AH26" t="s">
        <v>270</v>
      </c>
      <c r="AI26">
        <v>0.14550750066927076</v>
      </c>
    </row>
    <row r="27" spans="3:35" x14ac:dyDescent="0.45">
      <c r="I27" t="s">
        <v>249</v>
      </c>
      <c r="J27" t="s">
        <v>271</v>
      </c>
      <c r="K27">
        <v>1.783929352176636E-4</v>
      </c>
      <c r="L27" t="s">
        <v>251</v>
      </c>
      <c r="N27" t="s">
        <v>419</v>
      </c>
      <c r="O27" t="s">
        <v>271</v>
      </c>
      <c r="P27">
        <v>2.3135969986204778E-3</v>
      </c>
      <c r="Q27" t="s">
        <v>251</v>
      </c>
      <c r="S27" t="s">
        <v>420</v>
      </c>
      <c r="T27" t="s">
        <v>271</v>
      </c>
      <c r="U27">
        <v>3.1215446196545945E-3</v>
      </c>
      <c r="V27" t="s">
        <v>251</v>
      </c>
      <c r="X27">
        <v>3.4246575342465752E-3</v>
      </c>
      <c r="Y27">
        <v>5.1711707232180593E-3</v>
      </c>
      <c r="Z27" t="s">
        <v>271</v>
      </c>
      <c r="AA27" t="s">
        <v>25</v>
      </c>
      <c r="AC27" t="s">
        <v>22</v>
      </c>
      <c r="AD27" t="s">
        <v>271</v>
      </c>
      <c r="AE27">
        <v>2.4983207318962672E-3</v>
      </c>
      <c r="AG27" t="s">
        <v>99</v>
      </c>
      <c r="AH27" t="s">
        <v>271</v>
      </c>
      <c r="AI27">
        <v>3.4142395931153091E-2</v>
      </c>
    </row>
    <row r="28" spans="3:35" x14ac:dyDescent="0.45">
      <c r="I28" t="s">
        <v>249</v>
      </c>
      <c r="J28" t="s">
        <v>272</v>
      </c>
      <c r="K28">
        <v>0</v>
      </c>
      <c r="L28" t="s">
        <v>251</v>
      </c>
      <c r="N28" t="s">
        <v>419</v>
      </c>
      <c r="O28" t="s">
        <v>272</v>
      </c>
      <c r="P28">
        <v>1.4668225626252696E-2</v>
      </c>
      <c r="Q28" t="s">
        <v>251</v>
      </c>
      <c r="S28" t="s">
        <v>420</v>
      </c>
      <c r="T28" t="s">
        <v>272</v>
      </c>
      <c r="U28">
        <v>1.5638166370706395E-2</v>
      </c>
      <c r="V28" t="s">
        <v>251</v>
      </c>
      <c r="X28">
        <v>1.7123287671232876E-2</v>
      </c>
      <c r="Y28">
        <v>1.2927926808045149E-2</v>
      </c>
      <c r="Z28" t="s">
        <v>272</v>
      </c>
      <c r="AA28" t="s">
        <v>25</v>
      </c>
      <c r="AC28" t="s">
        <v>22</v>
      </c>
      <c r="AD28" t="s">
        <v>272</v>
      </c>
      <c r="AE28">
        <v>1.681848921412674E-2</v>
      </c>
      <c r="AG28" t="s">
        <v>99</v>
      </c>
      <c r="AH28" t="s">
        <v>272</v>
      </c>
      <c r="AI28">
        <v>0.23954895810254562</v>
      </c>
    </row>
    <row r="29" spans="3:35" x14ac:dyDescent="0.45">
      <c r="I29" t="s">
        <v>249</v>
      </c>
      <c r="J29" t="s">
        <v>275</v>
      </c>
      <c r="K29">
        <v>0</v>
      </c>
      <c r="L29" t="s">
        <v>251</v>
      </c>
      <c r="N29" t="s">
        <v>419</v>
      </c>
      <c r="O29" t="s">
        <v>275</v>
      </c>
      <c r="P29">
        <v>2.7978035871927237E-2</v>
      </c>
      <c r="Q29" t="s">
        <v>251</v>
      </c>
      <c r="S29" t="s">
        <v>420</v>
      </c>
      <c r="T29" t="s">
        <v>275</v>
      </c>
      <c r="U29">
        <v>2.6380150607354536E-2</v>
      </c>
      <c r="V29" t="s">
        <v>251</v>
      </c>
      <c r="X29">
        <v>2.4771689497716895E-2</v>
      </c>
      <c r="Y29">
        <v>9.7827942553597048E-3</v>
      </c>
      <c r="Z29" t="s">
        <v>275</v>
      </c>
      <c r="AA29" t="s">
        <v>25</v>
      </c>
      <c r="AC29" t="s">
        <v>22</v>
      </c>
      <c r="AD29" t="s">
        <v>275</v>
      </c>
      <c r="AE29">
        <v>2.7966614296225375E-2</v>
      </c>
      <c r="AG29" t="s">
        <v>99</v>
      </c>
      <c r="AH29" t="s">
        <v>275</v>
      </c>
      <c r="AI29">
        <v>0.10349349605510239</v>
      </c>
    </row>
    <row r="30" spans="3:35" x14ac:dyDescent="0.45">
      <c r="I30" t="s">
        <v>249</v>
      </c>
      <c r="J30" t="s">
        <v>276</v>
      </c>
      <c r="K30">
        <v>7.8052309015312832E-4</v>
      </c>
      <c r="L30" t="s">
        <v>251</v>
      </c>
      <c r="N30" t="s">
        <v>419</v>
      </c>
      <c r="O30" t="s">
        <v>276</v>
      </c>
      <c r="P30">
        <v>3.7884128657880421E-3</v>
      </c>
      <c r="Q30" t="s">
        <v>251</v>
      </c>
      <c r="S30" t="s">
        <v>420</v>
      </c>
      <c r="T30" t="s">
        <v>276</v>
      </c>
      <c r="U30">
        <v>3.5999580091018047E-3</v>
      </c>
      <c r="V30" t="s">
        <v>251</v>
      </c>
      <c r="X30">
        <v>3.5388127853881279E-3</v>
      </c>
      <c r="Y30">
        <v>5.9087255218821738E-3</v>
      </c>
      <c r="Z30" t="s">
        <v>276</v>
      </c>
      <c r="AA30" t="s">
        <v>25</v>
      </c>
      <c r="AC30" t="s">
        <v>22</v>
      </c>
      <c r="AD30" t="s">
        <v>276</v>
      </c>
      <c r="AE30">
        <v>4.2316119961850413E-3</v>
      </c>
      <c r="AG30" t="s">
        <v>99</v>
      </c>
      <c r="AH30" t="s">
        <v>276</v>
      </c>
      <c r="AI30">
        <v>9.3579735387869789E-2</v>
      </c>
    </row>
    <row r="31" spans="3:35" x14ac:dyDescent="0.45">
      <c r="I31" t="s">
        <v>249</v>
      </c>
      <c r="J31" t="s">
        <v>277</v>
      </c>
      <c r="K31">
        <v>3.598844042367861E-2</v>
      </c>
      <c r="L31" t="s">
        <v>251</v>
      </c>
      <c r="N31" t="s">
        <v>419</v>
      </c>
      <c r="O31" t="s">
        <v>277</v>
      </c>
      <c r="P31">
        <v>1.7718370554977197E-2</v>
      </c>
      <c r="Q31" t="s">
        <v>251</v>
      </c>
      <c r="S31" t="s">
        <v>420</v>
      </c>
      <c r="T31" t="s">
        <v>277</v>
      </c>
      <c r="U31">
        <v>2.1919812724936486E-2</v>
      </c>
      <c r="V31" t="s">
        <v>251</v>
      </c>
      <c r="X31">
        <v>2.1232876712328767E-2</v>
      </c>
      <c r="Y31">
        <v>2.6758819580836844E-2</v>
      </c>
      <c r="Z31" t="s">
        <v>277</v>
      </c>
      <c r="AA31" t="s">
        <v>25</v>
      </c>
      <c r="AC31" t="s">
        <v>22</v>
      </c>
      <c r="AD31" t="s">
        <v>277</v>
      </c>
      <c r="AE31">
        <v>2.52893600851027E-2</v>
      </c>
      <c r="AG31" t="s">
        <v>99</v>
      </c>
      <c r="AH31" t="s">
        <v>277</v>
      </c>
      <c r="AI31">
        <v>0.13028808653136692</v>
      </c>
    </row>
    <row r="32" spans="3:35" x14ac:dyDescent="0.45">
      <c r="I32" t="s">
        <v>249</v>
      </c>
      <c r="J32" t="s">
        <v>278</v>
      </c>
      <c r="K32">
        <v>2.0683934947640738E-2</v>
      </c>
      <c r="L32" t="s">
        <v>251</v>
      </c>
      <c r="N32" t="s">
        <v>419</v>
      </c>
      <c r="O32" t="s">
        <v>278</v>
      </c>
      <c r="P32">
        <v>1.069662570842125E-2</v>
      </c>
      <c r="Q32" t="s">
        <v>251</v>
      </c>
      <c r="S32" t="s">
        <v>420</v>
      </c>
      <c r="T32" t="s">
        <v>278</v>
      </c>
      <c r="U32">
        <v>1.4617086901499292E-2</v>
      </c>
      <c r="V32" t="s">
        <v>251</v>
      </c>
      <c r="X32">
        <v>1.4155251141552512E-2</v>
      </c>
      <c r="Y32">
        <v>2.3778766708931042E-2</v>
      </c>
      <c r="Z32" t="s">
        <v>278</v>
      </c>
      <c r="AA32" t="s">
        <v>25</v>
      </c>
      <c r="AC32" t="s">
        <v>22</v>
      </c>
      <c r="AD32" t="s">
        <v>278</v>
      </c>
      <c r="AE32">
        <v>1.1550016497768259E-2</v>
      </c>
      <c r="AG32" t="s">
        <v>99</v>
      </c>
      <c r="AH32" t="s">
        <v>278</v>
      </c>
      <c r="AI32">
        <v>0.13598228894512632</v>
      </c>
    </row>
    <row r="33" spans="9:35" x14ac:dyDescent="0.45">
      <c r="I33" t="s">
        <v>249</v>
      </c>
      <c r="J33" t="s">
        <v>279</v>
      </c>
      <c r="K33">
        <v>9.7688216512112434E-4</v>
      </c>
      <c r="L33" t="s">
        <v>251</v>
      </c>
      <c r="N33" t="s">
        <v>419</v>
      </c>
      <c r="O33" t="s">
        <v>279</v>
      </c>
      <c r="P33">
        <v>2.930497437883046E-3</v>
      </c>
      <c r="Q33" t="s">
        <v>251</v>
      </c>
      <c r="S33" t="s">
        <v>420</v>
      </c>
      <c r="T33" t="s">
        <v>279</v>
      </c>
      <c r="U33">
        <v>3.5799806164893669E-3</v>
      </c>
      <c r="V33" t="s">
        <v>251</v>
      </c>
      <c r="X33">
        <v>3.5388127853881279E-3</v>
      </c>
      <c r="Y33">
        <v>5.3435430806586613E-3</v>
      </c>
      <c r="Z33" t="s">
        <v>279</v>
      </c>
      <c r="AA33" t="s">
        <v>25</v>
      </c>
      <c r="AC33" t="s">
        <v>22</v>
      </c>
      <c r="AD33" t="s">
        <v>279</v>
      </c>
      <c r="AE33">
        <v>2.6002451766883763E-3</v>
      </c>
      <c r="AG33" t="s">
        <v>99</v>
      </c>
      <c r="AH33" t="s">
        <v>279</v>
      </c>
      <c r="AI33">
        <v>3.6642143420682283E-2</v>
      </c>
    </row>
    <row r="34" spans="9:35" x14ac:dyDescent="0.45">
      <c r="I34" t="s">
        <v>249</v>
      </c>
      <c r="J34" t="s">
        <v>280</v>
      </c>
      <c r="K34">
        <v>0</v>
      </c>
      <c r="L34" t="s">
        <v>251</v>
      </c>
      <c r="N34" t="s">
        <v>419</v>
      </c>
      <c r="O34" t="s">
        <v>280</v>
      </c>
      <c r="P34">
        <v>1.9050993178450711E-2</v>
      </c>
      <c r="Q34" t="s">
        <v>251</v>
      </c>
      <c r="S34" t="s">
        <v>420</v>
      </c>
      <c r="T34" t="s">
        <v>280</v>
      </c>
      <c r="U34">
        <v>1.8281068833678568E-2</v>
      </c>
      <c r="V34" t="s">
        <v>251</v>
      </c>
      <c r="X34">
        <v>1.7694063926940638E-2</v>
      </c>
      <c r="Y34">
        <v>1.3358857701646654E-2</v>
      </c>
      <c r="Z34" t="s">
        <v>280</v>
      </c>
      <c r="AA34" t="s">
        <v>25</v>
      </c>
      <c r="AC34" t="s">
        <v>22</v>
      </c>
      <c r="AD34" t="s">
        <v>280</v>
      </c>
      <c r="AE34">
        <v>1.7683837421870352E-2</v>
      </c>
      <c r="AG34" t="s">
        <v>99</v>
      </c>
      <c r="AH34" t="s">
        <v>280</v>
      </c>
      <c r="AI34">
        <v>0.20480196779357418</v>
      </c>
    </row>
    <row r="35" spans="9:35" x14ac:dyDescent="0.45">
      <c r="I35" t="s">
        <v>249</v>
      </c>
      <c r="J35" t="s">
        <v>283</v>
      </c>
      <c r="K35">
        <v>0</v>
      </c>
      <c r="L35" t="s">
        <v>251</v>
      </c>
      <c r="N35" t="s">
        <v>419</v>
      </c>
      <c r="O35" t="s">
        <v>283</v>
      </c>
      <c r="P35">
        <v>2.5424302926347137E-2</v>
      </c>
      <c r="Q35" t="s">
        <v>251</v>
      </c>
      <c r="S35" t="s">
        <v>420</v>
      </c>
      <c r="T35" t="s">
        <v>283</v>
      </c>
      <c r="U35">
        <v>3.1769758289188869E-2</v>
      </c>
      <c r="V35" t="s">
        <v>251</v>
      </c>
      <c r="X35">
        <v>2.4771689497716895E-2</v>
      </c>
      <c r="Y35">
        <v>9.7827942553597048E-3</v>
      </c>
      <c r="Z35" t="s">
        <v>283</v>
      </c>
      <c r="AA35" t="s">
        <v>25</v>
      </c>
      <c r="AC35" t="s">
        <v>22</v>
      </c>
      <c r="AD35" t="s">
        <v>283</v>
      </c>
      <c r="AE35">
        <v>2.7325181765618559E-2</v>
      </c>
      <c r="AG35" t="s">
        <v>99</v>
      </c>
      <c r="AH35" t="s">
        <v>283</v>
      </c>
      <c r="AI35">
        <v>8.623197972262342E-2</v>
      </c>
    </row>
    <row r="36" spans="9:35" x14ac:dyDescent="0.45">
      <c r="I36" t="s">
        <v>249</v>
      </c>
      <c r="J36" t="s">
        <v>284</v>
      </c>
      <c r="K36">
        <v>2.5517161056882406E-3</v>
      </c>
      <c r="L36" t="s">
        <v>251</v>
      </c>
      <c r="N36" t="s">
        <v>419</v>
      </c>
      <c r="O36" t="s">
        <v>284</v>
      </c>
      <c r="P36">
        <v>3.3543672645367697E-3</v>
      </c>
      <c r="Q36" t="s">
        <v>251</v>
      </c>
      <c r="S36" t="s">
        <v>420</v>
      </c>
      <c r="T36" t="s">
        <v>284</v>
      </c>
      <c r="U36">
        <v>4.4835930943530672E-3</v>
      </c>
      <c r="V36" t="s">
        <v>251</v>
      </c>
      <c r="X36">
        <v>3.5388127853881279E-3</v>
      </c>
      <c r="Y36">
        <v>5.9087255218821738E-3</v>
      </c>
      <c r="Z36" t="s">
        <v>284</v>
      </c>
      <c r="AA36" t="s">
        <v>25</v>
      </c>
      <c r="AC36" t="s">
        <v>22</v>
      </c>
      <c r="AD36" t="s">
        <v>284</v>
      </c>
      <c r="AE36">
        <v>4.0787194249493931E-3</v>
      </c>
      <c r="AG36" t="s">
        <v>99</v>
      </c>
      <c r="AH36" t="s">
        <v>284</v>
      </c>
      <c r="AI36">
        <v>8.3453178737734612E-2</v>
      </c>
    </row>
    <row r="37" spans="9:35" x14ac:dyDescent="0.45">
      <c r="I37" t="s">
        <v>249</v>
      </c>
      <c r="J37" t="s">
        <v>285</v>
      </c>
      <c r="K37">
        <v>4.4592288830543898E-2</v>
      </c>
      <c r="L37" t="s">
        <v>251</v>
      </c>
      <c r="N37" t="s">
        <v>419</v>
      </c>
      <c r="O37" t="s">
        <v>285</v>
      </c>
      <c r="P37">
        <v>1.6331437927914888E-2</v>
      </c>
      <c r="Q37" t="s">
        <v>251</v>
      </c>
      <c r="S37" t="s">
        <v>420</v>
      </c>
      <c r="T37" t="s">
        <v>285</v>
      </c>
      <c r="U37">
        <v>2.7716967703179399E-2</v>
      </c>
      <c r="V37" t="s">
        <v>251</v>
      </c>
      <c r="X37">
        <v>2.1232876712328767E-2</v>
      </c>
      <c r="Y37">
        <v>2.6758819580836844E-2</v>
      </c>
      <c r="Z37" t="s">
        <v>285</v>
      </c>
      <c r="AA37" t="s">
        <v>25</v>
      </c>
      <c r="AC37" t="s">
        <v>22</v>
      </c>
      <c r="AD37" t="s">
        <v>285</v>
      </c>
      <c r="AE37">
        <v>2.4660008200840411E-2</v>
      </c>
      <c r="AG37" t="s">
        <v>99</v>
      </c>
      <c r="AH37" t="s">
        <v>285</v>
      </c>
      <c r="AI37">
        <v>0.16204740512519122</v>
      </c>
    </row>
    <row r="38" spans="9:35" x14ac:dyDescent="0.45">
      <c r="I38" t="s">
        <v>249</v>
      </c>
      <c r="J38" t="s">
        <v>286</v>
      </c>
      <c r="K38">
        <v>2.61915730058392E-2</v>
      </c>
      <c r="L38" t="s">
        <v>251</v>
      </c>
      <c r="N38" t="s">
        <v>419</v>
      </c>
      <c r="O38" t="s">
        <v>286</v>
      </c>
      <c r="P38">
        <v>1.1296848742142625E-2</v>
      </c>
      <c r="Q38" t="s">
        <v>251</v>
      </c>
      <c r="S38" t="s">
        <v>420</v>
      </c>
      <c r="T38" t="s">
        <v>286</v>
      </c>
      <c r="U38">
        <v>1.8810702561390003E-2</v>
      </c>
      <c r="V38" t="s">
        <v>251</v>
      </c>
      <c r="X38">
        <v>1.4155251141552512E-2</v>
      </c>
      <c r="Y38">
        <v>2.3778766708931042E-2</v>
      </c>
      <c r="Z38" t="s">
        <v>286</v>
      </c>
      <c r="AA38" t="s">
        <v>25</v>
      </c>
      <c r="AC38" t="s">
        <v>22</v>
      </c>
      <c r="AD38" t="s">
        <v>286</v>
      </c>
      <c r="AE38">
        <v>1.1296417896328854E-2</v>
      </c>
      <c r="AG38" t="s">
        <v>99</v>
      </c>
      <c r="AH38" t="s">
        <v>286</v>
      </c>
      <c r="AI38">
        <v>0.13494289901102974</v>
      </c>
    </row>
    <row r="39" spans="9:35" x14ac:dyDescent="0.45">
      <c r="I39" t="s">
        <v>249</v>
      </c>
      <c r="J39" t="s">
        <v>287</v>
      </c>
      <c r="K39">
        <v>2.2047296132105187E-3</v>
      </c>
      <c r="L39" t="s">
        <v>251</v>
      </c>
      <c r="N39" t="s">
        <v>419</v>
      </c>
      <c r="O39" t="s">
        <v>287</v>
      </c>
      <c r="P39">
        <v>2.9540571089904824E-3</v>
      </c>
      <c r="Q39" t="s">
        <v>251</v>
      </c>
      <c r="S39" t="s">
        <v>420</v>
      </c>
      <c r="T39" t="s">
        <v>287</v>
      </c>
      <c r="U39">
        <v>4.6654493652520607E-3</v>
      </c>
      <c r="V39" t="s">
        <v>251</v>
      </c>
      <c r="X39">
        <v>3.5388127853881279E-3</v>
      </c>
      <c r="Y39">
        <v>5.3435430806586613E-3</v>
      </c>
      <c r="Z39" t="s">
        <v>287</v>
      </c>
      <c r="AA39" t="s">
        <v>25</v>
      </c>
      <c r="AC39" t="s">
        <v>22</v>
      </c>
      <c r="AD39" t="s">
        <v>287</v>
      </c>
      <c r="AE39">
        <v>2.5420591833047487E-3</v>
      </c>
      <c r="AG39" t="s">
        <v>99</v>
      </c>
      <c r="AH39" t="s">
        <v>287</v>
      </c>
      <c r="AI39">
        <v>4.5756950232309856E-2</v>
      </c>
    </row>
    <row r="40" spans="9:35" x14ac:dyDescent="0.45">
      <c r="I40" t="s">
        <v>249</v>
      </c>
      <c r="J40" t="s">
        <v>288</v>
      </c>
      <c r="K40">
        <v>0</v>
      </c>
      <c r="L40" t="s">
        <v>251</v>
      </c>
      <c r="N40" t="s">
        <v>419</v>
      </c>
      <c r="O40" t="s">
        <v>288</v>
      </c>
      <c r="P40">
        <v>1.8126116386870957E-2</v>
      </c>
      <c r="Q40" t="s">
        <v>251</v>
      </c>
      <c r="S40" t="s">
        <v>420</v>
      </c>
      <c r="T40" t="s">
        <v>288</v>
      </c>
      <c r="U40">
        <v>2.3326524318008243E-2</v>
      </c>
      <c r="V40" t="s">
        <v>251</v>
      </c>
      <c r="X40">
        <v>1.7694063926940638E-2</v>
      </c>
      <c r="Y40">
        <v>1.3358857701646654E-2</v>
      </c>
      <c r="Z40" t="s">
        <v>288</v>
      </c>
      <c r="AA40" t="s">
        <v>25</v>
      </c>
      <c r="AC40" t="s">
        <v>22</v>
      </c>
      <c r="AD40" t="s">
        <v>288</v>
      </c>
      <c r="AE40">
        <v>1.7040886577869188E-2</v>
      </c>
      <c r="AG40" t="s">
        <v>99</v>
      </c>
      <c r="AH40" t="s">
        <v>288</v>
      </c>
      <c r="AI40">
        <v>0.20820639587821077</v>
      </c>
    </row>
    <row r="41" spans="9:35" x14ac:dyDescent="0.45">
      <c r="I41" t="s">
        <v>249</v>
      </c>
      <c r="J41" t="s">
        <v>291</v>
      </c>
      <c r="K41">
        <v>3.5966168037265336E-3</v>
      </c>
      <c r="L41" t="s">
        <v>251</v>
      </c>
      <c r="N41" t="s">
        <v>419</v>
      </c>
      <c r="O41" t="s">
        <v>291</v>
      </c>
      <c r="P41">
        <v>6.3519172004741692E-2</v>
      </c>
      <c r="Q41" t="s">
        <v>251</v>
      </c>
      <c r="S41" t="s">
        <v>420</v>
      </c>
      <c r="T41" t="s">
        <v>291</v>
      </c>
      <c r="U41">
        <v>5.9300893764090638E-2</v>
      </c>
      <c r="V41" t="s">
        <v>251</v>
      </c>
      <c r="X41">
        <v>4.8744292237442921E-2</v>
      </c>
      <c r="Y41">
        <v>1.9250014502482003E-2</v>
      </c>
      <c r="Z41" t="s">
        <v>291</v>
      </c>
      <c r="AA41" t="s">
        <v>25</v>
      </c>
      <c r="AC41" t="s">
        <v>22</v>
      </c>
      <c r="AD41" t="s">
        <v>291</v>
      </c>
      <c r="AE41">
        <v>5.2810424279458514E-2</v>
      </c>
      <c r="AG41" t="s">
        <v>99</v>
      </c>
      <c r="AH41" t="s">
        <v>291</v>
      </c>
      <c r="AI41">
        <v>5.6243475237072404E-2</v>
      </c>
    </row>
    <row r="42" spans="9:35" x14ac:dyDescent="0.45">
      <c r="I42" t="s">
        <v>249</v>
      </c>
      <c r="J42" t="s">
        <v>292</v>
      </c>
      <c r="K42">
        <v>1.21478658119543E-2</v>
      </c>
      <c r="L42" t="s">
        <v>251</v>
      </c>
      <c r="N42" t="s">
        <v>419</v>
      </c>
      <c r="O42" t="s">
        <v>292</v>
      </c>
      <c r="P42">
        <v>7.7973574315112568E-3</v>
      </c>
      <c r="Q42" t="s">
        <v>251</v>
      </c>
      <c r="S42" t="s">
        <v>420</v>
      </c>
      <c r="T42" t="s">
        <v>292</v>
      </c>
      <c r="U42">
        <v>8.3222841644471496E-3</v>
      </c>
      <c r="V42" t="s">
        <v>251</v>
      </c>
      <c r="X42">
        <v>6.9634703196347035E-3</v>
      </c>
      <c r="Y42">
        <v>1.1626846994671376E-2</v>
      </c>
      <c r="Z42" t="s">
        <v>292</v>
      </c>
      <c r="AA42" t="s">
        <v>25</v>
      </c>
      <c r="AC42" t="s">
        <v>22</v>
      </c>
      <c r="AD42" t="s">
        <v>292</v>
      </c>
      <c r="AE42">
        <v>7.6498337938846403E-3</v>
      </c>
      <c r="AG42" t="s">
        <v>99</v>
      </c>
      <c r="AH42" t="s">
        <v>292</v>
      </c>
      <c r="AI42">
        <v>4.321090677709738E-2</v>
      </c>
    </row>
    <row r="43" spans="9:35" x14ac:dyDescent="0.45">
      <c r="I43" t="s">
        <v>249</v>
      </c>
      <c r="J43" t="s">
        <v>293</v>
      </c>
      <c r="K43">
        <v>0.1109932527462507</v>
      </c>
      <c r="L43" t="s">
        <v>251</v>
      </c>
      <c r="N43" t="s">
        <v>419</v>
      </c>
      <c r="O43" t="s">
        <v>293</v>
      </c>
      <c r="P43">
        <v>3.9943043174704276E-2</v>
      </c>
      <c r="Q43" t="s">
        <v>251</v>
      </c>
      <c r="S43" t="s">
        <v>420</v>
      </c>
      <c r="T43" t="s">
        <v>293</v>
      </c>
      <c r="U43">
        <v>4.9829990068598611E-2</v>
      </c>
      <c r="V43" t="s">
        <v>251</v>
      </c>
      <c r="X43">
        <v>4.1780821917808221E-2</v>
      </c>
      <c r="Y43">
        <v>5.2654451433259586E-2</v>
      </c>
      <c r="Z43" t="s">
        <v>293</v>
      </c>
      <c r="AA43" t="s">
        <v>25</v>
      </c>
      <c r="AC43" t="s">
        <v>22</v>
      </c>
      <c r="AD43" t="s">
        <v>293</v>
      </c>
      <c r="AE43">
        <v>4.3925527120665234E-2</v>
      </c>
      <c r="AG43" t="s">
        <v>99</v>
      </c>
      <c r="AH43" t="s">
        <v>293</v>
      </c>
      <c r="AI43">
        <v>8.1089508929770071E-2</v>
      </c>
    </row>
    <row r="44" spans="9:35" x14ac:dyDescent="0.45">
      <c r="I44" t="s">
        <v>249</v>
      </c>
      <c r="J44" t="s">
        <v>294</v>
      </c>
      <c r="K44">
        <v>6.4284350487219102E-2</v>
      </c>
      <c r="L44" t="s">
        <v>251</v>
      </c>
      <c r="N44" t="s">
        <v>419</v>
      </c>
      <c r="O44" t="s">
        <v>294</v>
      </c>
      <c r="P44">
        <v>2.6081219016694801E-2</v>
      </c>
      <c r="Q44" t="s">
        <v>251</v>
      </c>
      <c r="S44" t="s">
        <v>420</v>
      </c>
      <c r="T44" t="s">
        <v>294</v>
      </c>
      <c r="U44">
        <v>3.4229510617497634E-2</v>
      </c>
      <c r="V44" t="s">
        <v>251</v>
      </c>
      <c r="X44">
        <v>2.7853881278538814E-2</v>
      </c>
      <c r="Y44">
        <v>4.6790476427251412E-2</v>
      </c>
      <c r="Z44" t="s">
        <v>294</v>
      </c>
      <c r="AA44" t="s">
        <v>25</v>
      </c>
      <c r="AC44" t="s">
        <v>22</v>
      </c>
      <c r="AD44" t="s">
        <v>294</v>
      </c>
      <c r="AE44">
        <v>2.0876730134733578E-2</v>
      </c>
      <c r="AG44" t="s">
        <v>99</v>
      </c>
      <c r="AH44" t="s">
        <v>294</v>
      </c>
      <c r="AI44">
        <v>0.13784088025437113</v>
      </c>
    </row>
    <row r="45" spans="9:35" x14ac:dyDescent="0.45">
      <c r="I45" t="s">
        <v>249</v>
      </c>
      <c r="J45" t="s">
        <v>295</v>
      </c>
      <c r="K45">
        <v>5.8594224331939932E-3</v>
      </c>
      <c r="L45" t="s">
        <v>251</v>
      </c>
      <c r="N45" t="s">
        <v>419</v>
      </c>
      <c r="O45" t="s">
        <v>295</v>
      </c>
      <c r="P45">
        <v>6.4482593421993882E-3</v>
      </c>
      <c r="Q45" t="s">
        <v>251</v>
      </c>
      <c r="S45" t="s">
        <v>420</v>
      </c>
      <c r="T45" t="s">
        <v>295</v>
      </c>
      <c r="U45">
        <v>8.4955152326310259E-3</v>
      </c>
      <c r="V45" t="s">
        <v>251</v>
      </c>
      <c r="X45">
        <v>6.9634703196347035E-3</v>
      </c>
      <c r="Y45">
        <v>1.0514713803876726E-2</v>
      </c>
      <c r="Z45" t="s">
        <v>295</v>
      </c>
      <c r="AA45" t="s">
        <v>25</v>
      </c>
      <c r="AC45" t="s">
        <v>22</v>
      </c>
      <c r="AD45" t="s">
        <v>295</v>
      </c>
      <c r="AE45">
        <v>4.8673284459694989E-3</v>
      </c>
      <c r="AG45" t="s">
        <v>99</v>
      </c>
      <c r="AH45" t="s">
        <v>295</v>
      </c>
      <c r="AI45">
        <v>1.3706167947963976E-2</v>
      </c>
    </row>
    <row r="46" spans="9:35" x14ac:dyDescent="0.45">
      <c r="I46" t="s">
        <v>249</v>
      </c>
      <c r="J46" t="s">
        <v>296</v>
      </c>
      <c r="K46">
        <v>0</v>
      </c>
      <c r="L46" t="s">
        <v>251</v>
      </c>
      <c r="N46" t="s">
        <v>419</v>
      </c>
      <c r="O46" t="s">
        <v>296</v>
      </c>
      <c r="P46">
        <v>4.0625199086856488E-2</v>
      </c>
      <c r="Q46" t="s">
        <v>251</v>
      </c>
      <c r="S46" t="s">
        <v>420</v>
      </c>
      <c r="T46" t="s">
        <v>296</v>
      </c>
      <c r="U46">
        <v>4.1852237373598514E-2</v>
      </c>
      <c r="V46" t="s">
        <v>251</v>
      </c>
      <c r="X46">
        <v>3.4817351598173514E-2</v>
      </c>
      <c r="Y46">
        <v>2.6286784509691803E-2</v>
      </c>
      <c r="Z46" t="s">
        <v>296</v>
      </c>
      <c r="AA46" t="s">
        <v>25</v>
      </c>
      <c r="AC46" t="s">
        <v>22</v>
      </c>
      <c r="AD46" t="s">
        <v>296</v>
      </c>
      <c r="AE46">
        <v>3.2614100781793581E-2</v>
      </c>
      <c r="AG46" t="s">
        <v>99</v>
      </c>
      <c r="AH46" t="s">
        <v>296</v>
      </c>
      <c r="AI46">
        <v>0.16194106846605694</v>
      </c>
    </row>
    <row r="47" spans="9:35" x14ac:dyDescent="0.45">
      <c r="I47" t="s">
        <v>249</v>
      </c>
      <c r="J47" t="s">
        <v>323</v>
      </c>
      <c r="K47">
        <v>4.2212310989414433E-3</v>
      </c>
      <c r="L47" t="s">
        <v>251</v>
      </c>
      <c r="N47" t="s">
        <v>419</v>
      </c>
      <c r="O47" t="s">
        <v>323</v>
      </c>
      <c r="P47">
        <v>3.4373435652509769E-2</v>
      </c>
      <c r="Q47" t="s">
        <v>251</v>
      </c>
      <c r="S47" t="s">
        <v>420</v>
      </c>
      <c r="T47" t="s">
        <v>323</v>
      </c>
      <c r="U47">
        <v>2.1852596014426122E-2</v>
      </c>
      <c r="V47" t="s">
        <v>251</v>
      </c>
      <c r="X47">
        <v>2.3972602739726026E-2</v>
      </c>
      <c r="Y47">
        <v>9.4672202471222967E-3</v>
      </c>
      <c r="Z47" t="s">
        <v>323</v>
      </c>
      <c r="AA47" t="s">
        <v>25</v>
      </c>
      <c r="AC47" t="s">
        <v>22</v>
      </c>
      <c r="AD47" t="s">
        <v>323</v>
      </c>
      <c r="AE47">
        <v>2.6008302823730414E-2</v>
      </c>
      <c r="AG47" t="s">
        <v>99</v>
      </c>
      <c r="AH47" t="s">
        <v>323</v>
      </c>
      <c r="AI47">
        <v>6.7402832886632735E-2</v>
      </c>
    </row>
    <row r="48" spans="9:35" x14ac:dyDescent="0.45">
      <c r="I48" t="s">
        <v>249</v>
      </c>
      <c r="J48" t="s">
        <v>324</v>
      </c>
      <c r="K48">
        <v>7.2308135574651999E-3</v>
      </c>
      <c r="L48" t="s">
        <v>251</v>
      </c>
      <c r="N48" t="s">
        <v>419</v>
      </c>
      <c r="O48" t="s">
        <v>324</v>
      </c>
      <c r="P48">
        <v>3.8538588286688457E-3</v>
      </c>
      <c r="Q48" t="s">
        <v>251</v>
      </c>
      <c r="S48" t="s">
        <v>420</v>
      </c>
      <c r="T48" t="s">
        <v>324</v>
      </c>
      <c r="U48">
        <v>2.9603012804413288E-3</v>
      </c>
      <c r="V48" t="s">
        <v>251</v>
      </c>
      <c r="X48">
        <v>3.4246575342465752E-3</v>
      </c>
      <c r="Y48">
        <v>5.7181214727892006E-3</v>
      </c>
      <c r="Z48" t="s">
        <v>324</v>
      </c>
      <c r="AA48" t="s">
        <v>25</v>
      </c>
      <c r="AC48" t="s">
        <v>22</v>
      </c>
      <c r="AD48" t="s">
        <v>324</v>
      </c>
      <c r="AE48">
        <v>3.7621481773000192E-3</v>
      </c>
      <c r="AG48" t="s">
        <v>99</v>
      </c>
      <c r="AH48" t="s">
        <v>324</v>
      </c>
      <c r="AI48">
        <v>5.5035171020012763E-2</v>
      </c>
    </row>
    <row r="49" spans="9:35" x14ac:dyDescent="0.45">
      <c r="I49" t="s">
        <v>249</v>
      </c>
      <c r="J49" t="s">
        <v>325</v>
      </c>
      <c r="K49">
        <v>6.0288203719271301E-2</v>
      </c>
      <c r="L49" t="s">
        <v>251</v>
      </c>
      <c r="N49" t="s">
        <v>419</v>
      </c>
      <c r="O49" t="s">
        <v>325</v>
      </c>
      <c r="P49">
        <v>1.7014136309921917E-2</v>
      </c>
      <c r="Q49" t="s">
        <v>251</v>
      </c>
      <c r="S49" t="s">
        <v>420</v>
      </c>
      <c r="T49" t="s">
        <v>325</v>
      </c>
      <c r="U49">
        <v>1.8352404363144538E-2</v>
      </c>
      <c r="V49" t="s">
        <v>251</v>
      </c>
      <c r="X49">
        <v>2.0547945205479451E-2</v>
      </c>
      <c r="Y49">
        <v>2.5895631852422749E-2</v>
      </c>
      <c r="Z49" t="s">
        <v>325</v>
      </c>
      <c r="AA49" t="s">
        <v>25</v>
      </c>
      <c r="AC49" t="s">
        <v>22</v>
      </c>
      <c r="AD49" t="s">
        <v>325</v>
      </c>
      <c r="AE49">
        <v>2.1069580739219031E-2</v>
      </c>
      <c r="AG49" t="s">
        <v>99</v>
      </c>
      <c r="AH49" t="s">
        <v>325</v>
      </c>
      <c r="AI49">
        <v>0.10874677642572528</v>
      </c>
    </row>
    <row r="50" spans="9:35" x14ac:dyDescent="0.45">
      <c r="I50" t="s">
        <v>249</v>
      </c>
      <c r="J50" t="s">
        <v>326</v>
      </c>
      <c r="K50">
        <v>3.4923670084342197E-2</v>
      </c>
      <c r="L50" t="s">
        <v>251</v>
      </c>
      <c r="N50" t="s">
        <v>419</v>
      </c>
      <c r="O50" t="s">
        <v>326</v>
      </c>
      <c r="P50">
        <v>1.0518177359934697E-2</v>
      </c>
      <c r="Q50" t="s">
        <v>251</v>
      </c>
      <c r="S50" t="s">
        <v>420</v>
      </c>
      <c r="T50" t="s">
        <v>326</v>
      </c>
      <c r="U50">
        <v>1.2980010440386328E-2</v>
      </c>
      <c r="V50" t="s">
        <v>251</v>
      </c>
      <c r="X50">
        <v>1.3698630136986301E-2</v>
      </c>
      <c r="Y50">
        <v>2.3011709718320367E-2</v>
      </c>
      <c r="Z50" t="s">
        <v>326</v>
      </c>
      <c r="AA50" t="s">
        <v>25</v>
      </c>
      <c r="AC50" t="s">
        <v>22</v>
      </c>
      <c r="AD50" t="s">
        <v>326</v>
      </c>
      <c r="AE50">
        <v>9.8021735354678861E-3</v>
      </c>
      <c r="AG50" t="s">
        <v>99</v>
      </c>
      <c r="AH50" t="s">
        <v>326</v>
      </c>
      <c r="AI50">
        <v>6.1986932136886885E-2</v>
      </c>
    </row>
    <row r="51" spans="9:35" x14ac:dyDescent="0.45">
      <c r="I51" t="s">
        <v>249</v>
      </c>
      <c r="J51" t="s">
        <v>327</v>
      </c>
      <c r="K51">
        <v>4.1807614240014232E-3</v>
      </c>
      <c r="L51" t="s">
        <v>251</v>
      </c>
      <c r="N51" t="s">
        <v>419</v>
      </c>
      <c r="O51" t="s">
        <v>327</v>
      </c>
      <c r="P51">
        <v>3.3455294891401029E-3</v>
      </c>
      <c r="Q51" t="s">
        <v>251</v>
      </c>
      <c r="S51" t="s">
        <v>420</v>
      </c>
      <c r="T51" t="s">
        <v>327</v>
      </c>
      <c r="U51">
        <v>3.238425197695286E-3</v>
      </c>
      <c r="V51" t="s">
        <v>251</v>
      </c>
      <c r="X51">
        <v>3.4246575342465752E-3</v>
      </c>
      <c r="Y51">
        <v>5.1711707232180593E-3</v>
      </c>
      <c r="Z51" t="s">
        <v>327</v>
      </c>
      <c r="AA51" t="s">
        <v>25</v>
      </c>
      <c r="AC51" t="s">
        <v>22</v>
      </c>
      <c r="AD51" t="s">
        <v>327</v>
      </c>
      <c r="AE51">
        <v>2.3797859723935933E-3</v>
      </c>
      <c r="AG51" t="s">
        <v>99</v>
      </c>
      <c r="AH51" t="s">
        <v>327</v>
      </c>
      <c r="AI51">
        <v>2.7494936993699426E-2</v>
      </c>
    </row>
    <row r="52" spans="9:35" x14ac:dyDescent="0.45">
      <c r="I52" t="s">
        <v>249</v>
      </c>
      <c r="J52" t="s">
        <v>328</v>
      </c>
      <c r="K52">
        <v>5.9271588075933296E-5</v>
      </c>
      <c r="L52" t="s">
        <v>251</v>
      </c>
      <c r="N52" t="s">
        <v>419</v>
      </c>
      <c r="O52" t="s">
        <v>328</v>
      </c>
      <c r="P52">
        <v>2.3746828472602736E-2</v>
      </c>
      <c r="Q52" t="s">
        <v>251</v>
      </c>
      <c r="S52" t="s">
        <v>420</v>
      </c>
      <c r="T52" t="s">
        <v>328</v>
      </c>
      <c r="U52">
        <v>1.5881674826197154E-2</v>
      </c>
      <c r="V52" t="s">
        <v>251</v>
      </c>
      <c r="X52">
        <v>1.7123287671232876E-2</v>
      </c>
      <c r="Y52">
        <v>1.2927926808045149E-2</v>
      </c>
      <c r="Z52" t="s">
        <v>328</v>
      </c>
      <c r="AA52" t="s">
        <v>25</v>
      </c>
      <c r="AC52" t="s">
        <v>22</v>
      </c>
      <c r="AD52" t="s">
        <v>328</v>
      </c>
      <c r="AE52">
        <v>1.6329373744555842E-2</v>
      </c>
      <c r="AG52" t="s">
        <v>99</v>
      </c>
      <c r="AH52" t="s">
        <v>328</v>
      </c>
      <c r="AI52">
        <v>0.14805486992572869</v>
      </c>
    </row>
    <row r="53" spans="9:35" x14ac:dyDescent="0.45">
      <c r="I53" t="s">
        <v>249</v>
      </c>
      <c r="J53" t="s">
        <v>331</v>
      </c>
      <c r="K53">
        <v>3.3647637189885347E-3</v>
      </c>
      <c r="L53" t="s">
        <v>251</v>
      </c>
      <c r="N53" t="s">
        <v>419</v>
      </c>
      <c r="O53" t="s">
        <v>331</v>
      </c>
      <c r="P53">
        <v>3.4162377920025411E-2</v>
      </c>
      <c r="Q53" t="s">
        <v>251</v>
      </c>
      <c r="S53" t="s">
        <v>420</v>
      </c>
      <c r="T53" t="s">
        <v>331</v>
      </c>
      <c r="U53">
        <v>2.4086340718327263E-2</v>
      </c>
      <c r="V53" t="s">
        <v>251</v>
      </c>
      <c r="X53">
        <v>2.4771689497716895E-2</v>
      </c>
      <c r="Y53">
        <v>9.7827942553597048E-3</v>
      </c>
      <c r="Z53" t="s">
        <v>331</v>
      </c>
      <c r="AA53" t="s">
        <v>25</v>
      </c>
      <c r="AC53" t="s">
        <v>22</v>
      </c>
      <c r="AD53" t="s">
        <v>331</v>
      </c>
      <c r="AE53">
        <v>2.7510881243178964E-2</v>
      </c>
      <c r="AG53" t="s">
        <v>99</v>
      </c>
      <c r="AH53" t="s">
        <v>331</v>
      </c>
      <c r="AI53">
        <v>0.11104457951668367</v>
      </c>
    </row>
    <row r="54" spans="9:35" x14ac:dyDescent="0.45">
      <c r="I54" t="s">
        <v>249</v>
      </c>
      <c r="J54" t="s">
        <v>332</v>
      </c>
      <c r="K54">
        <v>6.4302276041504E-3</v>
      </c>
      <c r="L54" t="s">
        <v>251</v>
      </c>
      <c r="N54" t="s">
        <v>419</v>
      </c>
      <c r="O54" t="s">
        <v>332</v>
      </c>
      <c r="P54">
        <v>3.7729951204138229E-3</v>
      </c>
      <c r="Q54" t="s">
        <v>251</v>
      </c>
      <c r="S54" t="s">
        <v>420</v>
      </c>
      <c r="T54" t="s">
        <v>332</v>
      </c>
      <c r="U54">
        <v>3.4928716870599335E-3</v>
      </c>
      <c r="V54" t="s">
        <v>251</v>
      </c>
      <c r="X54">
        <v>3.5388127853881279E-3</v>
      </c>
      <c r="Y54">
        <v>5.9087255218821738E-3</v>
      </c>
      <c r="Z54" t="s">
        <v>332</v>
      </c>
      <c r="AA54" t="s">
        <v>25</v>
      </c>
      <c r="AC54" t="s">
        <v>22</v>
      </c>
      <c r="AD54" t="s">
        <v>332</v>
      </c>
      <c r="AE54">
        <v>3.9633952652278663E-3</v>
      </c>
      <c r="AG54" t="s">
        <v>99</v>
      </c>
      <c r="AH54" t="s">
        <v>332</v>
      </c>
      <c r="AI54">
        <v>7.4066305318186254E-2</v>
      </c>
    </row>
    <row r="55" spans="9:35" x14ac:dyDescent="0.45">
      <c r="I55" t="s">
        <v>249</v>
      </c>
      <c r="J55" t="s">
        <v>333</v>
      </c>
      <c r="K55">
        <v>5.8339775957822602E-2</v>
      </c>
      <c r="L55" t="s">
        <v>251</v>
      </c>
      <c r="N55" t="s">
        <v>419</v>
      </c>
      <c r="O55" t="s">
        <v>333</v>
      </c>
      <c r="P55">
        <v>1.7468390542046991E-2</v>
      </c>
      <c r="Q55" t="s">
        <v>251</v>
      </c>
      <c r="S55" t="s">
        <v>420</v>
      </c>
      <c r="T55" t="s">
        <v>333</v>
      </c>
      <c r="U55">
        <v>2.1873171101000038E-2</v>
      </c>
      <c r="V55" t="s">
        <v>251</v>
      </c>
      <c r="X55">
        <v>2.1232876712328767E-2</v>
      </c>
      <c r="Y55">
        <v>2.6758819580836844E-2</v>
      </c>
      <c r="Z55" t="s">
        <v>333</v>
      </c>
      <c r="AA55" t="s">
        <v>25</v>
      </c>
      <c r="AC55" t="s">
        <v>22</v>
      </c>
      <c r="AD55" t="s">
        <v>333</v>
      </c>
      <c r="AE55">
        <v>2.2049068155943537E-2</v>
      </c>
      <c r="AG55" t="s">
        <v>99</v>
      </c>
      <c r="AH55" t="s">
        <v>333</v>
      </c>
      <c r="AI55">
        <v>0.12911283864389511</v>
      </c>
    </row>
    <row r="56" spans="9:35" x14ac:dyDescent="0.45">
      <c r="I56" t="s">
        <v>249</v>
      </c>
      <c r="J56" t="s">
        <v>334</v>
      </c>
      <c r="K56">
        <v>3.3533206983845099E-2</v>
      </c>
      <c r="L56" t="s">
        <v>251</v>
      </c>
      <c r="N56" t="s">
        <v>419</v>
      </c>
      <c r="O56" t="s">
        <v>334</v>
      </c>
      <c r="P56">
        <v>1.0402705566983672E-2</v>
      </c>
      <c r="Q56" t="s">
        <v>251</v>
      </c>
      <c r="S56" t="s">
        <v>420</v>
      </c>
      <c r="T56" t="s">
        <v>334</v>
      </c>
      <c r="U56">
        <v>1.5095530575722287E-2</v>
      </c>
      <c r="V56" t="s">
        <v>251</v>
      </c>
      <c r="X56">
        <v>1.4155251141552512E-2</v>
      </c>
      <c r="Y56">
        <v>2.3778766708931042E-2</v>
      </c>
      <c r="Z56" t="s">
        <v>334</v>
      </c>
      <c r="AA56" t="s">
        <v>25</v>
      </c>
      <c r="AC56" t="s">
        <v>22</v>
      </c>
      <c r="AD56" t="s">
        <v>334</v>
      </c>
      <c r="AE56">
        <v>1.045121382703927E-2</v>
      </c>
      <c r="AG56" t="s">
        <v>99</v>
      </c>
      <c r="AH56" t="s">
        <v>334</v>
      </c>
      <c r="AI56">
        <v>7.0096885189504521E-2</v>
      </c>
    </row>
    <row r="57" spans="9:35" x14ac:dyDescent="0.45">
      <c r="I57" t="s">
        <v>249</v>
      </c>
      <c r="J57" t="s">
        <v>335</v>
      </c>
      <c r="K57">
        <v>4.3636159800594957E-3</v>
      </c>
      <c r="L57" t="s">
        <v>251</v>
      </c>
      <c r="N57" t="s">
        <v>419</v>
      </c>
      <c r="O57" t="s">
        <v>335</v>
      </c>
      <c r="P57">
        <v>2.9791966895662955E-3</v>
      </c>
      <c r="Q57" t="s">
        <v>251</v>
      </c>
      <c r="S57" t="s">
        <v>420</v>
      </c>
      <c r="T57" t="s">
        <v>335</v>
      </c>
      <c r="U57">
        <v>3.7640084620224664E-3</v>
      </c>
      <c r="V57" t="s">
        <v>251</v>
      </c>
      <c r="X57">
        <v>3.5388127853881279E-3</v>
      </c>
      <c r="Y57">
        <v>5.3435430806586613E-3</v>
      </c>
      <c r="Z57" t="s">
        <v>335</v>
      </c>
      <c r="AA57" t="s">
        <v>25</v>
      </c>
      <c r="AC57" t="s">
        <v>22</v>
      </c>
      <c r="AD57" t="s">
        <v>335</v>
      </c>
      <c r="AE57">
        <v>2.5292032638631447E-3</v>
      </c>
      <c r="AG57" t="s">
        <v>99</v>
      </c>
      <c r="AH57" t="s">
        <v>335</v>
      </c>
      <c r="AI57">
        <v>2.5865442867635702E-2</v>
      </c>
    </row>
    <row r="58" spans="9:35" x14ac:dyDescent="0.45">
      <c r="I58" t="s">
        <v>249</v>
      </c>
      <c r="J58" t="s">
        <v>336</v>
      </c>
      <c r="K58">
        <v>9.7873174655531696E-4</v>
      </c>
      <c r="L58" t="s">
        <v>251</v>
      </c>
      <c r="N58" t="s">
        <v>419</v>
      </c>
      <c r="O58" t="s">
        <v>336</v>
      </c>
      <c r="P58">
        <v>2.1583413457200773E-2</v>
      </c>
      <c r="Q58" t="s">
        <v>251</v>
      </c>
      <c r="S58" t="s">
        <v>420</v>
      </c>
      <c r="T58" t="s">
        <v>336</v>
      </c>
      <c r="U58">
        <v>1.7666422501777586E-2</v>
      </c>
      <c r="V58" t="s">
        <v>251</v>
      </c>
      <c r="X58">
        <v>1.7694063926940638E-2</v>
      </c>
      <c r="Y58">
        <v>1.3358857701646654E-2</v>
      </c>
      <c r="Z58" t="s">
        <v>336</v>
      </c>
      <c r="AA58" t="s">
        <v>25</v>
      </c>
      <c r="AC58" t="s">
        <v>22</v>
      </c>
      <c r="AD58" t="s">
        <v>336</v>
      </c>
      <c r="AE58">
        <v>1.7246656839578167E-2</v>
      </c>
      <c r="AG58" t="s">
        <v>99</v>
      </c>
      <c r="AH58" t="s">
        <v>336</v>
      </c>
      <c r="AI58">
        <v>0.15733680317509191</v>
      </c>
    </row>
    <row r="59" spans="9:35" x14ac:dyDescent="0.45">
      <c r="AC59" t="s">
        <v>19</v>
      </c>
      <c r="AD59" t="s">
        <v>250</v>
      </c>
      <c r="AE59">
        <v>7.2573411429690704E-2</v>
      </c>
    </row>
    <row r="60" spans="9:35" x14ac:dyDescent="0.45">
      <c r="AC60" t="s">
        <v>19</v>
      </c>
      <c r="AD60" t="s">
        <v>252</v>
      </c>
      <c r="AE60">
        <v>1.0368891385076484E-2</v>
      </c>
    </row>
    <row r="61" spans="9:35" x14ac:dyDescent="0.45">
      <c r="AC61" t="s">
        <v>19</v>
      </c>
      <c r="AD61" t="s">
        <v>253</v>
      </c>
      <c r="AE61">
        <v>6.1853562260701801E-2</v>
      </c>
    </row>
    <row r="62" spans="9:35" x14ac:dyDescent="0.45">
      <c r="AC62" t="s">
        <v>19</v>
      </c>
      <c r="AD62" t="s">
        <v>254</v>
      </c>
      <c r="AE62">
        <v>4.0437389468844571E-2</v>
      </c>
    </row>
    <row r="63" spans="9:35" x14ac:dyDescent="0.45">
      <c r="AC63" t="s">
        <v>19</v>
      </c>
      <c r="AD63" t="s">
        <v>255</v>
      </c>
      <c r="AE63">
        <v>1.0089854932028578E-2</v>
      </c>
    </row>
    <row r="64" spans="9:35" x14ac:dyDescent="0.45">
      <c r="AC64" t="s">
        <v>19</v>
      </c>
      <c r="AD64" t="s">
        <v>256</v>
      </c>
      <c r="AE64">
        <v>5.1264095683059299E-2</v>
      </c>
    </row>
    <row r="65" spans="29:31" x14ac:dyDescent="0.45">
      <c r="AC65" t="s">
        <v>19</v>
      </c>
      <c r="AD65" t="s">
        <v>259</v>
      </c>
      <c r="AE65">
        <v>4.9081765313446241E-2</v>
      </c>
    </row>
    <row r="66" spans="29:31" x14ac:dyDescent="0.45">
      <c r="AC66" t="s">
        <v>19</v>
      </c>
      <c r="AD66" t="s">
        <v>260</v>
      </c>
      <c r="AE66">
        <v>7.0186433786684826E-3</v>
      </c>
    </row>
    <row r="67" spans="29:31" x14ac:dyDescent="0.45">
      <c r="AC67" t="s">
        <v>19</v>
      </c>
      <c r="AD67" t="s">
        <v>261</v>
      </c>
      <c r="AE67">
        <v>4.2037456788797993E-2</v>
      </c>
    </row>
    <row r="68" spans="29:31" x14ac:dyDescent="0.45">
      <c r="AC68" t="s">
        <v>19</v>
      </c>
      <c r="AD68" t="s">
        <v>262</v>
      </c>
      <c r="AE68">
        <v>2.7467284399023715E-2</v>
      </c>
    </row>
    <row r="69" spans="29:31" x14ac:dyDescent="0.45">
      <c r="AC69" t="s">
        <v>19</v>
      </c>
      <c r="AD69" t="s">
        <v>263</v>
      </c>
      <c r="AE69">
        <v>6.8351141165879786E-3</v>
      </c>
    </row>
    <row r="70" spans="29:31" x14ac:dyDescent="0.45">
      <c r="AC70" t="s">
        <v>19</v>
      </c>
      <c r="AD70" t="s">
        <v>264</v>
      </c>
      <c r="AE70">
        <v>3.4661998983884813E-2</v>
      </c>
    </row>
    <row r="71" spans="29:31" x14ac:dyDescent="0.45">
      <c r="AC71" t="s">
        <v>19</v>
      </c>
      <c r="AD71" t="s">
        <v>267</v>
      </c>
      <c r="AE71">
        <v>2.4095376509494004E-2</v>
      </c>
    </row>
    <row r="72" spans="29:31" x14ac:dyDescent="0.45">
      <c r="AC72" t="s">
        <v>19</v>
      </c>
      <c r="AD72" t="s">
        <v>268</v>
      </c>
      <c r="AE72">
        <v>3.4584927973460482E-3</v>
      </c>
    </row>
    <row r="73" spans="29:31" x14ac:dyDescent="0.45">
      <c r="AC73" t="s">
        <v>19</v>
      </c>
      <c r="AD73" t="s">
        <v>269</v>
      </c>
      <c r="AE73">
        <v>2.0747369262013888E-2</v>
      </c>
    </row>
    <row r="74" spans="29:31" x14ac:dyDescent="0.45">
      <c r="AC74" t="s">
        <v>19</v>
      </c>
      <c r="AD74" t="s">
        <v>270</v>
      </c>
      <c r="AE74">
        <v>1.349492077743834E-2</v>
      </c>
    </row>
    <row r="75" spans="29:31" x14ac:dyDescent="0.45">
      <c r="AC75" t="s">
        <v>19</v>
      </c>
      <c r="AD75" t="s">
        <v>271</v>
      </c>
      <c r="AE75">
        <v>3.3560796554056318E-3</v>
      </c>
    </row>
    <row r="76" spans="29:31" x14ac:dyDescent="0.45">
      <c r="AC76" t="s">
        <v>19</v>
      </c>
      <c r="AD76" t="s">
        <v>272</v>
      </c>
      <c r="AE76">
        <v>1.7061237963495509E-2</v>
      </c>
    </row>
    <row r="77" spans="29:31" x14ac:dyDescent="0.45">
      <c r="AC77" t="s">
        <v>19</v>
      </c>
      <c r="AD77" t="s">
        <v>275</v>
      </c>
      <c r="AE77">
        <v>2.4903977871166081E-2</v>
      </c>
    </row>
    <row r="78" spans="29:31" x14ac:dyDescent="0.45">
      <c r="AC78" t="s">
        <v>19</v>
      </c>
      <c r="AD78" t="s">
        <v>276</v>
      </c>
      <c r="AE78">
        <v>3.5730536317805741E-3</v>
      </c>
    </row>
    <row r="79" spans="29:31" x14ac:dyDescent="0.45">
      <c r="AC79" t="s">
        <v>19</v>
      </c>
      <c r="AD79" t="s">
        <v>277</v>
      </c>
      <c r="AE79">
        <v>2.1431810973620097E-2</v>
      </c>
    </row>
    <row r="80" spans="29:31" x14ac:dyDescent="0.45">
      <c r="AC80" t="s">
        <v>19</v>
      </c>
      <c r="AD80" t="s">
        <v>278</v>
      </c>
      <c r="AE80">
        <v>1.3943253290675143E-2</v>
      </c>
    </row>
    <row r="81" spans="29:31" x14ac:dyDescent="0.45">
      <c r="AC81" t="s">
        <v>19</v>
      </c>
      <c r="AD81" t="s">
        <v>279</v>
      </c>
      <c r="AE81">
        <v>3.4671685695771598E-3</v>
      </c>
    </row>
    <row r="82" spans="29:31" x14ac:dyDescent="0.45">
      <c r="AC82" t="s">
        <v>19</v>
      </c>
      <c r="AD82" t="s">
        <v>280</v>
      </c>
      <c r="AE82">
        <v>1.7639771190730177E-2</v>
      </c>
    </row>
    <row r="83" spans="29:31" x14ac:dyDescent="0.45">
      <c r="AC83" t="s">
        <v>19</v>
      </c>
      <c r="AD83" t="s">
        <v>283</v>
      </c>
      <c r="AE83">
        <v>2.490302068633388E-2</v>
      </c>
    </row>
    <row r="84" spans="29:31" x14ac:dyDescent="0.45">
      <c r="AC84" t="s">
        <v>19</v>
      </c>
      <c r="AD84" t="s">
        <v>284</v>
      </c>
      <c r="AE84">
        <v>3.5689408077957539E-3</v>
      </c>
    </row>
    <row r="85" spans="29:31" x14ac:dyDescent="0.45">
      <c r="AC85" t="s">
        <v>19</v>
      </c>
      <c r="AD85" t="s">
        <v>285</v>
      </c>
      <c r="AE85">
        <v>2.1425827111314258E-2</v>
      </c>
    </row>
    <row r="86" spans="29:31" x14ac:dyDescent="0.45">
      <c r="AC86" t="s">
        <v>19</v>
      </c>
      <c r="AD86" t="s">
        <v>286</v>
      </c>
      <c r="AE86">
        <v>1.395003640990344E-2</v>
      </c>
    </row>
    <row r="87" spans="29:31" x14ac:dyDescent="0.45">
      <c r="AC87" t="s">
        <v>19</v>
      </c>
      <c r="AD87" t="s">
        <v>287</v>
      </c>
      <c r="AE87">
        <v>3.4692027456214489E-3</v>
      </c>
    </row>
    <row r="88" spans="29:31" x14ac:dyDescent="0.45">
      <c r="AC88" t="s">
        <v>19</v>
      </c>
      <c r="AD88" t="s">
        <v>288</v>
      </c>
      <c r="AE88">
        <v>1.7627093897247603E-2</v>
      </c>
    </row>
    <row r="89" spans="29:31" x14ac:dyDescent="0.45">
      <c r="AC89" t="s">
        <v>19</v>
      </c>
      <c r="AD89" t="s">
        <v>291</v>
      </c>
      <c r="AE89">
        <v>4.9083102785669394E-2</v>
      </c>
    </row>
    <row r="90" spans="29:31" x14ac:dyDescent="0.45">
      <c r="AC90" t="s">
        <v>19</v>
      </c>
      <c r="AD90" t="s">
        <v>292</v>
      </c>
      <c r="AE90">
        <v>7.018718568166606E-3</v>
      </c>
    </row>
    <row r="91" spans="29:31" x14ac:dyDescent="0.45">
      <c r="AC91" t="s">
        <v>19</v>
      </c>
      <c r="AD91" t="s">
        <v>293</v>
      </c>
      <c r="AE91">
        <v>4.19842215222367E-2</v>
      </c>
    </row>
    <row r="92" spans="29:31" x14ac:dyDescent="0.45">
      <c r="AC92" t="s">
        <v>19</v>
      </c>
      <c r="AD92" t="s">
        <v>294</v>
      </c>
      <c r="AE92">
        <v>2.7443821447991162E-2</v>
      </c>
    </row>
    <row r="93" spans="29:31" x14ac:dyDescent="0.45">
      <c r="AC93" t="s">
        <v>19</v>
      </c>
      <c r="AD93" t="s">
        <v>295</v>
      </c>
      <c r="AE93">
        <v>6.838118013880335E-3</v>
      </c>
    </row>
    <row r="94" spans="29:31" x14ac:dyDescent="0.45">
      <c r="AC94" t="s">
        <v>19</v>
      </c>
      <c r="AD94" t="s">
        <v>296</v>
      </c>
      <c r="AE94">
        <v>3.4727844599274617E-2</v>
      </c>
    </row>
    <row r="95" spans="29:31" x14ac:dyDescent="0.45">
      <c r="AC95" t="s">
        <v>19</v>
      </c>
      <c r="AD95" t="s">
        <v>323</v>
      </c>
      <c r="AE95">
        <v>2.4153307968669057E-2</v>
      </c>
    </row>
    <row r="96" spans="29:31" x14ac:dyDescent="0.45">
      <c r="AC96" t="s">
        <v>19</v>
      </c>
      <c r="AD96" t="s">
        <v>324</v>
      </c>
      <c r="AE96">
        <v>3.4535021294462907E-3</v>
      </c>
    </row>
    <row r="97" spans="29:31" x14ac:dyDescent="0.45">
      <c r="AC97" t="s">
        <v>19</v>
      </c>
      <c r="AD97" t="s">
        <v>325</v>
      </c>
      <c r="AE97">
        <v>2.0623439445188577E-2</v>
      </c>
    </row>
    <row r="98" spans="29:31" x14ac:dyDescent="0.45">
      <c r="AC98" t="s">
        <v>19</v>
      </c>
      <c r="AD98" t="s">
        <v>326</v>
      </c>
      <c r="AE98">
        <v>1.3473485826066315E-2</v>
      </c>
    </row>
    <row r="99" spans="29:31" x14ac:dyDescent="0.45">
      <c r="AC99" t="s">
        <v>19</v>
      </c>
      <c r="AD99" t="s">
        <v>327</v>
      </c>
      <c r="AE99">
        <v>3.3637788947299399E-3</v>
      </c>
    </row>
    <row r="100" spans="29:31" x14ac:dyDescent="0.45">
      <c r="AC100" t="s">
        <v>19</v>
      </c>
      <c r="AD100" t="s">
        <v>328</v>
      </c>
      <c r="AE100">
        <v>1.7106455689490346E-2</v>
      </c>
    </row>
    <row r="101" spans="29:31" x14ac:dyDescent="0.45">
      <c r="AC101" t="s">
        <v>19</v>
      </c>
      <c r="AD101" t="s">
        <v>331</v>
      </c>
      <c r="AE101">
        <v>2.4969677650439715E-2</v>
      </c>
    </row>
    <row r="102" spans="29:31" x14ac:dyDescent="0.45">
      <c r="AC102" t="s">
        <v>19</v>
      </c>
      <c r="AD102" t="s">
        <v>332</v>
      </c>
      <c r="AE102">
        <v>3.5692561803301113E-3</v>
      </c>
    </row>
    <row r="103" spans="29:31" x14ac:dyDescent="0.45">
      <c r="AC103" t="s">
        <v>19</v>
      </c>
      <c r="AD103" t="s">
        <v>333</v>
      </c>
      <c r="AE103">
        <v>2.1303165560283676E-2</v>
      </c>
    </row>
    <row r="104" spans="29:31" x14ac:dyDescent="0.45">
      <c r="AC104" t="s">
        <v>19</v>
      </c>
      <c r="AD104" t="s">
        <v>334</v>
      </c>
      <c r="AE104">
        <v>1.3926380106162256E-2</v>
      </c>
    </row>
    <row r="105" spans="29:31" x14ac:dyDescent="0.45">
      <c r="AC105" t="s">
        <v>19</v>
      </c>
      <c r="AD105" t="s">
        <v>335</v>
      </c>
      <c r="AE105">
        <v>3.4761688945883326E-3</v>
      </c>
    </row>
    <row r="106" spans="29:31" x14ac:dyDescent="0.45">
      <c r="AC106" t="s">
        <v>19</v>
      </c>
      <c r="AD106" t="s">
        <v>336</v>
      </c>
      <c r="AE106">
        <v>1.7679452426616876E-2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514D-8578-4A56-83C2-0F6CC2373393}">
  <dimension ref="A9:AN13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124</v>
      </c>
      <c r="K10" t="s">
        <v>248</v>
      </c>
      <c r="L10" t="s">
        <v>30</v>
      </c>
      <c r="N10" t="s">
        <v>13</v>
      </c>
      <c r="O10" t="s">
        <v>124</v>
      </c>
      <c r="P10" t="s">
        <v>248</v>
      </c>
      <c r="Q10" t="s">
        <v>30</v>
      </c>
      <c r="S10" t="s">
        <v>13</v>
      </c>
      <c r="T10" t="s">
        <v>124</v>
      </c>
      <c r="U10" t="s">
        <v>248</v>
      </c>
      <c r="V10" t="s">
        <v>30</v>
      </c>
      <c r="X10" t="s">
        <v>421</v>
      </c>
      <c r="Y10" t="s">
        <v>248</v>
      </c>
      <c r="Z10" t="s">
        <v>124</v>
      </c>
      <c r="AA10" t="s">
        <v>13</v>
      </c>
      <c r="AC10" t="s">
        <v>13</v>
      </c>
      <c r="AD10" t="s">
        <v>124</v>
      </c>
      <c r="AE10" t="s">
        <v>248</v>
      </c>
      <c r="AG10" t="s">
        <v>13</v>
      </c>
      <c r="AH10" t="s">
        <v>124</v>
      </c>
      <c r="AI10" t="s">
        <v>427</v>
      </c>
      <c r="AK10" t="s">
        <v>47</v>
      </c>
      <c r="AL10" t="s">
        <v>124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240</v>
      </c>
      <c r="F11" t="s">
        <v>1895</v>
      </c>
      <c r="G11" t="s">
        <v>152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8.7139327156528501E-2</v>
      </c>
      <c r="Q11" t="s">
        <v>251</v>
      </c>
      <c r="S11" t="s">
        <v>420</v>
      </c>
      <c r="T11" t="s">
        <v>250</v>
      </c>
      <c r="U11">
        <v>5.3130576686643054E-2</v>
      </c>
      <c r="V11" t="s">
        <v>251</v>
      </c>
      <c r="X11">
        <v>6.1643835616438353E-2</v>
      </c>
      <c r="Y11">
        <v>1.3186485344206054E-2</v>
      </c>
      <c r="Z11" t="s">
        <v>250</v>
      </c>
      <c r="AA11" t="s">
        <v>25</v>
      </c>
      <c r="AC11" t="s">
        <v>22</v>
      </c>
      <c r="AD11" t="s">
        <v>250</v>
      </c>
      <c r="AE11">
        <v>7.0663751368580344E-2</v>
      </c>
      <c r="AG11" t="s">
        <v>99</v>
      </c>
      <c r="AH11" t="s">
        <v>250</v>
      </c>
      <c r="AI11">
        <v>0.17144618192282191</v>
      </c>
    </row>
    <row r="12" spans="1:40" x14ac:dyDescent="0.45">
      <c r="C12" t="s">
        <v>156</v>
      </c>
      <c r="E12" t="s">
        <v>241</v>
      </c>
      <c r="G12" t="s">
        <v>152</v>
      </c>
      <c r="I12" t="s">
        <v>249</v>
      </c>
      <c r="J12" t="s">
        <v>252</v>
      </c>
      <c r="K12">
        <v>3.8850639217409234E-3</v>
      </c>
      <c r="L12" t="s">
        <v>251</v>
      </c>
      <c r="N12" t="s">
        <v>419</v>
      </c>
      <c r="O12" t="s">
        <v>252</v>
      </c>
      <c r="P12">
        <v>1.2932314621700162E-2</v>
      </c>
      <c r="Q12" t="s">
        <v>251</v>
      </c>
      <c r="S12" t="s">
        <v>420</v>
      </c>
      <c r="T12" t="s">
        <v>252</v>
      </c>
      <c r="U12">
        <v>8.7602576197908198E-3</v>
      </c>
      <c r="V12" t="s">
        <v>251</v>
      </c>
      <c r="X12">
        <v>1.0273972602739725E-2</v>
      </c>
      <c r="Y12">
        <v>1.5215175397160829E-2</v>
      </c>
      <c r="Z12" t="s">
        <v>252</v>
      </c>
      <c r="AA12" t="s">
        <v>25</v>
      </c>
      <c r="AC12" t="s">
        <v>22</v>
      </c>
      <c r="AD12" t="s">
        <v>252</v>
      </c>
      <c r="AE12">
        <v>1.1853382594873592E-2</v>
      </c>
      <c r="AG12" t="s">
        <v>99</v>
      </c>
      <c r="AH12" t="s">
        <v>252</v>
      </c>
      <c r="AI12">
        <v>0.13195168828182102</v>
      </c>
    </row>
    <row r="13" spans="1:40" x14ac:dyDescent="0.45">
      <c r="C13" t="s">
        <v>159</v>
      </c>
      <c r="E13" t="s">
        <v>242</v>
      </c>
      <c r="G13" t="s">
        <v>152</v>
      </c>
      <c r="I13" t="s">
        <v>249</v>
      </c>
      <c r="J13" t="s">
        <v>253</v>
      </c>
      <c r="K13">
        <v>1.5212377290317949E-2</v>
      </c>
      <c r="L13" t="s">
        <v>251</v>
      </c>
      <c r="N13" t="s">
        <v>419</v>
      </c>
      <c r="O13" t="s">
        <v>253</v>
      </c>
      <c r="P13">
        <v>1.1508624844745446E-2</v>
      </c>
      <c r="Q13" t="s">
        <v>251</v>
      </c>
      <c r="S13" t="s">
        <v>420</v>
      </c>
      <c r="T13" t="s">
        <v>253</v>
      </c>
      <c r="U13">
        <v>8.7544779837392239E-3</v>
      </c>
      <c r="V13" t="s">
        <v>251</v>
      </c>
      <c r="X13">
        <v>1.0273972602739725E-2</v>
      </c>
      <c r="Y13">
        <v>1.7154364418367599E-2</v>
      </c>
      <c r="Z13" t="s">
        <v>253</v>
      </c>
      <c r="AA13" t="s">
        <v>25</v>
      </c>
      <c r="AC13" t="s">
        <v>22</v>
      </c>
      <c r="AD13" t="s">
        <v>253</v>
      </c>
      <c r="AE13">
        <v>1.1807592956283209E-2</v>
      </c>
      <c r="AG13" t="s">
        <v>99</v>
      </c>
      <c r="AH13" t="s">
        <v>253</v>
      </c>
      <c r="AI13">
        <v>0.13039775427481448</v>
      </c>
    </row>
    <row r="14" spans="1:40" x14ac:dyDescent="0.45">
      <c r="C14" t="s">
        <v>163</v>
      </c>
      <c r="E14" t="s">
        <v>243</v>
      </c>
      <c r="G14" t="s">
        <v>152</v>
      </c>
      <c r="I14" t="s">
        <v>249</v>
      </c>
      <c r="J14" t="s">
        <v>254</v>
      </c>
      <c r="K14">
        <v>0.15595166903789462</v>
      </c>
      <c r="L14" t="s">
        <v>251</v>
      </c>
      <c r="N14" t="s">
        <v>419</v>
      </c>
      <c r="O14" t="s">
        <v>254</v>
      </c>
      <c r="P14">
        <v>5.1984443587502122E-2</v>
      </c>
      <c r="Q14" t="s">
        <v>251</v>
      </c>
      <c r="S14" t="s">
        <v>420</v>
      </c>
      <c r="T14" t="s">
        <v>254</v>
      </c>
      <c r="U14">
        <v>5.3971023957005287E-2</v>
      </c>
      <c r="V14" t="s">
        <v>251</v>
      </c>
      <c r="X14">
        <v>6.1643835616438353E-2</v>
      </c>
      <c r="Y14">
        <v>7.7686895557268237E-2</v>
      </c>
      <c r="Z14" t="s">
        <v>254</v>
      </c>
      <c r="AA14" t="s">
        <v>25</v>
      </c>
      <c r="AC14" t="s">
        <v>22</v>
      </c>
      <c r="AD14" t="s">
        <v>254</v>
      </c>
      <c r="AE14">
        <v>6.5302348795120022E-2</v>
      </c>
      <c r="AG14" t="s">
        <v>99</v>
      </c>
      <c r="AH14" t="s">
        <v>254</v>
      </c>
      <c r="AI14">
        <v>0.19745959154956116</v>
      </c>
    </row>
    <row r="15" spans="1:40" x14ac:dyDescent="0.45">
      <c r="C15" t="s">
        <v>166</v>
      </c>
      <c r="E15" t="s">
        <v>244</v>
      </c>
      <c r="G15" t="s">
        <v>152</v>
      </c>
      <c r="I15" t="s">
        <v>249</v>
      </c>
      <c r="J15" t="s">
        <v>255</v>
      </c>
      <c r="K15">
        <v>7.1988911321292995E-2</v>
      </c>
      <c r="L15" t="s">
        <v>251</v>
      </c>
      <c r="N15" t="s">
        <v>419</v>
      </c>
      <c r="O15" t="s">
        <v>255</v>
      </c>
      <c r="P15">
        <v>2.376763460745359E-2</v>
      </c>
      <c r="Q15" t="s">
        <v>251</v>
      </c>
      <c r="S15" t="s">
        <v>420</v>
      </c>
      <c r="T15" t="s">
        <v>255</v>
      </c>
      <c r="U15">
        <v>2.8211474460743142E-2</v>
      </c>
      <c r="V15" t="s">
        <v>251</v>
      </c>
      <c r="X15">
        <v>3.0821917808219176E-2</v>
      </c>
      <c r="Y15">
        <v>4.904656539790668E-2</v>
      </c>
      <c r="Z15" t="s">
        <v>255</v>
      </c>
      <c r="AA15" t="s">
        <v>25</v>
      </c>
      <c r="AC15" t="s">
        <v>22</v>
      </c>
      <c r="AD15" t="s">
        <v>255</v>
      </c>
      <c r="AE15">
        <v>2.3756428390450116E-2</v>
      </c>
      <c r="AG15" t="s">
        <v>99</v>
      </c>
      <c r="AH15" t="s">
        <v>255</v>
      </c>
      <c r="AI15">
        <v>0.1178853699886182</v>
      </c>
    </row>
    <row r="16" spans="1:40" x14ac:dyDescent="0.45">
      <c r="C16" t="s">
        <v>158</v>
      </c>
      <c r="E16" t="s">
        <v>245</v>
      </c>
      <c r="G16" t="s">
        <v>152</v>
      </c>
      <c r="I16" t="s">
        <v>249</v>
      </c>
      <c r="J16" t="s">
        <v>256</v>
      </c>
      <c r="K16">
        <v>1.8257972364108581E-2</v>
      </c>
      <c r="L16" t="s">
        <v>251</v>
      </c>
      <c r="N16" t="s">
        <v>419</v>
      </c>
      <c r="O16" t="s">
        <v>256</v>
      </c>
      <c r="P16">
        <v>9.5986037825061387E-3</v>
      </c>
      <c r="Q16" t="s">
        <v>251</v>
      </c>
      <c r="S16" t="s">
        <v>420</v>
      </c>
      <c r="T16" t="s">
        <v>256</v>
      </c>
      <c r="U16">
        <v>9.5877630942561368E-3</v>
      </c>
      <c r="V16" t="s">
        <v>251</v>
      </c>
      <c r="X16">
        <v>1.0273972602739725E-2</v>
      </c>
      <c r="Y16">
        <v>1.9988563757054423E-2</v>
      </c>
      <c r="Z16" t="s">
        <v>256</v>
      </c>
      <c r="AA16" t="s">
        <v>25</v>
      </c>
      <c r="AC16" t="s">
        <v>22</v>
      </c>
      <c r="AD16" t="s">
        <v>256</v>
      </c>
      <c r="AE16">
        <v>7.4788071941823192E-3</v>
      </c>
      <c r="AG16" t="s">
        <v>99</v>
      </c>
      <c r="AH16" t="s">
        <v>256</v>
      </c>
      <c r="AI16">
        <v>9.6759241482586633E-2</v>
      </c>
    </row>
    <row r="17" spans="3:35" x14ac:dyDescent="0.45">
      <c r="C17" t="s">
        <v>169</v>
      </c>
      <c r="E17" t="s">
        <v>246</v>
      </c>
      <c r="G17" t="s">
        <v>152</v>
      </c>
      <c r="I17" t="s">
        <v>249</v>
      </c>
      <c r="J17" t="s">
        <v>257</v>
      </c>
      <c r="K17">
        <v>1.227593549923761E-2</v>
      </c>
      <c r="L17" t="s">
        <v>251</v>
      </c>
      <c r="N17" t="s">
        <v>419</v>
      </c>
      <c r="O17" t="s">
        <v>257</v>
      </c>
      <c r="P17">
        <v>1.0357603255428699E-2</v>
      </c>
      <c r="Q17" t="s">
        <v>251</v>
      </c>
      <c r="S17" t="s">
        <v>420</v>
      </c>
      <c r="T17" t="s">
        <v>257</v>
      </c>
      <c r="U17">
        <v>9.541247890974611E-3</v>
      </c>
      <c r="V17" t="s">
        <v>251</v>
      </c>
      <c r="X17">
        <v>1.0273972602739725E-2</v>
      </c>
      <c r="Y17">
        <v>1.5513512169654176E-2</v>
      </c>
      <c r="Z17" t="s">
        <v>257</v>
      </c>
      <c r="AA17" t="s">
        <v>25</v>
      </c>
      <c r="AC17" t="s">
        <v>22</v>
      </c>
      <c r="AD17" t="s">
        <v>257</v>
      </c>
      <c r="AE17">
        <v>7.5084897451249332E-3</v>
      </c>
      <c r="AG17" t="s">
        <v>99</v>
      </c>
      <c r="AH17" t="s">
        <v>257</v>
      </c>
      <c r="AI17">
        <v>0.10834577279499991</v>
      </c>
    </row>
    <row r="18" spans="3:35" x14ac:dyDescent="0.45">
      <c r="C18" t="s">
        <v>171</v>
      </c>
      <c r="E18" t="s">
        <v>247</v>
      </c>
      <c r="G18" t="s">
        <v>152</v>
      </c>
      <c r="I18" t="s">
        <v>249</v>
      </c>
      <c r="J18" t="s">
        <v>258</v>
      </c>
      <c r="K18">
        <v>2.7635945841669E-3</v>
      </c>
      <c r="L18" t="s">
        <v>251</v>
      </c>
      <c r="N18" t="s">
        <v>419</v>
      </c>
      <c r="O18" t="s">
        <v>258</v>
      </c>
      <c r="P18">
        <v>6.8898288860590823E-2</v>
      </c>
      <c r="Q18" t="s">
        <v>251</v>
      </c>
      <c r="S18" t="s">
        <v>420</v>
      </c>
      <c r="T18" t="s">
        <v>258</v>
      </c>
      <c r="U18">
        <v>4.5660389693070819E-2</v>
      </c>
      <c r="V18" t="s">
        <v>251</v>
      </c>
      <c r="X18">
        <v>5.1369863013698627E-2</v>
      </c>
      <c r="Y18">
        <v>3.8783780424135446E-2</v>
      </c>
      <c r="Z18" t="s">
        <v>258</v>
      </c>
      <c r="AA18" t="s">
        <v>25</v>
      </c>
      <c r="AC18" t="s">
        <v>22</v>
      </c>
      <c r="AD18" t="s">
        <v>258</v>
      </c>
      <c r="AE18">
        <v>5.0096362875105951E-2</v>
      </c>
      <c r="AG18" t="s">
        <v>99</v>
      </c>
      <c r="AH18" t="s">
        <v>258</v>
      </c>
      <c r="AI18">
        <v>0.19249681020788567</v>
      </c>
    </row>
    <row r="19" spans="3:35" x14ac:dyDescent="0.45">
      <c r="I19" t="s">
        <v>249</v>
      </c>
      <c r="J19" t="s">
        <v>259</v>
      </c>
      <c r="K19">
        <v>0</v>
      </c>
      <c r="L19" t="s">
        <v>251</v>
      </c>
      <c r="N19" t="s">
        <v>419</v>
      </c>
      <c r="O19" t="s">
        <v>259</v>
      </c>
      <c r="P19">
        <v>4.3006991791304003E-2</v>
      </c>
      <c r="Q19" t="s">
        <v>251</v>
      </c>
      <c r="S19" t="s">
        <v>420</v>
      </c>
      <c r="T19" t="s">
        <v>259</v>
      </c>
      <c r="U19">
        <v>3.7537256378995562E-2</v>
      </c>
      <c r="V19" t="s">
        <v>251</v>
      </c>
      <c r="X19">
        <v>4.1780821917808221E-2</v>
      </c>
      <c r="Y19">
        <v>8.9375067332952141E-3</v>
      </c>
      <c r="Z19" t="s">
        <v>259</v>
      </c>
      <c r="AA19" t="s">
        <v>25</v>
      </c>
      <c r="AC19" t="s">
        <v>22</v>
      </c>
      <c r="AD19" t="s">
        <v>259</v>
      </c>
      <c r="AE19">
        <v>4.54676288683745E-2</v>
      </c>
      <c r="AG19" t="s">
        <v>99</v>
      </c>
      <c r="AH19" t="s">
        <v>259</v>
      </c>
      <c r="AI19">
        <v>7.4865605579343519E-2</v>
      </c>
    </row>
    <row r="20" spans="3:35" x14ac:dyDescent="0.45">
      <c r="I20" t="s">
        <v>249</v>
      </c>
      <c r="J20" t="s">
        <v>260</v>
      </c>
      <c r="K20">
        <v>2.0517109116268366E-6</v>
      </c>
      <c r="L20" t="s">
        <v>251</v>
      </c>
      <c r="N20" t="s">
        <v>419</v>
      </c>
      <c r="O20" t="s">
        <v>260</v>
      </c>
      <c r="P20">
        <v>6.7952148557780109E-3</v>
      </c>
      <c r="Q20" t="s">
        <v>251</v>
      </c>
      <c r="S20" t="s">
        <v>420</v>
      </c>
      <c r="T20" t="s">
        <v>260</v>
      </c>
      <c r="U20">
        <v>6.0689182598715041E-3</v>
      </c>
      <c r="V20" t="s">
        <v>251</v>
      </c>
      <c r="X20">
        <v>6.9634703196347035E-3</v>
      </c>
      <c r="Y20">
        <v>1.0312507769186786E-2</v>
      </c>
      <c r="Z20" t="s">
        <v>260</v>
      </c>
      <c r="AA20" t="s">
        <v>25</v>
      </c>
      <c r="AC20" t="s">
        <v>22</v>
      </c>
      <c r="AD20" t="s">
        <v>260</v>
      </c>
      <c r="AE20">
        <v>7.5926334795023984E-3</v>
      </c>
      <c r="AG20" t="s">
        <v>99</v>
      </c>
      <c r="AH20" t="s">
        <v>260</v>
      </c>
      <c r="AI20">
        <v>6.1930994278356799E-2</v>
      </c>
    </row>
    <row r="21" spans="3:35" x14ac:dyDescent="0.45">
      <c r="I21" t="s">
        <v>249</v>
      </c>
      <c r="J21" t="s">
        <v>261</v>
      </c>
      <c r="K21">
        <v>6.1120878655059312E-3</v>
      </c>
      <c r="L21" t="s">
        <v>251</v>
      </c>
      <c r="N21" t="s">
        <v>419</v>
      </c>
      <c r="O21" t="s">
        <v>261</v>
      </c>
      <c r="P21">
        <v>6.523720919774198E-3</v>
      </c>
      <c r="Q21" t="s">
        <v>251</v>
      </c>
      <c r="S21" t="s">
        <v>420</v>
      </c>
      <c r="T21" t="s">
        <v>261</v>
      </c>
      <c r="U21">
        <v>5.9465728427313359E-3</v>
      </c>
      <c r="V21" t="s">
        <v>251</v>
      </c>
      <c r="X21">
        <v>6.9634703196347035E-3</v>
      </c>
      <c r="Y21">
        <v>1.1626846994671376E-2</v>
      </c>
      <c r="Z21" t="s">
        <v>261</v>
      </c>
      <c r="AA21" t="s">
        <v>25</v>
      </c>
      <c r="AC21" t="s">
        <v>22</v>
      </c>
      <c r="AD21" t="s">
        <v>261</v>
      </c>
      <c r="AE21">
        <v>7.6873102735385036E-3</v>
      </c>
      <c r="AG21" t="s">
        <v>99</v>
      </c>
      <c r="AH21" t="s">
        <v>261</v>
      </c>
      <c r="AI21">
        <v>5.1855371875045408E-2</v>
      </c>
    </row>
    <row r="22" spans="3:35" x14ac:dyDescent="0.45">
      <c r="I22" t="s">
        <v>249</v>
      </c>
      <c r="J22" t="s">
        <v>262</v>
      </c>
      <c r="K22">
        <v>7.946031834604976E-2</v>
      </c>
      <c r="L22" t="s">
        <v>251</v>
      </c>
      <c r="N22" t="s">
        <v>419</v>
      </c>
      <c r="O22" t="s">
        <v>262</v>
      </c>
      <c r="P22">
        <v>2.665596232555829E-2</v>
      </c>
      <c r="Q22" t="s">
        <v>251</v>
      </c>
      <c r="S22" t="s">
        <v>420</v>
      </c>
      <c r="T22" t="s">
        <v>262</v>
      </c>
      <c r="U22">
        <v>3.466315351367881E-2</v>
      </c>
      <c r="V22" t="s">
        <v>251</v>
      </c>
      <c r="X22">
        <v>4.1780821917808221E-2</v>
      </c>
      <c r="Y22">
        <v>5.2654451433259586E-2</v>
      </c>
      <c r="Z22" t="s">
        <v>262</v>
      </c>
      <c r="AA22" t="s">
        <v>25</v>
      </c>
      <c r="AC22" t="s">
        <v>22</v>
      </c>
      <c r="AD22" t="s">
        <v>262</v>
      </c>
      <c r="AE22">
        <v>4.4977530220701507E-2</v>
      </c>
      <c r="AG22" t="s">
        <v>99</v>
      </c>
      <c r="AH22" t="s">
        <v>262</v>
      </c>
      <c r="AI22">
        <v>0.12084594434593376</v>
      </c>
    </row>
    <row r="23" spans="3:35" x14ac:dyDescent="0.45">
      <c r="I23" t="s">
        <v>249</v>
      </c>
      <c r="J23" t="s">
        <v>263</v>
      </c>
      <c r="K23">
        <v>3.5192054354663271E-2</v>
      </c>
      <c r="L23" t="s">
        <v>251</v>
      </c>
      <c r="N23" t="s">
        <v>419</v>
      </c>
      <c r="O23" t="s">
        <v>263</v>
      </c>
      <c r="P23">
        <v>1.1726546603504053E-2</v>
      </c>
      <c r="Q23" t="s">
        <v>251</v>
      </c>
      <c r="S23" t="s">
        <v>420</v>
      </c>
      <c r="T23" t="s">
        <v>263</v>
      </c>
      <c r="U23">
        <v>1.7553515416395066E-2</v>
      </c>
      <c r="V23" t="s">
        <v>251</v>
      </c>
      <c r="X23">
        <v>2.0890410958904111E-2</v>
      </c>
      <c r="Y23">
        <v>3.3242672103025631E-2</v>
      </c>
      <c r="Z23" t="s">
        <v>263</v>
      </c>
      <c r="AA23" t="s">
        <v>25</v>
      </c>
      <c r="AC23" t="s">
        <v>22</v>
      </c>
      <c r="AD23" t="s">
        <v>263</v>
      </c>
      <c r="AE23">
        <v>1.6573985193920747E-2</v>
      </c>
      <c r="AG23" t="s">
        <v>99</v>
      </c>
      <c r="AH23" t="s">
        <v>263</v>
      </c>
      <c r="AI23">
        <v>0.10030867395387011</v>
      </c>
    </row>
    <row r="24" spans="3:35" x14ac:dyDescent="0.45">
      <c r="I24" t="s">
        <v>249</v>
      </c>
      <c r="J24" t="s">
        <v>264</v>
      </c>
      <c r="K24">
        <v>8.4913685302139448E-3</v>
      </c>
      <c r="L24" t="s">
        <v>251</v>
      </c>
      <c r="N24" t="s">
        <v>419</v>
      </c>
      <c r="O24" t="s">
        <v>264</v>
      </c>
      <c r="P24">
        <v>4.1699951765625902E-3</v>
      </c>
      <c r="Q24" t="s">
        <v>251</v>
      </c>
      <c r="S24" t="s">
        <v>420</v>
      </c>
      <c r="T24" t="s">
        <v>264</v>
      </c>
      <c r="U24">
        <v>6.0712868507345804E-3</v>
      </c>
      <c r="V24" t="s">
        <v>251</v>
      </c>
      <c r="X24">
        <v>6.9634703196347035E-3</v>
      </c>
      <c r="Y24">
        <v>1.354780432422577E-2</v>
      </c>
      <c r="Z24" t="s">
        <v>264</v>
      </c>
      <c r="AA24" t="s">
        <v>25</v>
      </c>
      <c r="AC24" t="s">
        <v>22</v>
      </c>
      <c r="AD24" t="s">
        <v>264</v>
      </c>
      <c r="AE24">
        <v>4.8187773517294761E-3</v>
      </c>
      <c r="AG24" t="s">
        <v>99</v>
      </c>
      <c r="AH24" t="s">
        <v>264</v>
      </c>
      <c r="AI24">
        <v>1.2077021616294203E-2</v>
      </c>
    </row>
    <row r="25" spans="3:35" x14ac:dyDescent="0.45">
      <c r="I25" t="s">
        <v>249</v>
      </c>
      <c r="J25" t="s">
        <v>265</v>
      </c>
      <c r="K25">
        <v>2.5260182832761127E-3</v>
      </c>
      <c r="L25" t="s">
        <v>251</v>
      </c>
      <c r="N25" t="s">
        <v>419</v>
      </c>
      <c r="O25" t="s">
        <v>265</v>
      </c>
      <c r="P25">
        <v>4.7137984916886923E-3</v>
      </c>
      <c r="Q25" t="s">
        <v>251</v>
      </c>
      <c r="S25" t="s">
        <v>420</v>
      </c>
      <c r="T25" t="s">
        <v>265</v>
      </c>
      <c r="U25">
        <v>6.127862263176645E-3</v>
      </c>
      <c r="V25" t="s">
        <v>251</v>
      </c>
      <c r="X25">
        <v>6.9634703196347035E-3</v>
      </c>
      <c r="Y25">
        <v>1.0514713803876726E-2</v>
      </c>
      <c r="Z25" t="s">
        <v>265</v>
      </c>
      <c r="AA25" t="s">
        <v>25</v>
      </c>
      <c r="AC25" t="s">
        <v>22</v>
      </c>
      <c r="AD25" t="s">
        <v>265</v>
      </c>
      <c r="AE25">
        <v>4.859682444509514E-3</v>
      </c>
      <c r="AG25" t="s">
        <v>99</v>
      </c>
      <c r="AH25" t="s">
        <v>265</v>
      </c>
      <c r="AI25">
        <v>1.5869443968920871E-2</v>
      </c>
    </row>
    <row r="26" spans="3:35" x14ac:dyDescent="0.45">
      <c r="I26" t="s">
        <v>249</v>
      </c>
      <c r="J26" t="s">
        <v>266</v>
      </c>
      <c r="K26">
        <v>0</v>
      </c>
      <c r="L26" t="s">
        <v>251</v>
      </c>
      <c r="N26" t="s">
        <v>419</v>
      </c>
      <c r="O26" t="s">
        <v>266</v>
      </c>
      <c r="P26">
        <v>3.2392700803106876E-2</v>
      </c>
      <c r="Q26" t="s">
        <v>251</v>
      </c>
      <c r="S26" t="s">
        <v>420</v>
      </c>
      <c r="T26" t="s">
        <v>266</v>
      </c>
      <c r="U26">
        <v>3.1235468806572953E-2</v>
      </c>
      <c r="V26" t="s">
        <v>251</v>
      </c>
      <c r="X26">
        <v>3.4817351598173514E-2</v>
      </c>
      <c r="Y26">
        <v>2.6286784509691803E-2</v>
      </c>
      <c r="Z26" t="s">
        <v>266</v>
      </c>
      <c r="AA26" t="s">
        <v>25</v>
      </c>
      <c r="AC26" t="s">
        <v>22</v>
      </c>
      <c r="AD26" t="s">
        <v>266</v>
      </c>
      <c r="AE26">
        <v>3.1792794686410969E-2</v>
      </c>
      <c r="AG26" t="s">
        <v>99</v>
      </c>
      <c r="AH26" t="s">
        <v>266</v>
      </c>
      <c r="AI26">
        <v>0.22342826829271178</v>
      </c>
    </row>
    <row r="27" spans="3:35" x14ac:dyDescent="0.45">
      <c r="I27" t="s">
        <v>249</v>
      </c>
      <c r="J27" t="s">
        <v>267</v>
      </c>
      <c r="K27">
        <v>0</v>
      </c>
      <c r="L27" t="s">
        <v>251</v>
      </c>
      <c r="N27" t="s">
        <v>419</v>
      </c>
      <c r="O27" t="s">
        <v>267</v>
      </c>
      <c r="P27">
        <v>1.7340868915542245E-2</v>
      </c>
      <c r="Q27" t="s">
        <v>251</v>
      </c>
      <c r="S27" t="s">
        <v>420</v>
      </c>
      <c r="T27" t="s">
        <v>267</v>
      </c>
      <c r="U27">
        <v>1.8864943552373975E-2</v>
      </c>
      <c r="V27" t="s">
        <v>251</v>
      </c>
      <c r="X27">
        <v>2.0547945205479451E-2</v>
      </c>
      <c r="Y27">
        <v>4.3954951147353507E-3</v>
      </c>
      <c r="Z27" t="s">
        <v>267</v>
      </c>
      <c r="AA27" t="s">
        <v>25</v>
      </c>
      <c r="AC27" t="s">
        <v>22</v>
      </c>
      <c r="AD27" t="s">
        <v>267</v>
      </c>
      <c r="AE27">
        <v>2.2955528520385966E-2</v>
      </c>
      <c r="AG27" t="s">
        <v>99</v>
      </c>
      <c r="AH27" t="s">
        <v>267</v>
      </c>
      <c r="AI27">
        <v>0.1368158424699597</v>
      </c>
    </row>
    <row r="28" spans="3:35" x14ac:dyDescent="0.45">
      <c r="I28" t="s">
        <v>249</v>
      </c>
      <c r="J28" t="s">
        <v>268</v>
      </c>
      <c r="K28">
        <v>0</v>
      </c>
      <c r="L28" t="s">
        <v>251</v>
      </c>
      <c r="N28" t="s">
        <v>419</v>
      </c>
      <c r="O28" t="s">
        <v>268</v>
      </c>
      <c r="P28">
        <v>2.7552928987548846E-3</v>
      </c>
      <c r="Q28" t="s">
        <v>251</v>
      </c>
      <c r="S28" t="s">
        <v>420</v>
      </c>
      <c r="T28" t="s">
        <v>268</v>
      </c>
      <c r="U28">
        <v>3.1101829685349714E-3</v>
      </c>
      <c r="V28" t="s">
        <v>251</v>
      </c>
      <c r="X28">
        <v>3.4246575342465752E-3</v>
      </c>
      <c r="Y28">
        <v>5.0717251323869452E-3</v>
      </c>
      <c r="Z28" t="s">
        <v>268</v>
      </c>
      <c r="AA28" t="s">
        <v>25</v>
      </c>
      <c r="AC28" t="s">
        <v>22</v>
      </c>
      <c r="AD28" t="s">
        <v>268</v>
      </c>
      <c r="AE28">
        <v>3.8203230554658455E-3</v>
      </c>
      <c r="AG28" t="s">
        <v>99</v>
      </c>
      <c r="AH28" t="s">
        <v>268</v>
      </c>
      <c r="AI28">
        <v>8.4963074613875866E-2</v>
      </c>
    </row>
    <row r="29" spans="3:35" x14ac:dyDescent="0.45">
      <c r="I29" t="s">
        <v>249</v>
      </c>
      <c r="J29" t="s">
        <v>269</v>
      </c>
      <c r="K29">
        <v>5.1664096297965019E-4</v>
      </c>
      <c r="L29" t="s">
        <v>251</v>
      </c>
      <c r="N29" t="s">
        <v>419</v>
      </c>
      <c r="O29" t="s">
        <v>269</v>
      </c>
      <c r="P29">
        <v>2.7180358188899733E-3</v>
      </c>
      <c r="Q29" t="s">
        <v>251</v>
      </c>
      <c r="S29" t="s">
        <v>420</v>
      </c>
      <c r="T29" t="s">
        <v>269</v>
      </c>
      <c r="U29">
        <v>3.0544010204013551E-3</v>
      </c>
      <c r="V29" t="s">
        <v>251</v>
      </c>
      <c r="X29">
        <v>3.4246575342465752E-3</v>
      </c>
      <c r="Y29">
        <v>5.7181214727892006E-3</v>
      </c>
      <c r="Z29" t="s">
        <v>269</v>
      </c>
      <c r="AA29" t="s">
        <v>25</v>
      </c>
      <c r="AC29" t="s">
        <v>22</v>
      </c>
      <c r="AD29" t="s">
        <v>269</v>
      </c>
      <c r="AE29">
        <v>4.0761958180064832E-3</v>
      </c>
      <c r="AG29" t="s">
        <v>99</v>
      </c>
      <c r="AH29" t="s">
        <v>269</v>
      </c>
      <c r="AI29">
        <v>0.10211568961303708</v>
      </c>
    </row>
    <row r="30" spans="3:35" x14ac:dyDescent="0.45">
      <c r="I30" t="s">
        <v>249</v>
      </c>
      <c r="J30" t="s">
        <v>270</v>
      </c>
      <c r="K30">
        <v>2.5313402061503336E-2</v>
      </c>
      <c r="L30" t="s">
        <v>251</v>
      </c>
      <c r="N30" t="s">
        <v>419</v>
      </c>
      <c r="O30" t="s">
        <v>270</v>
      </c>
      <c r="P30">
        <v>1.3001790071911381E-2</v>
      </c>
      <c r="Q30" t="s">
        <v>251</v>
      </c>
      <c r="S30" t="s">
        <v>420</v>
      </c>
      <c r="T30" t="s">
        <v>270</v>
      </c>
      <c r="U30">
        <v>1.8822276218912571E-2</v>
      </c>
      <c r="V30" t="s">
        <v>251</v>
      </c>
      <c r="X30">
        <v>2.0547945205479451E-2</v>
      </c>
      <c r="Y30">
        <v>2.5895631852422749E-2</v>
      </c>
      <c r="Z30" t="s">
        <v>270</v>
      </c>
      <c r="AA30" t="s">
        <v>25</v>
      </c>
      <c r="AC30" t="s">
        <v>22</v>
      </c>
      <c r="AD30" t="s">
        <v>270</v>
      </c>
      <c r="AE30">
        <v>2.440190210246063E-2</v>
      </c>
      <c r="AG30" t="s">
        <v>99</v>
      </c>
      <c r="AH30" t="s">
        <v>270</v>
      </c>
      <c r="AI30">
        <v>0.16085381902352625</v>
      </c>
    </row>
    <row r="31" spans="3:35" x14ac:dyDescent="0.45">
      <c r="I31" t="s">
        <v>249</v>
      </c>
      <c r="J31" t="s">
        <v>271</v>
      </c>
      <c r="K31">
        <v>1.0915804255623635E-2</v>
      </c>
      <c r="L31" t="s">
        <v>251</v>
      </c>
      <c r="N31" t="s">
        <v>419</v>
      </c>
      <c r="O31" t="s">
        <v>271</v>
      </c>
      <c r="P31">
        <v>5.7318627451893979E-3</v>
      </c>
      <c r="Q31" t="s">
        <v>251</v>
      </c>
      <c r="S31" t="s">
        <v>420</v>
      </c>
      <c r="T31" t="s">
        <v>271</v>
      </c>
      <c r="U31">
        <v>9.0860524469073053E-3</v>
      </c>
      <c r="V31" t="s">
        <v>251</v>
      </c>
      <c r="X31">
        <v>1.0273972602739725E-2</v>
      </c>
      <c r="Y31">
        <v>1.6348855132635558E-2</v>
      </c>
      <c r="Z31" t="s">
        <v>271</v>
      </c>
      <c r="AA31" t="s">
        <v>25</v>
      </c>
      <c r="AC31" t="s">
        <v>22</v>
      </c>
      <c r="AD31" t="s">
        <v>271</v>
      </c>
      <c r="AE31">
        <v>8.6070660549668089E-3</v>
      </c>
      <c r="AG31" t="s">
        <v>99</v>
      </c>
      <c r="AH31" t="s">
        <v>271</v>
      </c>
      <c r="AI31">
        <v>0.12151799281777786</v>
      </c>
    </row>
    <row r="32" spans="3:35" x14ac:dyDescent="0.45">
      <c r="I32" t="s">
        <v>249</v>
      </c>
      <c r="J32" t="s">
        <v>272</v>
      </c>
      <c r="K32">
        <v>2.1904667473554716E-3</v>
      </c>
      <c r="L32" t="s">
        <v>251</v>
      </c>
      <c r="N32" t="s">
        <v>419</v>
      </c>
      <c r="O32" t="s">
        <v>272</v>
      </c>
      <c r="P32">
        <v>2.0131938008820637E-3</v>
      </c>
      <c r="Q32" t="s">
        <v>251</v>
      </c>
      <c r="S32" t="s">
        <v>420</v>
      </c>
      <c r="T32" t="s">
        <v>272</v>
      </c>
      <c r="U32">
        <v>3.0559456703755242E-3</v>
      </c>
      <c r="V32" t="s">
        <v>251</v>
      </c>
      <c r="X32">
        <v>3.4246575342465752E-3</v>
      </c>
      <c r="Y32">
        <v>6.662854585684809E-3</v>
      </c>
      <c r="Z32" t="s">
        <v>272</v>
      </c>
      <c r="AA32" t="s">
        <v>25</v>
      </c>
      <c r="AC32" t="s">
        <v>22</v>
      </c>
      <c r="AD32" t="s">
        <v>272</v>
      </c>
      <c r="AE32">
        <v>2.4739813975291143E-3</v>
      </c>
      <c r="AG32" t="s">
        <v>99</v>
      </c>
      <c r="AH32" t="s">
        <v>272</v>
      </c>
      <c r="AI32">
        <v>2.421008080136855E-2</v>
      </c>
    </row>
    <row r="33" spans="9:35" x14ac:dyDescent="0.45">
      <c r="I33" t="s">
        <v>249</v>
      </c>
      <c r="J33" t="s">
        <v>273</v>
      </c>
      <c r="K33">
        <v>1.783929352176636E-4</v>
      </c>
      <c r="L33" t="s">
        <v>251</v>
      </c>
      <c r="N33" t="s">
        <v>419</v>
      </c>
      <c r="O33" t="s">
        <v>273</v>
      </c>
      <c r="P33">
        <v>2.3135969986204778E-3</v>
      </c>
      <c r="Q33" t="s">
        <v>251</v>
      </c>
      <c r="S33" t="s">
        <v>420</v>
      </c>
      <c r="T33" t="s">
        <v>273</v>
      </c>
      <c r="U33">
        <v>3.1215446196545945E-3</v>
      </c>
      <c r="V33" t="s">
        <v>251</v>
      </c>
      <c r="X33">
        <v>3.4246575342465752E-3</v>
      </c>
      <c r="Y33">
        <v>5.1711707232180593E-3</v>
      </c>
      <c r="Z33" t="s">
        <v>273</v>
      </c>
      <c r="AA33" t="s">
        <v>25</v>
      </c>
      <c r="AC33" t="s">
        <v>22</v>
      </c>
      <c r="AD33" t="s">
        <v>273</v>
      </c>
      <c r="AE33">
        <v>2.4983207318962672E-3</v>
      </c>
      <c r="AG33" t="s">
        <v>99</v>
      </c>
      <c r="AH33" t="s">
        <v>273</v>
      </c>
      <c r="AI33">
        <v>3.4142395931153091E-2</v>
      </c>
    </row>
    <row r="34" spans="9:35" x14ac:dyDescent="0.45">
      <c r="I34" t="s">
        <v>249</v>
      </c>
      <c r="J34" t="s">
        <v>274</v>
      </c>
      <c r="K34">
        <v>0</v>
      </c>
      <c r="L34" t="s">
        <v>251</v>
      </c>
      <c r="N34" t="s">
        <v>419</v>
      </c>
      <c r="O34" t="s">
        <v>274</v>
      </c>
      <c r="P34">
        <v>1.4668225626252696E-2</v>
      </c>
      <c r="Q34" t="s">
        <v>251</v>
      </c>
      <c r="S34" t="s">
        <v>420</v>
      </c>
      <c r="T34" t="s">
        <v>274</v>
      </c>
      <c r="U34">
        <v>1.5638166370706395E-2</v>
      </c>
      <c r="V34" t="s">
        <v>251</v>
      </c>
      <c r="X34">
        <v>1.7123287671232876E-2</v>
      </c>
      <c r="Y34">
        <v>1.2927926808045149E-2</v>
      </c>
      <c r="Z34" t="s">
        <v>274</v>
      </c>
      <c r="AA34" t="s">
        <v>25</v>
      </c>
      <c r="AC34" t="s">
        <v>22</v>
      </c>
      <c r="AD34" t="s">
        <v>274</v>
      </c>
      <c r="AE34">
        <v>1.681848921412674E-2</v>
      </c>
      <c r="AG34" t="s">
        <v>99</v>
      </c>
      <c r="AH34" t="s">
        <v>274</v>
      </c>
      <c r="AI34">
        <v>0.23954895810254562</v>
      </c>
    </row>
    <row r="35" spans="9:35" x14ac:dyDescent="0.45">
      <c r="I35" t="s">
        <v>249</v>
      </c>
      <c r="J35" t="s">
        <v>275</v>
      </c>
      <c r="K35">
        <v>0</v>
      </c>
      <c r="L35" t="s">
        <v>251</v>
      </c>
      <c r="N35" t="s">
        <v>419</v>
      </c>
      <c r="O35" t="s">
        <v>275</v>
      </c>
      <c r="P35">
        <v>2.4141775459495713E-2</v>
      </c>
      <c r="Q35" t="s">
        <v>251</v>
      </c>
      <c r="S35" t="s">
        <v>420</v>
      </c>
      <c r="T35" t="s">
        <v>275</v>
      </c>
      <c r="U35">
        <v>2.2693313561102026E-2</v>
      </c>
      <c r="V35" t="s">
        <v>251</v>
      </c>
      <c r="X35">
        <v>2.1232876712328767E-2</v>
      </c>
      <c r="Y35">
        <v>4.5420116185598634E-3</v>
      </c>
      <c r="Z35" t="s">
        <v>275</v>
      </c>
      <c r="AA35" t="s">
        <v>25</v>
      </c>
      <c r="AC35" t="s">
        <v>22</v>
      </c>
      <c r="AD35" t="s">
        <v>275</v>
      </c>
      <c r="AE35">
        <v>2.3979920575086799E-2</v>
      </c>
      <c r="AG35" t="s">
        <v>99</v>
      </c>
      <c r="AH35" t="s">
        <v>275</v>
      </c>
      <c r="AI35">
        <v>0.1032275574828907</v>
      </c>
    </row>
    <row r="36" spans="9:35" x14ac:dyDescent="0.45">
      <c r="I36" t="s">
        <v>249</v>
      </c>
      <c r="J36" t="s">
        <v>276</v>
      </c>
      <c r="K36">
        <v>0</v>
      </c>
      <c r="L36" t="s">
        <v>251</v>
      </c>
      <c r="N36" t="s">
        <v>419</v>
      </c>
      <c r="O36" t="s">
        <v>276</v>
      </c>
      <c r="P36">
        <v>3.8362604124315223E-3</v>
      </c>
      <c r="Q36" t="s">
        <v>251</v>
      </c>
      <c r="S36" t="s">
        <v>420</v>
      </c>
      <c r="T36" t="s">
        <v>276</v>
      </c>
      <c r="U36">
        <v>3.686837046252508E-3</v>
      </c>
      <c r="V36" t="s">
        <v>251</v>
      </c>
      <c r="X36">
        <v>3.5388127853881279E-3</v>
      </c>
      <c r="Y36">
        <v>5.240782636799844E-3</v>
      </c>
      <c r="Z36" t="s">
        <v>276</v>
      </c>
      <c r="AA36" t="s">
        <v>25</v>
      </c>
      <c r="AC36" t="s">
        <v>22</v>
      </c>
      <c r="AD36" t="s">
        <v>276</v>
      </c>
      <c r="AE36">
        <v>3.986693721138578E-3</v>
      </c>
      <c r="AG36" t="s">
        <v>99</v>
      </c>
      <c r="AH36" t="s">
        <v>276</v>
      </c>
      <c r="AI36">
        <v>5.6498111575230325E-2</v>
      </c>
    </row>
    <row r="37" spans="9:35" x14ac:dyDescent="0.45">
      <c r="I37" t="s">
        <v>249</v>
      </c>
      <c r="J37" t="s">
        <v>277</v>
      </c>
      <c r="K37">
        <v>7.8052309015312832E-4</v>
      </c>
      <c r="L37" t="s">
        <v>251</v>
      </c>
      <c r="N37" t="s">
        <v>419</v>
      </c>
      <c r="O37" t="s">
        <v>277</v>
      </c>
      <c r="P37">
        <v>3.7884128657880421E-3</v>
      </c>
      <c r="Q37" t="s">
        <v>251</v>
      </c>
      <c r="S37" t="s">
        <v>420</v>
      </c>
      <c r="T37" t="s">
        <v>277</v>
      </c>
      <c r="U37">
        <v>3.5999580091018047E-3</v>
      </c>
      <c r="V37" t="s">
        <v>251</v>
      </c>
      <c r="X37">
        <v>3.5388127853881279E-3</v>
      </c>
      <c r="Y37">
        <v>5.9087255218821738E-3</v>
      </c>
      <c r="Z37" t="s">
        <v>277</v>
      </c>
      <c r="AA37" t="s">
        <v>25</v>
      </c>
      <c r="AC37" t="s">
        <v>22</v>
      </c>
      <c r="AD37" t="s">
        <v>277</v>
      </c>
      <c r="AE37">
        <v>4.2316119961850413E-3</v>
      </c>
      <c r="AG37" t="s">
        <v>99</v>
      </c>
      <c r="AH37" t="s">
        <v>277</v>
      </c>
      <c r="AI37">
        <v>9.3579735387869789E-2</v>
      </c>
    </row>
    <row r="38" spans="9:35" x14ac:dyDescent="0.45">
      <c r="I38" t="s">
        <v>249</v>
      </c>
      <c r="J38" t="s">
        <v>278</v>
      </c>
      <c r="K38">
        <v>3.598844042367861E-2</v>
      </c>
      <c r="L38" t="s">
        <v>251</v>
      </c>
      <c r="N38" t="s">
        <v>419</v>
      </c>
      <c r="O38" t="s">
        <v>278</v>
      </c>
      <c r="P38">
        <v>1.7718370554977197E-2</v>
      </c>
      <c r="Q38" t="s">
        <v>251</v>
      </c>
      <c r="S38" t="s">
        <v>420</v>
      </c>
      <c r="T38" t="s">
        <v>278</v>
      </c>
      <c r="U38">
        <v>2.1919812724936486E-2</v>
      </c>
      <c r="V38" t="s">
        <v>251</v>
      </c>
      <c r="X38">
        <v>2.1232876712328767E-2</v>
      </c>
      <c r="Y38">
        <v>2.6758819580836844E-2</v>
      </c>
      <c r="Z38" t="s">
        <v>278</v>
      </c>
      <c r="AA38" t="s">
        <v>25</v>
      </c>
      <c r="AC38" t="s">
        <v>22</v>
      </c>
      <c r="AD38" t="s">
        <v>278</v>
      </c>
      <c r="AE38">
        <v>2.52893600851027E-2</v>
      </c>
      <c r="AG38" t="s">
        <v>99</v>
      </c>
      <c r="AH38" t="s">
        <v>278</v>
      </c>
      <c r="AI38">
        <v>0.13028808653136692</v>
      </c>
    </row>
    <row r="39" spans="9:35" x14ac:dyDescent="0.45">
      <c r="I39" t="s">
        <v>249</v>
      </c>
      <c r="J39" t="s">
        <v>279</v>
      </c>
      <c r="K39">
        <v>1.6768638501399199E-2</v>
      </c>
      <c r="L39" t="s">
        <v>251</v>
      </c>
      <c r="N39" t="s">
        <v>419</v>
      </c>
      <c r="O39" t="s">
        <v>279</v>
      </c>
      <c r="P39">
        <v>8.0509621699873263E-3</v>
      </c>
      <c r="Q39" t="s">
        <v>251</v>
      </c>
      <c r="S39" t="s">
        <v>420</v>
      </c>
      <c r="T39" t="s">
        <v>279</v>
      </c>
      <c r="U39">
        <v>1.0995196107660529E-2</v>
      </c>
      <c r="V39" t="s">
        <v>251</v>
      </c>
      <c r="X39">
        <v>1.0616438356164383E-2</v>
      </c>
      <c r="Y39">
        <v>1.6893816970390073E-2</v>
      </c>
      <c r="Z39" t="s">
        <v>279</v>
      </c>
      <c r="AA39" t="s">
        <v>25</v>
      </c>
      <c r="AC39" t="s">
        <v>22</v>
      </c>
      <c r="AD39" t="s">
        <v>279</v>
      </c>
      <c r="AE39">
        <v>8.9752722242677878E-3</v>
      </c>
      <c r="AG39" t="s">
        <v>99</v>
      </c>
      <c r="AH39" t="s">
        <v>279</v>
      </c>
      <c r="AI39">
        <v>0.11180787818753379</v>
      </c>
    </row>
    <row r="40" spans="9:35" x14ac:dyDescent="0.45">
      <c r="I40" t="s">
        <v>249</v>
      </c>
      <c r="J40" t="s">
        <v>280</v>
      </c>
      <c r="K40">
        <v>3.9152964462415398E-3</v>
      </c>
      <c r="L40" t="s">
        <v>251</v>
      </c>
      <c r="N40" t="s">
        <v>419</v>
      </c>
      <c r="O40" t="s">
        <v>280</v>
      </c>
      <c r="P40">
        <v>2.6456635384339232E-3</v>
      </c>
      <c r="Q40" t="s">
        <v>251</v>
      </c>
      <c r="S40" t="s">
        <v>420</v>
      </c>
      <c r="T40" t="s">
        <v>280</v>
      </c>
      <c r="U40">
        <v>3.6218907938387621E-3</v>
      </c>
      <c r="V40" t="s">
        <v>251</v>
      </c>
      <c r="X40">
        <v>3.5388127853881279E-3</v>
      </c>
      <c r="Y40">
        <v>6.8849497385409693E-3</v>
      </c>
      <c r="Z40" t="s">
        <v>280</v>
      </c>
      <c r="AA40" t="s">
        <v>25</v>
      </c>
      <c r="AC40" t="s">
        <v>22</v>
      </c>
      <c r="AD40" t="s">
        <v>280</v>
      </c>
      <c r="AE40">
        <v>2.5747442735004709E-3</v>
      </c>
      <c r="AG40" t="s">
        <v>99</v>
      </c>
      <c r="AH40" t="s">
        <v>280</v>
      </c>
      <c r="AI40">
        <v>2.9026495980946754E-2</v>
      </c>
    </row>
    <row r="41" spans="9:35" x14ac:dyDescent="0.45">
      <c r="I41" t="s">
        <v>249</v>
      </c>
      <c r="J41" t="s">
        <v>281</v>
      </c>
      <c r="K41">
        <v>9.7688216512112434E-4</v>
      </c>
      <c r="L41" t="s">
        <v>251</v>
      </c>
      <c r="N41" t="s">
        <v>419</v>
      </c>
      <c r="O41" t="s">
        <v>281</v>
      </c>
      <c r="P41">
        <v>2.930497437883046E-3</v>
      </c>
      <c r="Q41" t="s">
        <v>251</v>
      </c>
      <c r="S41" t="s">
        <v>420</v>
      </c>
      <c r="T41" t="s">
        <v>281</v>
      </c>
      <c r="U41">
        <v>3.5799806164893669E-3</v>
      </c>
      <c r="V41" t="s">
        <v>251</v>
      </c>
      <c r="X41">
        <v>3.5388127853881279E-3</v>
      </c>
      <c r="Y41">
        <v>5.3435430806586613E-3</v>
      </c>
      <c r="Z41" t="s">
        <v>281</v>
      </c>
      <c r="AA41" t="s">
        <v>25</v>
      </c>
      <c r="AC41" t="s">
        <v>22</v>
      </c>
      <c r="AD41" t="s">
        <v>281</v>
      </c>
      <c r="AE41">
        <v>2.6002451766883763E-3</v>
      </c>
      <c r="AG41" t="s">
        <v>99</v>
      </c>
      <c r="AH41" t="s">
        <v>281</v>
      </c>
      <c r="AI41">
        <v>3.6642143420682283E-2</v>
      </c>
    </row>
    <row r="42" spans="9:35" x14ac:dyDescent="0.45">
      <c r="I42" t="s">
        <v>249</v>
      </c>
      <c r="J42" t="s">
        <v>282</v>
      </c>
      <c r="K42">
        <v>0</v>
      </c>
      <c r="L42" t="s">
        <v>251</v>
      </c>
      <c r="N42" t="s">
        <v>419</v>
      </c>
      <c r="O42" t="s">
        <v>282</v>
      </c>
      <c r="P42">
        <v>1.9050993178450711E-2</v>
      </c>
      <c r="Q42" t="s">
        <v>251</v>
      </c>
      <c r="S42" t="s">
        <v>420</v>
      </c>
      <c r="T42" t="s">
        <v>282</v>
      </c>
      <c r="U42">
        <v>1.8281068833678568E-2</v>
      </c>
      <c r="V42" t="s">
        <v>251</v>
      </c>
      <c r="X42">
        <v>1.7694063926940638E-2</v>
      </c>
      <c r="Y42">
        <v>1.3358857701646654E-2</v>
      </c>
      <c r="Z42" t="s">
        <v>282</v>
      </c>
      <c r="AA42" t="s">
        <v>25</v>
      </c>
      <c r="AC42" t="s">
        <v>22</v>
      </c>
      <c r="AD42" t="s">
        <v>282</v>
      </c>
      <c r="AE42">
        <v>1.7683837421870352E-2</v>
      </c>
      <c r="AG42" t="s">
        <v>99</v>
      </c>
      <c r="AH42" t="s">
        <v>282</v>
      </c>
      <c r="AI42">
        <v>0.20480196779357418</v>
      </c>
    </row>
    <row r="43" spans="9:35" x14ac:dyDescent="0.45">
      <c r="I43" t="s">
        <v>249</v>
      </c>
      <c r="J43" t="s">
        <v>283</v>
      </c>
      <c r="K43">
        <v>0</v>
      </c>
      <c r="L43" t="s">
        <v>251</v>
      </c>
      <c r="N43" t="s">
        <v>419</v>
      </c>
      <c r="O43" t="s">
        <v>283</v>
      </c>
      <c r="P43">
        <v>2.1974063560462369E-2</v>
      </c>
      <c r="Q43" t="s">
        <v>251</v>
      </c>
      <c r="S43" t="s">
        <v>420</v>
      </c>
      <c r="T43" t="s">
        <v>283</v>
      </c>
      <c r="U43">
        <v>2.7283751510667056E-2</v>
      </c>
      <c r="V43" t="s">
        <v>251</v>
      </c>
      <c r="X43">
        <v>2.1232876712328767E-2</v>
      </c>
      <c r="Y43">
        <v>4.5420116185598634E-3</v>
      </c>
      <c r="Z43" t="s">
        <v>283</v>
      </c>
      <c r="AA43" t="s">
        <v>25</v>
      </c>
      <c r="AC43" t="s">
        <v>22</v>
      </c>
      <c r="AD43" t="s">
        <v>283</v>
      </c>
      <c r="AE43">
        <v>2.3404298694738292E-2</v>
      </c>
      <c r="AG43" t="s">
        <v>99</v>
      </c>
      <c r="AH43" t="s">
        <v>283</v>
      </c>
      <c r="AI43">
        <v>8.6770478469463619E-2</v>
      </c>
    </row>
    <row r="44" spans="9:35" x14ac:dyDescent="0.45">
      <c r="I44" t="s">
        <v>249</v>
      </c>
      <c r="J44" t="s">
        <v>284</v>
      </c>
      <c r="K44">
        <v>0</v>
      </c>
      <c r="L44" t="s">
        <v>251</v>
      </c>
      <c r="N44" t="s">
        <v>419</v>
      </c>
      <c r="O44" t="s">
        <v>284</v>
      </c>
      <c r="P44">
        <v>3.450239365884766E-3</v>
      </c>
      <c r="Q44" t="s">
        <v>251</v>
      </c>
      <c r="S44" t="s">
        <v>420</v>
      </c>
      <c r="T44" t="s">
        <v>284</v>
      </c>
      <c r="U44">
        <v>4.4860067785218154E-3</v>
      </c>
      <c r="V44" t="s">
        <v>251</v>
      </c>
      <c r="X44">
        <v>3.5388127853881279E-3</v>
      </c>
      <c r="Y44">
        <v>5.240782636799844E-3</v>
      </c>
      <c r="Z44" t="s">
        <v>284</v>
      </c>
      <c r="AA44" t="s">
        <v>25</v>
      </c>
      <c r="AC44" t="s">
        <v>22</v>
      </c>
      <c r="AD44" t="s">
        <v>284</v>
      </c>
      <c r="AE44">
        <v>3.9208830708802678E-3</v>
      </c>
      <c r="AG44" t="s">
        <v>99</v>
      </c>
      <c r="AH44" t="s">
        <v>284</v>
      </c>
      <c r="AI44">
        <v>6.1004223848656558E-2</v>
      </c>
    </row>
    <row r="45" spans="9:35" x14ac:dyDescent="0.45">
      <c r="I45" t="s">
        <v>249</v>
      </c>
      <c r="J45" t="s">
        <v>285</v>
      </c>
      <c r="K45">
        <v>2.5517161056882406E-3</v>
      </c>
      <c r="L45" t="s">
        <v>251</v>
      </c>
      <c r="N45" t="s">
        <v>419</v>
      </c>
      <c r="O45" t="s">
        <v>285</v>
      </c>
      <c r="P45">
        <v>3.3543672645367697E-3</v>
      </c>
      <c r="Q45" t="s">
        <v>251</v>
      </c>
      <c r="S45" t="s">
        <v>420</v>
      </c>
      <c r="T45" t="s">
        <v>285</v>
      </c>
      <c r="U45">
        <v>4.4835930943530672E-3</v>
      </c>
      <c r="V45" t="s">
        <v>251</v>
      </c>
      <c r="X45">
        <v>3.5388127853881279E-3</v>
      </c>
      <c r="Y45">
        <v>5.9087255218821738E-3</v>
      </c>
      <c r="Z45" t="s">
        <v>285</v>
      </c>
      <c r="AA45" t="s">
        <v>25</v>
      </c>
      <c r="AC45" t="s">
        <v>22</v>
      </c>
      <c r="AD45" t="s">
        <v>285</v>
      </c>
      <c r="AE45">
        <v>4.0787194249493931E-3</v>
      </c>
      <c r="AG45" t="s">
        <v>99</v>
      </c>
      <c r="AH45" t="s">
        <v>285</v>
      </c>
      <c r="AI45">
        <v>8.3453178737734612E-2</v>
      </c>
    </row>
    <row r="46" spans="9:35" x14ac:dyDescent="0.45">
      <c r="I46" t="s">
        <v>249</v>
      </c>
      <c r="J46" t="s">
        <v>286</v>
      </c>
      <c r="K46">
        <v>4.4592288830543898E-2</v>
      </c>
      <c r="L46" t="s">
        <v>251</v>
      </c>
      <c r="N46" t="s">
        <v>419</v>
      </c>
      <c r="O46" t="s">
        <v>286</v>
      </c>
      <c r="P46">
        <v>1.6331437927914888E-2</v>
      </c>
      <c r="Q46" t="s">
        <v>251</v>
      </c>
      <c r="S46" t="s">
        <v>420</v>
      </c>
      <c r="T46" t="s">
        <v>286</v>
      </c>
      <c r="U46">
        <v>2.7716967703179399E-2</v>
      </c>
      <c r="V46" t="s">
        <v>251</v>
      </c>
      <c r="X46">
        <v>2.1232876712328767E-2</v>
      </c>
      <c r="Y46">
        <v>2.6758819580836844E-2</v>
      </c>
      <c r="Z46" t="s">
        <v>286</v>
      </c>
      <c r="AA46" t="s">
        <v>25</v>
      </c>
      <c r="AC46" t="s">
        <v>22</v>
      </c>
      <c r="AD46" t="s">
        <v>286</v>
      </c>
      <c r="AE46">
        <v>2.4660008200840411E-2</v>
      </c>
      <c r="AG46" t="s">
        <v>99</v>
      </c>
      <c r="AH46" t="s">
        <v>286</v>
      </c>
      <c r="AI46">
        <v>0.16204740512519122</v>
      </c>
    </row>
    <row r="47" spans="9:35" x14ac:dyDescent="0.45">
      <c r="I47" t="s">
        <v>249</v>
      </c>
      <c r="J47" t="s">
        <v>287</v>
      </c>
      <c r="K47">
        <v>2.09831215758269E-2</v>
      </c>
      <c r="L47" t="s">
        <v>251</v>
      </c>
      <c r="N47" t="s">
        <v>419</v>
      </c>
      <c r="O47" t="s">
        <v>287</v>
      </c>
      <c r="P47">
        <v>8.535814500486065E-3</v>
      </c>
      <c r="Q47" t="s">
        <v>251</v>
      </c>
      <c r="S47" t="s">
        <v>420</v>
      </c>
      <c r="T47" t="s">
        <v>287</v>
      </c>
      <c r="U47">
        <v>1.4122223160482752E-2</v>
      </c>
      <c r="V47" t="s">
        <v>251</v>
      </c>
      <c r="X47">
        <v>1.0616438356164383E-2</v>
      </c>
      <c r="Y47">
        <v>1.6893816970390073E-2</v>
      </c>
      <c r="Z47" t="s">
        <v>287</v>
      </c>
      <c r="AA47" t="s">
        <v>25</v>
      </c>
      <c r="AC47" t="s">
        <v>22</v>
      </c>
      <c r="AD47" t="s">
        <v>287</v>
      </c>
      <c r="AE47">
        <v>8.7792639398936757E-3</v>
      </c>
      <c r="AG47" t="s">
        <v>99</v>
      </c>
      <c r="AH47" t="s">
        <v>287</v>
      </c>
      <c r="AI47">
        <v>0.11093550843474387</v>
      </c>
    </row>
    <row r="48" spans="9:35" x14ac:dyDescent="0.45">
      <c r="I48" t="s">
        <v>249</v>
      </c>
      <c r="J48" t="s">
        <v>288</v>
      </c>
      <c r="K48">
        <v>5.2084514300123003E-3</v>
      </c>
      <c r="L48" t="s">
        <v>251</v>
      </c>
      <c r="N48" t="s">
        <v>419</v>
      </c>
      <c r="O48" t="s">
        <v>288</v>
      </c>
      <c r="P48">
        <v>2.7610342416565597E-3</v>
      </c>
      <c r="Q48" t="s">
        <v>251</v>
      </c>
      <c r="S48" t="s">
        <v>420</v>
      </c>
      <c r="T48" t="s">
        <v>288</v>
      </c>
      <c r="U48">
        <v>4.6884794009072516E-3</v>
      </c>
      <c r="V48" t="s">
        <v>251</v>
      </c>
      <c r="X48">
        <v>3.5388127853881279E-3</v>
      </c>
      <c r="Y48">
        <v>6.8849497385409693E-3</v>
      </c>
      <c r="Z48" t="s">
        <v>288</v>
      </c>
      <c r="AA48" t="s">
        <v>25</v>
      </c>
      <c r="AC48" t="s">
        <v>22</v>
      </c>
      <c r="AD48" t="s">
        <v>288</v>
      </c>
      <c r="AE48">
        <v>2.5171539564351779E-3</v>
      </c>
      <c r="AG48" t="s">
        <v>99</v>
      </c>
      <c r="AH48" t="s">
        <v>288</v>
      </c>
      <c r="AI48">
        <v>4.4173913511419194E-2</v>
      </c>
    </row>
    <row r="49" spans="9:35" x14ac:dyDescent="0.45">
      <c r="I49" t="s">
        <v>249</v>
      </c>
      <c r="J49" t="s">
        <v>289</v>
      </c>
      <c r="K49">
        <v>2.2047296132105187E-3</v>
      </c>
      <c r="L49" t="s">
        <v>251</v>
      </c>
      <c r="N49" t="s">
        <v>419</v>
      </c>
      <c r="O49" t="s">
        <v>289</v>
      </c>
      <c r="P49">
        <v>2.9540571089904824E-3</v>
      </c>
      <c r="Q49" t="s">
        <v>251</v>
      </c>
      <c r="S49" t="s">
        <v>420</v>
      </c>
      <c r="T49" t="s">
        <v>289</v>
      </c>
      <c r="U49">
        <v>4.6654493652520607E-3</v>
      </c>
      <c r="V49" t="s">
        <v>251</v>
      </c>
      <c r="X49">
        <v>3.5388127853881279E-3</v>
      </c>
      <c r="Y49">
        <v>5.3435430806586613E-3</v>
      </c>
      <c r="Z49" t="s">
        <v>289</v>
      </c>
      <c r="AA49" t="s">
        <v>25</v>
      </c>
      <c r="AC49" t="s">
        <v>22</v>
      </c>
      <c r="AD49" t="s">
        <v>289</v>
      </c>
      <c r="AE49">
        <v>2.5420591833047487E-3</v>
      </c>
      <c r="AG49" t="s">
        <v>99</v>
      </c>
      <c r="AH49" t="s">
        <v>289</v>
      </c>
      <c r="AI49">
        <v>4.5756950232309856E-2</v>
      </c>
    </row>
    <row r="50" spans="9:35" x14ac:dyDescent="0.45">
      <c r="I50" t="s">
        <v>249</v>
      </c>
      <c r="J50" t="s">
        <v>290</v>
      </c>
      <c r="K50">
        <v>0</v>
      </c>
      <c r="L50" t="s">
        <v>251</v>
      </c>
      <c r="N50" t="s">
        <v>419</v>
      </c>
      <c r="O50" t="s">
        <v>290</v>
      </c>
      <c r="P50">
        <v>1.8126116386870957E-2</v>
      </c>
      <c r="Q50" t="s">
        <v>251</v>
      </c>
      <c r="S50" t="s">
        <v>420</v>
      </c>
      <c r="T50" t="s">
        <v>290</v>
      </c>
      <c r="U50">
        <v>2.3326524318008243E-2</v>
      </c>
      <c r="V50" t="s">
        <v>251</v>
      </c>
      <c r="X50">
        <v>1.7694063926940638E-2</v>
      </c>
      <c r="Y50">
        <v>1.3358857701646654E-2</v>
      </c>
      <c r="Z50" t="s">
        <v>290</v>
      </c>
      <c r="AA50" t="s">
        <v>25</v>
      </c>
      <c r="AC50" t="s">
        <v>22</v>
      </c>
      <c r="AD50" t="s">
        <v>290</v>
      </c>
      <c r="AE50">
        <v>1.7040886577869188E-2</v>
      </c>
      <c r="AG50" t="s">
        <v>99</v>
      </c>
      <c r="AH50" t="s">
        <v>290</v>
      </c>
      <c r="AI50">
        <v>0.20820639587821077</v>
      </c>
    </row>
    <row r="51" spans="9:35" x14ac:dyDescent="0.45">
      <c r="I51" t="s">
        <v>249</v>
      </c>
      <c r="J51" t="s">
        <v>291</v>
      </c>
      <c r="K51">
        <v>0</v>
      </c>
      <c r="L51" t="s">
        <v>251</v>
      </c>
      <c r="N51" t="s">
        <v>419</v>
      </c>
      <c r="O51" t="s">
        <v>291</v>
      </c>
      <c r="P51">
        <v>5.4895201869288673E-2</v>
      </c>
      <c r="Q51" t="s">
        <v>251</v>
      </c>
      <c r="S51" t="s">
        <v>420</v>
      </c>
      <c r="T51" t="s">
        <v>291</v>
      </c>
      <c r="U51">
        <v>5.1020598638118315E-2</v>
      </c>
      <c r="V51" t="s">
        <v>251</v>
      </c>
      <c r="X51">
        <v>4.1780821917808221E-2</v>
      </c>
      <c r="Y51">
        <v>8.9375067332952141E-3</v>
      </c>
      <c r="Z51" t="s">
        <v>291</v>
      </c>
      <c r="AA51" t="s">
        <v>25</v>
      </c>
      <c r="AC51" t="s">
        <v>22</v>
      </c>
      <c r="AD51" t="s">
        <v>291</v>
      </c>
      <c r="AE51">
        <v>4.5221891535493691E-2</v>
      </c>
      <c r="AG51" t="s">
        <v>99</v>
      </c>
      <c r="AH51" t="s">
        <v>291</v>
      </c>
      <c r="AI51">
        <v>5.6931342610586189E-2</v>
      </c>
    </row>
    <row r="52" spans="9:35" x14ac:dyDescent="0.45">
      <c r="I52" t="s">
        <v>249</v>
      </c>
      <c r="J52" t="s">
        <v>292</v>
      </c>
      <c r="K52">
        <v>3.5966168037265336E-3</v>
      </c>
      <c r="L52" t="s">
        <v>251</v>
      </c>
      <c r="N52" t="s">
        <v>419</v>
      </c>
      <c r="O52" t="s">
        <v>292</v>
      </c>
      <c r="P52">
        <v>8.623970135453015E-3</v>
      </c>
      <c r="Q52" t="s">
        <v>251</v>
      </c>
      <c r="S52" t="s">
        <v>420</v>
      </c>
      <c r="T52" t="s">
        <v>292</v>
      </c>
      <c r="U52">
        <v>8.2802951259723194E-3</v>
      </c>
      <c r="V52" t="s">
        <v>251</v>
      </c>
      <c r="X52">
        <v>6.9634703196347035E-3</v>
      </c>
      <c r="Y52">
        <v>1.0312507769186786E-2</v>
      </c>
      <c r="Z52" t="s">
        <v>292</v>
      </c>
      <c r="AA52" t="s">
        <v>25</v>
      </c>
      <c r="AC52" t="s">
        <v>22</v>
      </c>
      <c r="AD52" t="s">
        <v>292</v>
      </c>
      <c r="AE52">
        <v>7.5885327439648232E-3</v>
      </c>
      <c r="AG52" t="s">
        <v>99</v>
      </c>
      <c r="AH52" t="s">
        <v>292</v>
      </c>
      <c r="AI52">
        <v>5.159122812261252E-2</v>
      </c>
    </row>
    <row r="53" spans="9:35" x14ac:dyDescent="0.45">
      <c r="I53" t="s">
        <v>249</v>
      </c>
      <c r="J53" t="s">
        <v>293</v>
      </c>
      <c r="K53">
        <v>1.21478658119543E-2</v>
      </c>
      <c r="L53" t="s">
        <v>251</v>
      </c>
      <c r="N53" t="s">
        <v>419</v>
      </c>
      <c r="O53" t="s">
        <v>293</v>
      </c>
      <c r="P53">
        <v>7.7973574315112568E-3</v>
      </c>
      <c r="Q53" t="s">
        <v>251</v>
      </c>
      <c r="S53" t="s">
        <v>420</v>
      </c>
      <c r="T53" t="s">
        <v>293</v>
      </c>
      <c r="U53">
        <v>8.3222841644471496E-3</v>
      </c>
      <c r="V53" t="s">
        <v>251</v>
      </c>
      <c r="X53">
        <v>6.9634703196347035E-3</v>
      </c>
      <c r="Y53">
        <v>1.1626846994671376E-2</v>
      </c>
      <c r="Z53" t="s">
        <v>293</v>
      </c>
      <c r="AA53" t="s">
        <v>25</v>
      </c>
      <c r="AC53" t="s">
        <v>22</v>
      </c>
      <c r="AD53" t="s">
        <v>293</v>
      </c>
      <c r="AE53">
        <v>7.6498337938846403E-3</v>
      </c>
      <c r="AG53" t="s">
        <v>99</v>
      </c>
      <c r="AH53" t="s">
        <v>293</v>
      </c>
      <c r="AI53">
        <v>4.321090677709738E-2</v>
      </c>
    </row>
    <row r="54" spans="9:35" x14ac:dyDescent="0.45">
      <c r="I54" t="s">
        <v>249</v>
      </c>
      <c r="J54" t="s">
        <v>294</v>
      </c>
      <c r="K54">
        <v>0.1109932527462507</v>
      </c>
      <c r="L54" t="s">
        <v>251</v>
      </c>
      <c r="N54" t="s">
        <v>419</v>
      </c>
      <c r="O54" t="s">
        <v>294</v>
      </c>
      <c r="P54">
        <v>3.9943043174704276E-2</v>
      </c>
      <c r="Q54" t="s">
        <v>251</v>
      </c>
      <c r="S54" t="s">
        <v>420</v>
      </c>
      <c r="T54" t="s">
        <v>294</v>
      </c>
      <c r="U54">
        <v>4.9829990068598611E-2</v>
      </c>
      <c r="V54" t="s">
        <v>251</v>
      </c>
      <c r="X54">
        <v>4.1780821917808221E-2</v>
      </c>
      <c r="Y54">
        <v>5.2654451433259586E-2</v>
      </c>
      <c r="Z54" t="s">
        <v>294</v>
      </c>
      <c r="AA54" t="s">
        <v>25</v>
      </c>
      <c r="AC54" t="s">
        <v>22</v>
      </c>
      <c r="AD54" t="s">
        <v>294</v>
      </c>
      <c r="AE54">
        <v>4.3925527120665234E-2</v>
      </c>
      <c r="AG54" t="s">
        <v>99</v>
      </c>
      <c r="AH54" t="s">
        <v>294</v>
      </c>
      <c r="AI54">
        <v>8.1089508929770071E-2</v>
      </c>
    </row>
    <row r="55" spans="9:35" x14ac:dyDescent="0.45">
      <c r="I55" t="s">
        <v>249</v>
      </c>
      <c r="J55" t="s">
        <v>295</v>
      </c>
      <c r="K55">
        <v>5.1444539172905902E-2</v>
      </c>
      <c r="L55" t="s">
        <v>251</v>
      </c>
      <c r="N55" t="s">
        <v>419</v>
      </c>
      <c r="O55" t="s">
        <v>295</v>
      </c>
      <c r="P55">
        <v>1.9570811565513695E-2</v>
      </c>
      <c r="Q55" t="s">
        <v>251</v>
      </c>
      <c r="S55" t="s">
        <v>420</v>
      </c>
      <c r="T55" t="s">
        <v>295</v>
      </c>
      <c r="U55">
        <v>2.5659954284839675E-2</v>
      </c>
      <c r="V55" t="s">
        <v>251</v>
      </c>
      <c r="X55">
        <v>2.0890410958904111E-2</v>
      </c>
      <c r="Y55">
        <v>3.3242672103025631E-2</v>
      </c>
      <c r="Z55" t="s">
        <v>295</v>
      </c>
      <c r="AA55" t="s">
        <v>25</v>
      </c>
      <c r="AC55" t="s">
        <v>22</v>
      </c>
      <c r="AD55" t="s">
        <v>295</v>
      </c>
      <c r="AE55">
        <v>1.6057699124654649E-2</v>
      </c>
      <c r="AG55" t="s">
        <v>99</v>
      </c>
      <c r="AH55" t="s">
        <v>295</v>
      </c>
      <c r="AI55">
        <v>0.12120654208475257</v>
      </c>
    </row>
    <row r="56" spans="9:35" x14ac:dyDescent="0.45">
      <c r="I56" t="s">
        <v>249</v>
      </c>
      <c r="J56" t="s">
        <v>296</v>
      </c>
      <c r="K56">
        <v>1.28398113143132E-2</v>
      </c>
      <c r="L56" t="s">
        <v>251</v>
      </c>
      <c r="N56" t="s">
        <v>419</v>
      </c>
      <c r="O56" t="s">
        <v>296</v>
      </c>
      <c r="P56">
        <v>6.5104074511811048E-3</v>
      </c>
      <c r="Q56" t="s">
        <v>251</v>
      </c>
      <c r="S56" t="s">
        <v>420</v>
      </c>
      <c r="T56" t="s">
        <v>296</v>
      </c>
      <c r="U56">
        <v>8.5695563326579609E-3</v>
      </c>
      <c r="V56" t="s">
        <v>251</v>
      </c>
      <c r="X56">
        <v>6.9634703196347035E-3</v>
      </c>
      <c r="Y56">
        <v>1.354780432422577E-2</v>
      </c>
      <c r="Z56" t="s">
        <v>296</v>
      </c>
      <c r="AA56" t="s">
        <v>25</v>
      </c>
      <c r="AC56" t="s">
        <v>22</v>
      </c>
      <c r="AD56" t="s">
        <v>296</v>
      </c>
      <c r="AE56">
        <v>4.8190310100789278E-3</v>
      </c>
      <c r="AG56" t="s">
        <v>99</v>
      </c>
      <c r="AH56" t="s">
        <v>296</v>
      </c>
      <c r="AI56">
        <v>1.301837925546856E-2</v>
      </c>
    </row>
    <row r="57" spans="9:35" x14ac:dyDescent="0.45">
      <c r="I57" t="s">
        <v>249</v>
      </c>
      <c r="J57" t="s">
        <v>297</v>
      </c>
      <c r="K57">
        <v>5.8594224331939932E-3</v>
      </c>
      <c r="L57" t="s">
        <v>251</v>
      </c>
      <c r="N57" t="s">
        <v>419</v>
      </c>
      <c r="O57" t="s">
        <v>297</v>
      </c>
      <c r="P57">
        <v>6.4482593421993882E-3</v>
      </c>
      <c r="Q57" t="s">
        <v>251</v>
      </c>
      <c r="S57" t="s">
        <v>420</v>
      </c>
      <c r="T57" t="s">
        <v>297</v>
      </c>
      <c r="U57">
        <v>8.4955152326310259E-3</v>
      </c>
      <c r="V57" t="s">
        <v>251</v>
      </c>
      <c r="X57">
        <v>6.9634703196347035E-3</v>
      </c>
      <c r="Y57">
        <v>1.0514713803876726E-2</v>
      </c>
      <c r="Z57" t="s">
        <v>297</v>
      </c>
      <c r="AA57" t="s">
        <v>25</v>
      </c>
      <c r="AC57" t="s">
        <v>22</v>
      </c>
      <c r="AD57" t="s">
        <v>297</v>
      </c>
      <c r="AE57">
        <v>4.8673284459694989E-3</v>
      </c>
      <c r="AG57" t="s">
        <v>99</v>
      </c>
      <c r="AH57" t="s">
        <v>297</v>
      </c>
      <c r="AI57">
        <v>1.3706167947963976E-2</v>
      </c>
    </row>
    <row r="58" spans="9:35" x14ac:dyDescent="0.45">
      <c r="I58" t="s">
        <v>249</v>
      </c>
      <c r="J58" t="s">
        <v>298</v>
      </c>
      <c r="K58">
        <v>0</v>
      </c>
      <c r="L58" t="s">
        <v>251</v>
      </c>
      <c r="N58" t="s">
        <v>419</v>
      </c>
      <c r="O58" t="s">
        <v>298</v>
      </c>
      <c r="P58">
        <v>4.0625199086856488E-2</v>
      </c>
      <c r="Q58" t="s">
        <v>251</v>
      </c>
      <c r="S58" t="s">
        <v>420</v>
      </c>
      <c r="T58" t="s">
        <v>298</v>
      </c>
      <c r="U58">
        <v>4.1852237373598514E-2</v>
      </c>
      <c r="V58" t="s">
        <v>251</v>
      </c>
      <c r="X58">
        <v>3.4817351598173514E-2</v>
      </c>
      <c r="Y58">
        <v>2.6286784509691803E-2</v>
      </c>
      <c r="Z58" t="s">
        <v>298</v>
      </c>
      <c r="AA58" t="s">
        <v>25</v>
      </c>
      <c r="AC58" t="s">
        <v>22</v>
      </c>
      <c r="AD58" t="s">
        <v>298</v>
      </c>
      <c r="AE58">
        <v>3.2614100781793581E-2</v>
      </c>
      <c r="AG58" t="s">
        <v>99</v>
      </c>
      <c r="AH58" t="s">
        <v>298</v>
      </c>
      <c r="AI58">
        <v>0.16194106846605694</v>
      </c>
    </row>
    <row r="59" spans="9:35" x14ac:dyDescent="0.45">
      <c r="I59" t="s">
        <v>249</v>
      </c>
      <c r="J59" t="s">
        <v>323</v>
      </c>
      <c r="K59">
        <v>3.8090221314169098E-6</v>
      </c>
      <c r="L59" t="s">
        <v>251</v>
      </c>
      <c r="N59" t="s">
        <v>419</v>
      </c>
      <c r="O59" t="s">
        <v>323</v>
      </c>
      <c r="P59">
        <v>3.009277985070876E-2</v>
      </c>
      <c r="Q59" t="s">
        <v>251</v>
      </c>
      <c r="S59" t="s">
        <v>420</v>
      </c>
      <c r="T59" t="s">
        <v>323</v>
      </c>
      <c r="U59">
        <v>1.8828910873338951E-2</v>
      </c>
      <c r="V59" t="s">
        <v>251</v>
      </c>
      <c r="X59">
        <v>2.0547945205479451E-2</v>
      </c>
      <c r="Y59">
        <v>4.3954951147353507E-3</v>
      </c>
      <c r="Z59" t="s">
        <v>323</v>
      </c>
      <c r="AA59" t="s">
        <v>25</v>
      </c>
      <c r="AC59" t="s">
        <v>22</v>
      </c>
      <c r="AD59" t="s">
        <v>323</v>
      </c>
      <c r="AE59">
        <v>2.2260433007780876E-2</v>
      </c>
      <c r="AG59" t="s">
        <v>99</v>
      </c>
      <c r="AH59" t="s">
        <v>323</v>
      </c>
      <c r="AI59">
        <v>6.8438377491133906E-2</v>
      </c>
    </row>
    <row r="60" spans="9:35" x14ac:dyDescent="0.45">
      <c r="I60" t="s">
        <v>249</v>
      </c>
      <c r="J60" t="s">
        <v>324</v>
      </c>
      <c r="K60">
        <v>4.2174220768100264E-3</v>
      </c>
      <c r="L60" t="s">
        <v>251</v>
      </c>
      <c r="N60" t="s">
        <v>419</v>
      </c>
      <c r="O60" t="s">
        <v>324</v>
      </c>
      <c r="P60">
        <v>4.2806558018010097E-3</v>
      </c>
      <c r="Q60" t="s">
        <v>251</v>
      </c>
      <c r="S60" t="s">
        <v>420</v>
      </c>
      <c r="T60" t="s">
        <v>324</v>
      </c>
      <c r="U60">
        <v>3.0236851410871714E-3</v>
      </c>
      <c r="V60" t="s">
        <v>251</v>
      </c>
      <c r="X60">
        <v>3.4246575342465752E-3</v>
      </c>
      <c r="Y60">
        <v>5.0717251323869452E-3</v>
      </c>
      <c r="Z60" t="s">
        <v>324</v>
      </c>
      <c r="AA60" t="s">
        <v>25</v>
      </c>
      <c r="AC60" t="s">
        <v>22</v>
      </c>
      <c r="AD60" t="s">
        <v>324</v>
      </c>
      <c r="AE60">
        <v>3.7478698159495389E-3</v>
      </c>
      <c r="AG60" t="s">
        <v>99</v>
      </c>
      <c r="AH60" t="s">
        <v>324</v>
      </c>
      <c r="AI60">
        <v>5.810617310985644E-2</v>
      </c>
    </row>
    <row r="61" spans="9:35" x14ac:dyDescent="0.45">
      <c r="I61" t="s">
        <v>249</v>
      </c>
      <c r="J61" t="s">
        <v>325</v>
      </c>
      <c r="K61">
        <v>7.2308135574651999E-3</v>
      </c>
      <c r="L61" t="s">
        <v>251</v>
      </c>
      <c r="N61" t="s">
        <v>419</v>
      </c>
      <c r="O61" t="s">
        <v>325</v>
      </c>
      <c r="P61">
        <v>3.8538588286688457E-3</v>
      </c>
      <c r="Q61" t="s">
        <v>251</v>
      </c>
      <c r="S61" t="s">
        <v>420</v>
      </c>
      <c r="T61" t="s">
        <v>325</v>
      </c>
      <c r="U61">
        <v>2.9603012804413288E-3</v>
      </c>
      <c r="V61" t="s">
        <v>251</v>
      </c>
      <c r="X61">
        <v>3.4246575342465752E-3</v>
      </c>
      <c r="Y61">
        <v>5.7181214727892006E-3</v>
      </c>
      <c r="Z61" t="s">
        <v>325</v>
      </c>
      <c r="AA61" t="s">
        <v>25</v>
      </c>
      <c r="AC61" t="s">
        <v>22</v>
      </c>
      <c r="AD61" t="s">
        <v>325</v>
      </c>
      <c r="AE61">
        <v>3.7621481773000192E-3</v>
      </c>
      <c r="AG61" t="s">
        <v>99</v>
      </c>
      <c r="AH61" t="s">
        <v>325</v>
      </c>
      <c r="AI61">
        <v>5.5035171020012763E-2</v>
      </c>
    </row>
    <row r="62" spans="9:35" x14ac:dyDescent="0.45">
      <c r="I62" t="s">
        <v>249</v>
      </c>
      <c r="J62" t="s">
        <v>326</v>
      </c>
      <c r="K62">
        <v>6.0288203719271301E-2</v>
      </c>
      <c r="L62" t="s">
        <v>251</v>
      </c>
      <c r="N62" t="s">
        <v>419</v>
      </c>
      <c r="O62" t="s">
        <v>326</v>
      </c>
      <c r="P62">
        <v>1.7014136309921917E-2</v>
      </c>
      <c r="Q62" t="s">
        <v>251</v>
      </c>
      <c r="S62" t="s">
        <v>420</v>
      </c>
      <c r="T62" t="s">
        <v>326</v>
      </c>
      <c r="U62">
        <v>1.8352404363144538E-2</v>
      </c>
      <c r="V62" t="s">
        <v>251</v>
      </c>
      <c r="X62">
        <v>2.0547945205479451E-2</v>
      </c>
      <c r="Y62">
        <v>2.5895631852422749E-2</v>
      </c>
      <c r="Z62" t="s">
        <v>326</v>
      </c>
      <c r="AA62" t="s">
        <v>25</v>
      </c>
      <c r="AC62" t="s">
        <v>22</v>
      </c>
      <c r="AD62" t="s">
        <v>326</v>
      </c>
      <c r="AE62">
        <v>2.1069580739219031E-2</v>
      </c>
      <c r="AG62" t="s">
        <v>99</v>
      </c>
      <c r="AH62" t="s">
        <v>326</v>
      </c>
      <c r="AI62">
        <v>0.10874677642572528</v>
      </c>
    </row>
    <row r="63" spans="9:35" x14ac:dyDescent="0.45">
      <c r="I63" t="s">
        <v>249</v>
      </c>
      <c r="J63" t="s">
        <v>327</v>
      </c>
      <c r="K63">
        <v>2.7882090840113501E-2</v>
      </c>
      <c r="L63" t="s">
        <v>251</v>
      </c>
      <c r="N63" t="s">
        <v>419</v>
      </c>
      <c r="O63" t="s">
        <v>327</v>
      </c>
      <c r="P63">
        <v>7.5583101296307093E-3</v>
      </c>
      <c r="Q63" t="s">
        <v>251</v>
      </c>
      <c r="S63" t="s">
        <v>420</v>
      </c>
      <c r="T63" t="s">
        <v>327</v>
      </c>
      <c r="U63">
        <v>9.7236148432749466E-3</v>
      </c>
      <c r="V63" t="s">
        <v>251</v>
      </c>
      <c r="X63">
        <v>1.0273972602739725E-2</v>
      </c>
      <c r="Y63">
        <v>1.6348855132635558E-2</v>
      </c>
      <c r="Z63" t="s">
        <v>327</v>
      </c>
      <c r="AA63" t="s">
        <v>25</v>
      </c>
      <c r="AC63" t="s">
        <v>22</v>
      </c>
      <c r="AD63" t="s">
        <v>327</v>
      </c>
      <c r="AE63">
        <v>7.4430039204518537E-3</v>
      </c>
      <c r="AG63" t="s">
        <v>99</v>
      </c>
      <c r="AH63" t="s">
        <v>327</v>
      </c>
      <c r="AI63">
        <v>5.4528305774245167E-2</v>
      </c>
    </row>
    <row r="64" spans="9:35" x14ac:dyDescent="0.45">
      <c r="I64" t="s">
        <v>249</v>
      </c>
      <c r="J64" t="s">
        <v>328</v>
      </c>
      <c r="K64">
        <v>7.0415792442286998E-3</v>
      </c>
      <c r="L64" t="s">
        <v>251</v>
      </c>
      <c r="N64" t="s">
        <v>419</v>
      </c>
      <c r="O64" t="s">
        <v>328</v>
      </c>
      <c r="P64">
        <v>2.9598672303039887E-3</v>
      </c>
      <c r="Q64" t="s">
        <v>251</v>
      </c>
      <c r="S64" t="s">
        <v>420</v>
      </c>
      <c r="T64" t="s">
        <v>328</v>
      </c>
      <c r="U64">
        <v>3.2563955971113821E-3</v>
      </c>
      <c r="V64" t="s">
        <v>251</v>
      </c>
      <c r="X64">
        <v>3.4246575342465752E-3</v>
      </c>
      <c r="Y64">
        <v>6.662854585684809E-3</v>
      </c>
      <c r="Z64" t="s">
        <v>328</v>
      </c>
      <c r="AA64" t="s">
        <v>25</v>
      </c>
      <c r="AC64" t="s">
        <v>22</v>
      </c>
      <c r="AD64" t="s">
        <v>328</v>
      </c>
      <c r="AE64">
        <v>2.3591696150160315E-3</v>
      </c>
      <c r="AG64" t="s">
        <v>99</v>
      </c>
      <c r="AH64" t="s">
        <v>328</v>
      </c>
      <c r="AI64">
        <v>2.5864249786949456E-2</v>
      </c>
    </row>
    <row r="65" spans="9:35" x14ac:dyDescent="0.45">
      <c r="I65" t="s">
        <v>249</v>
      </c>
      <c r="J65" t="s">
        <v>329</v>
      </c>
      <c r="K65">
        <v>4.1807614240014232E-3</v>
      </c>
      <c r="L65" t="s">
        <v>251</v>
      </c>
      <c r="N65" t="s">
        <v>419</v>
      </c>
      <c r="O65" t="s">
        <v>329</v>
      </c>
      <c r="P65">
        <v>3.3455294891401029E-3</v>
      </c>
      <c r="Q65" t="s">
        <v>251</v>
      </c>
      <c r="S65" t="s">
        <v>420</v>
      </c>
      <c r="T65" t="s">
        <v>329</v>
      </c>
      <c r="U65">
        <v>3.238425197695286E-3</v>
      </c>
      <c r="V65" t="s">
        <v>251</v>
      </c>
      <c r="X65">
        <v>3.4246575342465752E-3</v>
      </c>
      <c r="Y65">
        <v>5.1711707232180593E-3</v>
      </c>
      <c r="Z65" t="s">
        <v>329</v>
      </c>
      <c r="AA65" t="s">
        <v>25</v>
      </c>
      <c r="AC65" t="s">
        <v>22</v>
      </c>
      <c r="AD65" t="s">
        <v>329</v>
      </c>
      <c r="AE65">
        <v>2.3797859723935933E-3</v>
      </c>
      <c r="AG65" t="s">
        <v>99</v>
      </c>
      <c r="AH65" t="s">
        <v>329</v>
      </c>
      <c r="AI65">
        <v>2.7494936993699426E-2</v>
      </c>
    </row>
    <row r="66" spans="9:35" x14ac:dyDescent="0.45">
      <c r="I66" t="s">
        <v>249</v>
      </c>
      <c r="J66" t="s">
        <v>330</v>
      </c>
      <c r="K66">
        <v>5.9271588075933296E-5</v>
      </c>
      <c r="L66" t="s">
        <v>251</v>
      </c>
      <c r="N66" t="s">
        <v>419</v>
      </c>
      <c r="O66" t="s">
        <v>330</v>
      </c>
      <c r="P66">
        <v>2.3746828472602736E-2</v>
      </c>
      <c r="Q66" t="s">
        <v>251</v>
      </c>
      <c r="S66" t="s">
        <v>420</v>
      </c>
      <c r="T66" t="s">
        <v>330</v>
      </c>
      <c r="U66">
        <v>1.5881674826197154E-2</v>
      </c>
      <c r="V66" t="s">
        <v>251</v>
      </c>
      <c r="X66">
        <v>1.7123287671232876E-2</v>
      </c>
      <c r="Y66">
        <v>1.2927926808045149E-2</v>
      </c>
      <c r="Z66" t="s">
        <v>330</v>
      </c>
      <c r="AA66" t="s">
        <v>25</v>
      </c>
      <c r="AC66" t="s">
        <v>22</v>
      </c>
      <c r="AD66" t="s">
        <v>330</v>
      </c>
      <c r="AE66">
        <v>1.6329373744555842E-2</v>
      </c>
      <c r="AG66" t="s">
        <v>99</v>
      </c>
      <c r="AH66" t="s">
        <v>330</v>
      </c>
      <c r="AI66">
        <v>0.14805486992572869</v>
      </c>
    </row>
    <row r="67" spans="9:35" x14ac:dyDescent="0.45">
      <c r="I67" t="s">
        <v>249</v>
      </c>
      <c r="J67" t="s">
        <v>331</v>
      </c>
      <c r="K67">
        <v>7.8154013398572715E-6</v>
      </c>
      <c r="L67" t="s">
        <v>251</v>
      </c>
      <c r="N67" t="s">
        <v>419</v>
      </c>
      <c r="O67" t="s">
        <v>331</v>
      </c>
      <c r="P67">
        <v>2.9783315040227628E-2</v>
      </c>
      <c r="Q67" t="s">
        <v>251</v>
      </c>
      <c r="S67" t="s">
        <v>420</v>
      </c>
      <c r="T67" t="s">
        <v>331</v>
      </c>
      <c r="U67">
        <v>2.0587673359039552E-2</v>
      </c>
      <c r="V67" t="s">
        <v>251</v>
      </c>
      <c r="X67">
        <v>2.1232876712328767E-2</v>
      </c>
      <c r="Y67">
        <v>4.5420116185598634E-3</v>
      </c>
      <c r="Z67" t="s">
        <v>331</v>
      </c>
      <c r="AA67" t="s">
        <v>25</v>
      </c>
      <c r="AC67" t="s">
        <v>22</v>
      </c>
      <c r="AD67" t="s">
        <v>331</v>
      </c>
      <c r="AE67">
        <v>2.3543483033091887E-2</v>
      </c>
      <c r="AG67" t="s">
        <v>99</v>
      </c>
      <c r="AH67" t="s">
        <v>331</v>
      </c>
      <c r="AI67">
        <v>0.11023422030113306</v>
      </c>
    </row>
    <row r="68" spans="9:35" x14ac:dyDescent="0.45">
      <c r="I68" t="s">
        <v>249</v>
      </c>
      <c r="J68" t="s">
        <v>332</v>
      </c>
      <c r="K68">
        <v>3.3569483176486771E-3</v>
      </c>
      <c r="L68" t="s">
        <v>251</v>
      </c>
      <c r="N68" t="s">
        <v>419</v>
      </c>
      <c r="O68" t="s">
        <v>332</v>
      </c>
      <c r="P68">
        <v>4.3790628797977845E-3</v>
      </c>
      <c r="Q68" t="s">
        <v>251</v>
      </c>
      <c r="S68" t="s">
        <v>420</v>
      </c>
      <c r="T68" t="s">
        <v>332</v>
      </c>
      <c r="U68">
        <v>3.4986673592877107E-3</v>
      </c>
      <c r="V68" t="s">
        <v>251</v>
      </c>
      <c r="X68">
        <v>3.5388127853881279E-3</v>
      </c>
      <c r="Y68">
        <v>5.240782636799844E-3</v>
      </c>
      <c r="Z68" t="s">
        <v>332</v>
      </c>
      <c r="AA68" t="s">
        <v>25</v>
      </c>
      <c r="AC68" t="s">
        <v>22</v>
      </c>
      <c r="AD68" t="s">
        <v>332</v>
      </c>
      <c r="AE68">
        <v>3.9673982100870749E-3</v>
      </c>
      <c r="AG68" t="s">
        <v>99</v>
      </c>
      <c r="AH68" t="s">
        <v>332</v>
      </c>
      <c r="AI68">
        <v>0.10400483630387303</v>
      </c>
    </row>
    <row r="69" spans="9:35" x14ac:dyDescent="0.45">
      <c r="I69" t="s">
        <v>249</v>
      </c>
      <c r="J69" t="s">
        <v>333</v>
      </c>
      <c r="K69">
        <v>6.4302276041504E-3</v>
      </c>
      <c r="L69" t="s">
        <v>251</v>
      </c>
      <c r="N69" t="s">
        <v>419</v>
      </c>
      <c r="O69" t="s">
        <v>333</v>
      </c>
      <c r="P69">
        <v>3.7729951204138229E-3</v>
      </c>
      <c r="Q69" t="s">
        <v>251</v>
      </c>
      <c r="S69" t="s">
        <v>420</v>
      </c>
      <c r="T69" t="s">
        <v>333</v>
      </c>
      <c r="U69">
        <v>3.4928716870599335E-3</v>
      </c>
      <c r="V69" t="s">
        <v>251</v>
      </c>
      <c r="X69">
        <v>3.5388127853881279E-3</v>
      </c>
      <c r="Y69">
        <v>5.9087255218821738E-3</v>
      </c>
      <c r="Z69" t="s">
        <v>333</v>
      </c>
      <c r="AA69" t="s">
        <v>25</v>
      </c>
      <c r="AC69" t="s">
        <v>22</v>
      </c>
      <c r="AD69" t="s">
        <v>333</v>
      </c>
      <c r="AE69">
        <v>3.9633952652278663E-3</v>
      </c>
      <c r="AG69" t="s">
        <v>99</v>
      </c>
      <c r="AH69" t="s">
        <v>333</v>
      </c>
      <c r="AI69">
        <v>7.4066305318186254E-2</v>
      </c>
    </row>
    <row r="70" spans="9:35" x14ac:dyDescent="0.45">
      <c r="I70" t="s">
        <v>249</v>
      </c>
      <c r="J70" t="s">
        <v>334</v>
      </c>
      <c r="K70">
        <v>5.8339775957822602E-2</v>
      </c>
      <c r="L70" t="s">
        <v>251</v>
      </c>
      <c r="N70" t="s">
        <v>419</v>
      </c>
      <c r="O70" t="s">
        <v>334</v>
      </c>
      <c r="P70">
        <v>1.7468390542046991E-2</v>
      </c>
      <c r="Q70" t="s">
        <v>251</v>
      </c>
      <c r="S70" t="s">
        <v>420</v>
      </c>
      <c r="T70" t="s">
        <v>334</v>
      </c>
      <c r="U70">
        <v>2.1873171101000038E-2</v>
      </c>
      <c r="V70" t="s">
        <v>251</v>
      </c>
      <c r="X70">
        <v>2.1232876712328767E-2</v>
      </c>
      <c r="Y70">
        <v>2.6758819580836844E-2</v>
      </c>
      <c r="Z70" t="s">
        <v>334</v>
      </c>
      <c r="AA70" t="s">
        <v>25</v>
      </c>
      <c r="AC70" t="s">
        <v>22</v>
      </c>
      <c r="AD70" t="s">
        <v>334</v>
      </c>
      <c r="AE70">
        <v>2.2049068155943537E-2</v>
      </c>
      <c r="AG70" t="s">
        <v>99</v>
      </c>
      <c r="AH70" t="s">
        <v>334</v>
      </c>
      <c r="AI70">
        <v>0.12911283864389511</v>
      </c>
    </row>
    <row r="71" spans="9:35" x14ac:dyDescent="0.45">
      <c r="I71" t="s">
        <v>249</v>
      </c>
      <c r="J71" t="s">
        <v>335</v>
      </c>
      <c r="K71">
        <v>2.6819735968727498E-2</v>
      </c>
      <c r="L71" t="s">
        <v>251</v>
      </c>
      <c r="N71" t="s">
        <v>419</v>
      </c>
      <c r="O71" t="s">
        <v>335</v>
      </c>
      <c r="P71">
        <v>7.5630787877283816E-3</v>
      </c>
      <c r="Q71" t="s">
        <v>251</v>
      </c>
      <c r="S71" t="s">
        <v>420</v>
      </c>
      <c r="T71" t="s">
        <v>335</v>
      </c>
      <c r="U71">
        <v>1.1295279616735264E-2</v>
      </c>
      <c r="V71" t="s">
        <v>251</v>
      </c>
      <c r="X71">
        <v>1.0616438356164383E-2</v>
      </c>
      <c r="Y71">
        <v>1.6893816970390073E-2</v>
      </c>
      <c r="Z71" t="s">
        <v>335</v>
      </c>
      <c r="AA71" t="s">
        <v>25</v>
      </c>
      <c r="AC71" t="s">
        <v>22</v>
      </c>
      <c r="AD71" t="s">
        <v>335</v>
      </c>
      <c r="AE71">
        <v>7.9396068416197289E-3</v>
      </c>
      <c r="AG71" t="s">
        <v>99</v>
      </c>
      <c r="AH71" t="s">
        <v>335</v>
      </c>
      <c r="AI71">
        <v>6.2183768556017149E-2</v>
      </c>
    </row>
    <row r="72" spans="9:35" x14ac:dyDescent="0.45">
      <c r="I72" t="s">
        <v>249</v>
      </c>
      <c r="J72" t="s">
        <v>336</v>
      </c>
      <c r="K72">
        <v>6.7134710151176002E-3</v>
      </c>
      <c r="L72" t="s">
        <v>251</v>
      </c>
      <c r="N72" t="s">
        <v>419</v>
      </c>
      <c r="O72" t="s">
        <v>336</v>
      </c>
      <c r="P72">
        <v>2.8396267792552905E-3</v>
      </c>
      <c r="Q72" t="s">
        <v>251</v>
      </c>
      <c r="S72" t="s">
        <v>420</v>
      </c>
      <c r="T72" t="s">
        <v>336</v>
      </c>
      <c r="U72">
        <v>3.800250958987022E-3</v>
      </c>
      <c r="V72" t="s">
        <v>251</v>
      </c>
      <c r="X72">
        <v>3.5388127853881279E-3</v>
      </c>
      <c r="Y72">
        <v>6.8849497385409693E-3</v>
      </c>
      <c r="Z72" t="s">
        <v>336</v>
      </c>
      <c r="AA72" t="s">
        <v>25</v>
      </c>
      <c r="AC72" t="s">
        <v>22</v>
      </c>
      <c r="AD72" t="s">
        <v>336</v>
      </c>
      <c r="AE72">
        <v>2.5116069854195398E-3</v>
      </c>
      <c r="AG72" t="s">
        <v>99</v>
      </c>
      <c r="AH72" t="s">
        <v>336</v>
      </c>
      <c r="AI72">
        <v>2.6522664700230569E-2</v>
      </c>
    </row>
    <row r="73" spans="9:35" x14ac:dyDescent="0.45">
      <c r="I73" t="s">
        <v>249</v>
      </c>
      <c r="J73" t="s">
        <v>337</v>
      </c>
      <c r="K73">
        <v>4.3636159800594957E-3</v>
      </c>
      <c r="L73" t="s">
        <v>251</v>
      </c>
      <c r="N73" t="s">
        <v>419</v>
      </c>
      <c r="O73" t="s">
        <v>337</v>
      </c>
      <c r="P73">
        <v>2.9791966895662955E-3</v>
      </c>
      <c r="Q73" t="s">
        <v>251</v>
      </c>
      <c r="S73" t="s">
        <v>420</v>
      </c>
      <c r="T73" t="s">
        <v>337</v>
      </c>
      <c r="U73">
        <v>3.7640084620224664E-3</v>
      </c>
      <c r="V73" t="s">
        <v>251</v>
      </c>
      <c r="X73">
        <v>3.5388127853881279E-3</v>
      </c>
      <c r="Y73">
        <v>5.3435430806586613E-3</v>
      </c>
      <c r="Z73" t="s">
        <v>337</v>
      </c>
      <c r="AA73" t="s">
        <v>25</v>
      </c>
      <c r="AC73" t="s">
        <v>22</v>
      </c>
      <c r="AD73" t="s">
        <v>337</v>
      </c>
      <c r="AE73">
        <v>2.5292032638631447E-3</v>
      </c>
      <c r="AG73" t="s">
        <v>99</v>
      </c>
      <c r="AH73" t="s">
        <v>337</v>
      </c>
      <c r="AI73">
        <v>2.5865442867635702E-2</v>
      </c>
    </row>
    <row r="74" spans="9:35" x14ac:dyDescent="0.45">
      <c r="I74" t="s">
        <v>249</v>
      </c>
      <c r="J74" t="s">
        <v>338</v>
      </c>
      <c r="K74">
        <v>9.7873174655531696E-4</v>
      </c>
      <c r="L74" t="s">
        <v>251</v>
      </c>
      <c r="N74" t="s">
        <v>419</v>
      </c>
      <c r="O74" t="s">
        <v>338</v>
      </c>
      <c r="P74">
        <v>2.1583413457200773E-2</v>
      </c>
      <c r="Q74" t="s">
        <v>251</v>
      </c>
      <c r="S74" t="s">
        <v>420</v>
      </c>
      <c r="T74" t="s">
        <v>338</v>
      </c>
      <c r="U74">
        <v>1.7666422501777586E-2</v>
      </c>
      <c r="V74" t="s">
        <v>251</v>
      </c>
      <c r="X74">
        <v>1.7694063926940638E-2</v>
      </c>
      <c r="Y74">
        <v>1.3358857701646654E-2</v>
      </c>
      <c r="Z74" t="s">
        <v>338</v>
      </c>
      <c r="AA74" t="s">
        <v>25</v>
      </c>
      <c r="AC74" t="s">
        <v>22</v>
      </c>
      <c r="AD74" t="s">
        <v>338</v>
      </c>
      <c r="AE74">
        <v>1.7246656839578167E-2</v>
      </c>
      <c r="AG74" t="s">
        <v>99</v>
      </c>
      <c r="AH74" t="s">
        <v>338</v>
      </c>
      <c r="AI74">
        <v>0.15733680317509191</v>
      </c>
    </row>
    <row r="75" spans="9:35" x14ac:dyDescent="0.45">
      <c r="AC75" t="s">
        <v>19</v>
      </c>
      <c r="AD75" t="s">
        <v>250</v>
      </c>
      <c r="AE75">
        <v>6.2201548034473725E-2</v>
      </c>
    </row>
    <row r="76" spans="9:35" x14ac:dyDescent="0.45">
      <c r="AC76" t="s">
        <v>19</v>
      </c>
      <c r="AD76" t="s">
        <v>252</v>
      </c>
      <c r="AE76">
        <v>1.0371863395216981E-2</v>
      </c>
    </row>
    <row r="77" spans="9:35" x14ac:dyDescent="0.45">
      <c r="AC77" t="s">
        <v>19</v>
      </c>
      <c r="AD77" t="s">
        <v>253</v>
      </c>
      <c r="AE77">
        <v>1.0368891385076484E-2</v>
      </c>
    </row>
    <row r="78" spans="9:35" x14ac:dyDescent="0.45">
      <c r="AC78" t="s">
        <v>19</v>
      </c>
      <c r="AD78" t="s">
        <v>254</v>
      </c>
      <c r="AE78">
        <v>6.1853562260701801E-2</v>
      </c>
    </row>
    <row r="79" spans="9:35" x14ac:dyDescent="0.45">
      <c r="AC79" t="s">
        <v>19</v>
      </c>
      <c r="AD79" t="s">
        <v>255</v>
      </c>
      <c r="AE79">
        <v>3.0349461104596673E-2</v>
      </c>
    </row>
    <row r="80" spans="9:35" x14ac:dyDescent="0.45">
      <c r="AC80" t="s">
        <v>19</v>
      </c>
      <c r="AD80" t="s">
        <v>256</v>
      </c>
      <c r="AE80">
        <v>1.0087928364247899E-2</v>
      </c>
    </row>
    <row r="81" spans="29:31" x14ac:dyDescent="0.45">
      <c r="AC81" t="s">
        <v>19</v>
      </c>
      <c r="AD81" t="s">
        <v>257</v>
      </c>
      <c r="AE81">
        <v>1.0089854932028578E-2</v>
      </c>
    </row>
    <row r="82" spans="29:31" x14ac:dyDescent="0.45">
      <c r="AC82" t="s">
        <v>19</v>
      </c>
      <c r="AD82" t="s">
        <v>258</v>
      </c>
      <c r="AE82">
        <v>5.1264095683059299E-2</v>
      </c>
    </row>
    <row r="83" spans="29:31" x14ac:dyDescent="0.45">
      <c r="AC83" t="s">
        <v>19</v>
      </c>
      <c r="AD83" t="s">
        <v>259</v>
      </c>
      <c r="AE83">
        <v>4.2069267001666411E-2</v>
      </c>
    </row>
    <row r="84" spans="29:31" x14ac:dyDescent="0.45">
      <c r="AC84" t="s">
        <v>19</v>
      </c>
      <c r="AD84" t="s">
        <v>260</v>
      </c>
      <c r="AE84">
        <v>7.0124983117798309E-3</v>
      </c>
    </row>
    <row r="85" spans="29:31" x14ac:dyDescent="0.45">
      <c r="AC85" t="s">
        <v>19</v>
      </c>
      <c r="AD85" t="s">
        <v>261</v>
      </c>
      <c r="AE85">
        <v>7.0186433786684826E-3</v>
      </c>
    </row>
    <row r="86" spans="29:31" x14ac:dyDescent="0.45">
      <c r="AC86" t="s">
        <v>19</v>
      </c>
      <c r="AD86" t="s">
        <v>262</v>
      </c>
      <c r="AE86">
        <v>4.2037456788797993E-2</v>
      </c>
    </row>
    <row r="87" spans="29:31" x14ac:dyDescent="0.45">
      <c r="AC87" t="s">
        <v>19</v>
      </c>
      <c r="AD87" t="s">
        <v>263</v>
      </c>
      <c r="AE87">
        <v>2.0634825257541081E-2</v>
      </c>
    </row>
    <row r="88" spans="29:31" x14ac:dyDescent="0.45">
      <c r="AC88" t="s">
        <v>19</v>
      </c>
      <c r="AD88" t="s">
        <v>264</v>
      </c>
      <c r="AE88">
        <v>6.8324591414826328E-3</v>
      </c>
    </row>
    <row r="89" spans="29:31" x14ac:dyDescent="0.45">
      <c r="AC89" t="s">
        <v>19</v>
      </c>
      <c r="AD89" t="s">
        <v>265</v>
      </c>
      <c r="AE89">
        <v>6.8351141165879786E-3</v>
      </c>
    </row>
    <row r="90" spans="29:31" x14ac:dyDescent="0.45">
      <c r="AC90" t="s">
        <v>19</v>
      </c>
      <c r="AD90" t="s">
        <v>266</v>
      </c>
      <c r="AE90">
        <v>3.4661998983884813E-2</v>
      </c>
    </row>
    <row r="91" spans="29:31" x14ac:dyDescent="0.45">
      <c r="AC91" t="s">
        <v>19</v>
      </c>
      <c r="AD91" t="s">
        <v>267</v>
      </c>
      <c r="AE91">
        <v>2.0653491321824691E-2</v>
      </c>
    </row>
    <row r="92" spans="29:31" x14ac:dyDescent="0.45">
      <c r="AC92" t="s">
        <v>19</v>
      </c>
      <c r="AD92" t="s">
        <v>268</v>
      </c>
      <c r="AE92">
        <v>3.441885187669315E-3</v>
      </c>
    </row>
    <row r="93" spans="29:31" x14ac:dyDescent="0.45">
      <c r="AC93" t="s">
        <v>19</v>
      </c>
      <c r="AD93" t="s">
        <v>269</v>
      </c>
      <c r="AE93">
        <v>3.4584927973460482E-3</v>
      </c>
    </row>
    <row r="94" spans="29:31" x14ac:dyDescent="0.45">
      <c r="AC94" t="s">
        <v>19</v>
      </c>
      <c r="AD94" t="s">
        <v>270</v>
      </c>
      <c r="AE94">
        <v>2.0747369262013888E-2</v>
      </c>
    </row>
    <row r="95" spans="29:31" x14ac:dyDescent="0.45">
      <c r="AC95" t="s">
        <v>19</v>
      </c>
      <c r="AD95" t="s">
        <v>271</v>
      </c>
      <c r="AE95">
        <v>1.0140420884415182E-2</v>
      </c>
    </row>
    <row r="96" spans="29:31" x14ac:dyDescent="0.45">
      <c r="AC96" t="s">
        <v>19</v>
      </c>
      <c r="AD96" t="s">
        <v>272</v>
      </c>
      <c r="AE96">
        <v>3.3544998930231588E-3</v>
      </c>
    </row>
    <row r="97" spans="29:31" x14ac:dyDescent="0.45">
      <c r="AC97" t="s">
        <v>19</v>
      </c>
      <c r="AD97" t="s">
        <v>273</v>
      </c>
      <c r="AE97">
        <v>3.3560796554056318E-3</v>
      </c>
    </row>
    <row r="98" spans="29:31" x14ac:dyDescent="0.45">
      <c r="AC98" t="s">
        <v>19</v>
      </c>
      <c r="AD98" t="s">
        <v>274</v>
      </c>
      <c r="AE98">
        <v>1.7061237963495509E-2</v>
      </c>
    </row>
    <row r="99" spans="29:31" x14ac:dyDescent="0.45">
      <c r="AC99" t="s">
        <v>19</v>
      </c>
      <c r="AD99" t="s">
        <v>275</v>
      </c>
      <c r="AE99">
        <v>2.1346820840001699E-2</v>
      </c>
    </row>
    <row r="100" spans="29:31" x14ac:dyDescent="0.45">
      <c r="AC100" t="s">
        <v>19</v>
      </c>
      <c r="AD100" t="s">
        <v>276</v>
      </c>
      <c r="AE100">
        <v>3.557157031164381E-3</v>
      </c>
    </row>
    <row r="101" spans="29:31" x14ac:dyDescent="0.45">
      <c r="AC101" t="s">
        <v>19</v>
      </c>
      <c r="AD101" t="s">
        <v>277</v>
      </c>
      <c r="AE101">
        <v>3.5730536317805741E-3</v>
      </c>
    </row>
    <row r="102" spans="29:31" x14ac:dyDescent="0.45">
      <c r="AC102" t="s">
        <v>19</v>
      </c>
      <c r="AD102" t="s">
        <v>278</v>
      </c>
      <c r="AE102">
        <v>2.1431810973620097E-2</v>
      </c>
    </row>
    <row r="103" spans="29:31" x14ac:dyDescent="0.45">
      <c r="AC103" t="s">
        <v>19</v>
      </c>
      <c r="AD103" t="s">
        <v>279</v>
      </c>
      <c r="AE103">
        <v>1.0477739875958328E-2</v>
      </c>
    </row>
    <row r="104" spans="29:31" x14ac:dyDescent="0.45">
      <c r="AC104" t="s">
        <v>19</v>
      </c>
      <c r="AD104" t="s">
        <v>280</v>
      </c>
      <c r="AE104">
        <v>3.4655134147168151E-3</v>
      </c>
    </row>
    <row r="105" spans="29:31" x14ac:dyDescent="0.45">
      <c r="AC105" t="s">
        <v>19</v>
      </c>
      <c r="AD105" t="s">
        <v>281</v>
      </c>
      <c r="AE105">
        <v>3.4671685695771598E-3</v>
      </c>
    </row>
    <row r="106" spans="29:31" x14ac:dyDescent="0.45">
      <c r="AC106" t="s">
        <v>19</v>
      </c>
      <c r="AD106" t="s">
        <v>282</v>
      </c>
      <c r="AE106">
        <v>1.7639771190730177E-2</v>
      </c>
    </row>
    <row r="107" spans="29:31" x14ac:dyDescent="0.45">
      <c r="AC107" t="s">
        <v>19</v>
      </c>
      <c r="AD107" t="s">
        <v>283</v>
      </c>
      <c r="AE107">
        <v>2.134432436308252E-2</v>
      </c>
    </row>
    <row r="108" spans="29:31" x14ac:dyDescent="0.45">
      <c r="AC108" t="s">
        <v>19</v>
      </c>
      <c r="AD108" t="s">
        <v>284</v>
      </c>
      <c r="AE108">
        <v>3.5586963232513611E-3</v>
      </c>
    </row>
    <row r="109" spans="29:31" x14ac:dyDescent="0.45">
      <c r="AC109" t="s">
        <v>19</v>
      </c>
      <c r="AD109" t="s">
        <v>285</v>
      </c>
      <c r="AE109">
        <v>3.5689408077957539E-3</v>
      </c>
    </row>
    <row r="110" spans="29:31" x14ac:dyDescent="0.45">
      <c r="AC110" t="s">
        <v>19</v>
      </c>
      <c r="AD110" t="s">
        <v>286</v>
      </c>
      <c r="AE110">
        <v>2.1425827111314258E-2</v>
      </c>
    </row>
    <row r="111" spans="29:31" x14ac:dyDescent="0.45">
      <c r="AC111" t="s">
        <v>19</v>
      </c>
      <c r="AD111" t="s">
        <v>287</v>
      </c>
      <c r="AE111">
        <v>1.0482450156333171E-2</v>
      </c>
    </row>
    <row r="112" spans="29:31" x14ac:dyDescent="0.45">
      <c r="AC112" t="s">
        <v>19</v>
      </c>
      <c r="AD112" t="s">
        <v>288</v>
      </c>
      <c r="AE112">
        <v>3.4675862535702693E-3</v>
      </c>
    </row>
    <row r="113" spans="29:31" x14ac:dyDescent="0.45">
      <c r="AC113" t="s">
        <v>19</v>
      </c>
      <c r="AD113" t="s">
        <v>289</v>
      </c>
      <c r="AE113">
        <v>3.4692027456214489E-3</v>
      </c>
    </row>
    <row r="114" spans="29:31" x14ac:dyDescent="0.45">
      <c r="AC114" t="s">
        <v>19</v>
      </c>
      <c r="AD114" t="s">
        <v>290</v>
      </c>
      <c r="AE114">
        <v>1.7627093897247603E-2</v>
      </c>
    </row>
    <row r="115" spans="29:31" x14ac:dyDescent="0.45">
      <c r="AC115" t="s">
        <v>19</v>
      </c>
      <c r="AD115" t="s">
        <v>291</v>
      </c>
      <c r="AE115">
        <v>4.2068363007193937E-2</v>
      </c>
    </row>
    <row r="116" spans="29:31" x14ac:dyDescent="0.45">
      <c r="AC116" t="s">
        <v>19</v>
      </c>
      <c r="AD116" t="s">
        <v>292</v>
      </c>
      <c r="AE116">
        <v>7.0147397784754576E-3</v>
      </c>
    </row>
    <row r="117" spans="29:31" x14ac:dyDescent="0.45">
      <c r="AC117" t="s">
        <v>19</v>
      </c>
      <c r="AD117" t="s">
        <v>293</v>
      </c>
      <c r="AE117">
        <v>7.018718568166606E-3</v>
      </c>
    </row>
    <row r="118" spans="29:31" x14ac:dyDescent="0.45">
      <c r="AC118" t="s">
        <v>19</v>
      </c>
      <c r="AD118" t="s">
        <v>294</v>
      </c>
      <c r="AE118">
        <v>4.19842215222367E-2</v>
      </c>
    </row>
    <row r="119" spans="29:31" x14ac:dyDescent="0.45">
      <c r="AC119" t="s">
        <v>19</v>
      </c>
      <c r="AD119" t="s">
        <v>295</v>
      </c>
      <c r="AE119">
        <v>2.0608838214677908E-2</v>
      </c>
    </row>
    <row r="120" spans="29:31" x14ac:dyDescent="0.45">
      <c r="AC120" t="s">
        <v>19</v>
      </c>
      <c r="AD120" t="s">
        <v>296</v>
      </c>
      <c r="AE120">
        <v>6.8349832333132543E-3</v>
      </c>
    </row>
    <row r="121" spans="29:31" x14ac:dyDescent="0.45">
      <c r="AC121" t="s">
        <v>19</v>
      </c>
      <c r="AD121" t="s">
        <v>297</v>
      </c>
      <c r="AE121">
        <v>6.838118013880335E-3</v>
      </c>
    </row>
    <row r="122" spans="29:31" x14ac:dyDescent="0.45">
      <c r="AC122" t="s">
        <v>19</v>
      </c>
      <c r="AD122" t="s">
        <v>298</v>
      </c>
      <c r="AE122">
        <v>3.4727844599274617E-2</v>
      </c>
    </row>
    <row r="123" spans="29:31" x14ac:dyDescent="0.45">
      <c r="AC123" t="s">
        <v>19</v>
      </c>
      <c r="AD123" t="s">
        <v>323</v>
      </c>
      <c r="AE123">
        <v>2.0700732586758447E-2</v>
      </c>
    </row>
    <row r="124" spans="29:31" x14ac:dyDescent="0.45">
      <c r="AC124" t="s">
        <v>19</v>
      </c>
      <c r="AD124" t="s">
        <v>324</v>
      </c>
      <c r="AE124">
        <v>3.452575381910611E-3</v>
      </c>
    </row>
    <row r="125" spans="29:31" x14ac:dyDescent="0.45">
      <c r="AC125" t="s">
        <v>19</v>
      </c>
      <c r="AD125" t="s">
        <v>325</v>
      </c>
      <c r="AE125">
        <v>3.4535021294462907E-3</v>
      </c>
    </row>
    <row r="126" spans="29:31" x14ac:dyDescent="0.45">
      <c r="AC126" t="s">
        <v>19</v>
      </c>
      <c r="AD126" t="s">
        <v>326</v>
      </c>
      <c r="AE126">
        <v>2.0623439445188577E-2</v>
      </c>
    </row>
    <row r="127" spans="29:31" x14ac:dyDescent="0.45">
      <c r="AC127" t="s">
        <v>19</v>
      </c>
      <c r="AD127" t="s">
        <v>327</v>
      </c>
      <c r="AE127">
        <v>1.0111045051161569E-2</v>
      </c>
    </row>
    <row r="128" spans="29:31" x14ac:dyDescent="0.45">
      <c r="AC128" t="s">
        <v>19</v>
      </c>
      <c r="AD128" t="s">
        <v>328</v>
      </c>
      <c r="AE128">
        <v>3.3624407749047467E-3</v>
      </c>
    </row>
    <row r="129" spans="29:31" x14ac:dyDescent="0.45">
      <c r="AC129" t="s">
        <v>19</v>
      </c>
      <c r="AD129" t="s">
        <v>329</v>
      </c>
      <c r="AE129">
        <v>3.3637788947299399E-3</v>
      </c>
    </row>
    <row r="130" spans="29:31" x14ac:dyDescent="0.45">
      <c r="AC130" t="s">
        <v>19</v>
      </c>
      <c r="AD130" t="s">
        <v>330</v>
      </c>
      <c r="AE130">
        <v>1.7106455689490346E-2</v>
      </c>
    </row>
    <row r="131" spans="29:31" x14ac:dyDescent="0.45">
      <c r="AC131" t="s">
        <v>19</v>
      </c>
      <c r="AD131" t="s">
        <v>331</v>
      </c>
      <c r="AE131">
        <v>2.1400161656032014E-2</v>
      </c>
    </row>
    <row r="132" spans="29:31" x14ac:dyDescent="0.45">
      <c r="AC132" t="s">
        <v>19</v>
      </c>
      <c r="AD132" t="s">
        <v>332</v>
      </c>
      <c r="AE132">
        <v>3.5695159944076986E-3</v>
      </c>
    </row>
    <row r="133" spans="29:31" x14ac:dyDescent="0.45">
      <c r="AC133" t="s">
        <v>19</v>
      </c>
      <c r="AD133" t="s">
        <v>333</v>
      </c>
      <c r="AE133">
        <v>3.5692561803301113E-3</v>
      </c>
    </row>
    <row r="134" spans="29:31" x14ac:dyDescent="0.45">
      <c r="AC134" t="s">
        <v>19</v>
      </c>
      <c r="AD134" t="s">
        <v>334</v>
      </c>
      <c r="AE134">
        <v>2.1303165560283676E-2</v>
      </c>
    </row>
    <row r="135" spans="29:31" x14ac:dyDescent="0.45">
      <c r="AC135" t="s">
        <v>19</v>
      </c>
      <c r="AD135" t="s">
        <v>335</v>
      </c>
      <c r="AE135">
        <v>1.0451353310956653E-2</v>
      </c>
    </row>
    <row r="136" spans="29:31" x14ac:dyDescent="0.45">
      <c r="AC136" t="s">
        <v>19</v>
      </c>
      <c r="AD136" t="s">
        <v>336</v>
      </c>
      <c r="AE136">
        <v>3.4750267952056049E-3</v>
      </c>
    </row>
    <row r="137" spans="29:31" x14ac:dyDescent="0.45">
      <c r="AC137" t="s">
        <v>19</v>
      </c>
      <c r="AD137" t="s">
        <v>337</v>
      </c>
      <c r="AE137">
        <v>3.4761688945883326E-3</v>
      </c>
    </row>
    <row r="138" spans="29:31" x14ac:dyDescent="0.45">
      <c r="AC138" t="s">
        <v>19</v>
      </c>
      <c r="AD138" t="s">
        <v>338</v>
      </c>
      <c r="AE138">
        <v>1.7679452426616876E-2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EF0A0-F2CD-4EAD-A36A-2C10DBFF31A4}">
  <dimension ref="A9:AN20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124</v>
      </c>
      <c r="K10" t="s">
        <v>248</v>
      </c>
      <c r="L10" t="s">
        <v>30</v>
      </c>
      <c r="N10" t="s">
        <v>13</v>
      </c>
      <c r="O10" t="s">
        <v>124</v>
      </c>
      <c r="P10" t="s">
        <v>248</v>
      </c>
      <c r="Q10" t="s">
        <v>30</v>
      </c>
      <c r="S10" t="s">
        <v>13</v>
      </c>
      <c r="T10" t="s">
        <v>124</v>
      </c>
      <c r="U10" t="s">
        <v>248</v>
      </c>
      <c r="V10" t="s">
        <v>30</v>
      </c>
      <c r="X10" t="s">
        <v>421</v>
      </c>
      <c r="Y10" t="s">
        <v>248</v>
      </c>
      <c r="Z10" t="s">
        <v>124</v>
      </c>
      <c r="AA10" t="s">
        <v>13</v>
      </c>
      <c r="AC10" t="s">
        <v>13</v>
      </c>
      <c r="AD10" t="s">
        <v>124</v>
      </c>
      <c r="AE10" t="s">
        <v>248</v>
      </c>
      <c r="AG10" t="s">
        <v>13</v>
      </c>
      <c r="AH10" t="s">
        <v>124</v>
      </c>
      <c r="AI10" t="s">
        <v>427</v>
      </c>
      <c r="AK10" t="s">
        <v>47</v>
      </c>
      <c r="AL10" t="s">
        <v>124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240</v>
      </c>
      <c r="F11" t="s">
        <v>154</v>
      </c>
      <c r="G11" t="s">
        <v>152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3.2023983738383797E-2</v>
      </c>
      <c r="Q11" t="s">
        <v>251</v>
      </c>
      <c r="S11" t="s">
        <v>420</v>
      </c>
      <c r="T11" t="s">
        <v>250</v>
      </c>
      <c r="U11">
        <v>1.7877727916413823E-2</v>
      </c>
      <c r="V11" t="s">
        <v>251</v>
      </c>
      <c r="X11">
        <v>2.1232876712328767E-2</v>
      </c>
      <c r="Y11">
        <v>4.5420116185598634E-3</v>
      </c>
      <c r="Z11" t="s">
        <v>250</v>
      </c>
      <c r="AA11" t="s">
        <v>25</v>
      </c>
      <c r="AC11" t="s">
        <v>22</v>
      </c>
      <c r="AD11" t="s">
        <v>250</v>
      </c>
      <c r="AE11">
        <v>2.5333277982719261E-2</v>
      </c>
      <c r="AG11" t="s">
        <v>99</v>
      </c>
      <c r="AH11" t="s">
        <v>250</v>
      </c>
      <c r="AI11">
        <v>0.14041549864646474</v>
      </c>
    </row>
    <row r="12" spans="1:40" x14ac:dyDescent="0.45">
      <c r="C12" t="s">
        <v>156</v>
      </c>
      <c r="E12" t="s">
        <v>241</v>
      </c>
      <c r="G12" t="s">
        <v>152</v>
      </c>
      <c r="I12" t="s">
        <v>249</v>
      </c>
      <c r="J12" t="s">
        <v>252</v>
      </c>
      <c r="K12">
        <v>2.1566995796228287E-3</v>
      </c>
      <c r="L12" t="s">
        <v>251</v>
      </c>
      <c r="N12" t="s">
        <v>419</v>
      </c>
      <c r="O12" t="s">
        <v>252</v>
      </c>
      <c r="P12">
        <v>4.6753520212145542E-3</v>
      </c>
      <c r="Q12" t="s">
        <v>251</v>
      </c>
      <c r="S12" t="s">
        <v>420</v>
      </c>
      <c r="T12" t="s">
        <v>252</v>
      </c>
      <c r="U12">
        <v>2.9400777924750939E-3</v>
      </c>
      <c r="V12" t="s">
        <v>251</v>
      </c>
      <c r="X12">
        <v>3.5388127853881279E-3</v>
      </c>
      <c r="Y12">
        <v>5.240782636799844E-3</v>
      </c>
      <c r="Z12" t="s">
        <v>252</v>
      </c>
      <c r="AA12" t="s">
        <v>25</v>
      </c>
      <c r="AC12" t="s">
        <v>22</v>
      </c>
      <c r="AD12" t="s">
        <v>252</v>
      </c>
      <c r="AE12">
        <v>4.2213820286558E-3</v>
      </c>
      <c r="AG12" t="s">
        <v>99</v>
      </c>
      <c r="AH12" t="s">
        <v>252</v>
      </c>
      <c r="AI12">
        <v>0.10695568022603918</v>
      </c>
    </row>
    <row r="13" spans="1:40" x14ac:dyDescent="0.45">
      <c r="C13" t="s">
        <v>159</v>
      </c>
      <c r="E13" t="s">
        <v>242</v>
      </c>
      <c r="G13" t="s">
        <v>152</v>
      </c>
      <c r="I13" t="s">
        <v>249</v>
      </c>
      <c r="J13" t="s">
        <v>253</v>
      </c>
      <c r="K13">
        <v>5.7351265280208997E-3</v>
      </c>
      <c r="L13" t="s">
        <v>251</v>
      </c>
      <c r="N13" t="s">
        <v>419</v>
      </c>
      <c r="O13" t="s">
        <v>253</v>
      </c>
      <c r="P13">
        <v>4.1117343163884672E-3</v>
      </c>
      <c r="Q13" t="s">
        <v>251</v>
      </c>
      <c r="S13" t="s">
        <v>420</v>
      </c>
      <c r="T13" t="s">
        <v>253</v>
      </c>
      <c r="U13">
        <v>2.9873619792351001E-3</v>
      </c>
      <c r="V13" t="s">
        <v>251</v>
      </c>
      <c r="X13">
        <v>3.5388127853881279E-3</v>
      </c>
      <c r="Y13">
        <v>5.9087255218821738E-3</v>
      </c>
      <c r="Z13" t="s">
        <v>253</v>
      </c>
      <c r="AA13" t="s">
        <v>25</v>
      </c>
      <c r="AC13" t="s">
        <v>22</v>
      </c>
      <c r="AD13" t="s">
        <v>253</v>
      </c>
      <c r="AE13">
        <v>4.1846049727618205E-3</v>
      </c>
      <c r="AG13" t="s">
        <v>99</v>
      </c>
      <c r="AH13" t="s">
        <v>253</v>
      </c>
      <c r="AI13">
        <v>0.10918176237600519</v>
      </c>
    </row>
    <row r="14" spans="1:40" x14ac:dyDescent="0.45">
      <c r="C14" t="s">
        <v>163</v>
      </c>
      <c r="E14" t="s">
        <v>243</v>
      </c>
      <c r="G14" t="s">
        <v>152</v>
      </c>
      <c r="I14" t="s">
        <v>249</v>
      </c>
      <c r="J14" t="s">
        <v>254</v>
      </c>
      <c r="K14">
        <v>5.6741174349457101E-2</v>
      </c>
      <c r="L14" t="s">
        <v>251</v>
      </c>
      <c r="N14" t="s">
        <v>419</v>
      </c>
      <c r="O14" t="s">
        <v>254</v>
      </c>
      <c r="P14">
        <v>1.8148492540508484E-2</v>
      </c>
      <c r="Q14" t="s">
        <v>251</v>
      </c>
      <c r="S14" t="s">
        <v>420</v>
      </c>
      <c r="T14" t="s">
        <v>254</v>
      </c>
      <c r="U14">
        <v>1.9091430054603994E-2</v>
      </c>
      <c r="V14" t="s">
        <v>251</v>
      </c>
      <c r="X14">
        <v>2.1232876712328767E-2</v>
      </c>
      <c r="Y14">
        <v>2.6758819580836844E-2</v>
      </c>
      <c r="Z14" t="s">
        <v>254</v>
      </c>
      <c r="AA14" t="s">
        <v>25</v>
      </c>
      <c r="AC14" t="s">
        <v>22</v>
      </c>
      <c r="AD14" t="s">
        <v>254</v>
      </c>
      <c r="AE14">
        <v>2.3058390122999334E-2</v>
      </c>
      <c r="AG14" t="s">
        <v>99</v>
      </c>
      <c r="AH14" t="s">
        <v>254</v>
      </c>
      <c r="AI14">
        <v>0.17850472951247887</v>
      </c>
    </row>
    <row r="15" spans="1:40" x14ac:dyDescent="0.45">
      <c r="C15" t="s">
        <v>166</v>
      </c>
      <c r="E15" t="s">
        <v>244</v>
      </c>
      <c r="G15" t="s">
        <v>152</v>
      </c>
      <c r="I15" t="s">
        <v>249</v>
      </c>
      <c r="J15" t="s">
        <v>255</v>
      </c>
      <c r="K15">
        <v>2.6611029620498401E-2</v>
      </c>
      <c r="L15" t="s">
        <v>251</v>
      </c>
      <c r="N15" t="s">
        <v>419</v>
      </c>
      <c r="O15" t="s">
        <v>255</v>
      </c>
      <c r="P15">
        <v>8.3608854468542309E-3</v>
      </c>
      <c r="Q15" t="s">
        <v>251</v>
      </c>
      <c r="S15" t="s">
        <v>420</v>
      </c>
      <c r="T15" t="s">
        <v>255</v>
      </c>
      <c r="U15">
        <v>1.057631646936439E-2</v>
      </c>
      <c r="V15" t="s">
        <v>251</v>
      </c>
      <c r="X15">
        <v>1.0616438356164383E-2</v>
      </c>
      <c r="Y15">
        <v>1.6893816970390073E-2</v>
      </c>
      <c r="Z15" t="s">
        <v>255</v>
      </c>
      <c r="AA15" t="s">
        <v>25</v>
      </c>
      <c r="AC15" t="s">
        <v>22</v>
      </c>
      <c r="AD15" t="s">
        <v>255</v>
      </c>
      <c r="AE15">
        <v>8.2765194171414147E-3</v>
      </c>
      <c r="AG15" t="s">
        <v>99</v>
      </c>
      <c r="AH15" t="s">
        <v>255</v>
      </c>
      <c r="AI15">
        <v>0.11116120742126734</v>
      </c>
    </row>
    <row r="16" spans="1:40" x14ac:dyDescent="0.45">
      <c r="C16" t="s">
        <v>158</v>
      </c>
      <c r="E16" t="s">
        <v>245</v>
      </c>
      <c r="G16" t="s">
        <v>152</v>
      </c>
      <c r="I16" t="s">
        <v>249</v>
      </c>
      <c r="J16" t="s">
        <v>256</v>
      </c>
      <c r="K16">
        <v>6.8186755141492004E-3</v>
      </c>
      <c r="L16" t="s">
        <v>251</v>
      </c>
      <c r="N16" t="s">
        <v>419</v>
      </c>
      <c r="O16" t="s">
        <v>256</v>
      </c>
      <c r="P16">
        <v>3.4758049043377842E-3</v>
      </c>
      <c r="Q16" t="s">
        <v>251</v>
      </c>
      <c r="S16" t="s">
        <v>420</v>
      </c>
      <c r="T16" t="s">
        <v>256</v>
      </c>
      <c r="U16">
        <v>3.6162519572219168E-3</v>
      </c>
      <c r="V16" t="s">
        <v>251</v>
      </c>
      <c r="X16">
        <v>3.5388127853881279E-3</v>
      </c>
      <c r="Y16">
        <v>6.8849497385409693E-3</v>
      </c>
      <c r="Z16" t="s">
        <v>256</v>
      </c>
      <c r="AA16" t="s">
        <v>25</v>
      </c>
      <c r="AC16" t="s">
        <v>22</v>
      </c>
      <c r="AD16" t="s">
        <v>256</v>
      </c>
      <c r="AE16">
        <v>2.6039599917713476E-3</v>
      </c>
      <c r="AG16" t="s">
        <v>99</v>
      </c>
      <c r="AH16" t="s">
        <v>256</v>
      </c>
      <c r="AI16">
        <v>9.0743392615567409E-2</v>
      </c>
    </row>
    <row r="17" spans="3:35" x14ac:dyDescent="0.45">
      <c r="C17" t="s">
        <v>169</v>
      </c>
      <c r="E17" t="s">
        <v>246</v>
      </c>
      <c r="G17" t="s">
        <v>152</v>
      </c>
      <c r="I17" t="s">
        <v>249</v>
      </c>
      <c r="J17" t="s">
        <v>257</v>
      </c>
      <c r="K17">
        <v>4.8522002634973837E-3</v>
      </c>
      <c r="L17" t="s">
        <v>251</v>
      </c>
      <c r="N17" t="s">
        <v>419</v>
      </c>
      <c r="O17" t="s">
        <v>257</v>
      </c>
      <c r="P17">
        <v>3.7771415098806268E-3</v>
      </c>
      <c r="Q17" t="s">
        <v>251</v>
      </c>
      <c r="S17" t="s">
        <v>420</v>
      </c>
      <c r="T17" t="s">
        <v>257</v>
      </c>
      <c r="U17">
        <v>3.5228871449100416E-3</v>
      </c>
      <c r="V17" t="s">
        <v>251</v>
      </c>
      <c r="X17">
        <v>3.5388127853881279E-3</v>
      </c>
      <c r="Y17">
        <v>5.3435430806586613E-3</v>
      </c>
      <c r="Z17" t="s">
        <v>257</v>
      </c>
      <c r="AA17" t="s">
        <v>25</v>
      </c>
      <c r="AC17" t="s">
        <v>22</v>
      </c>
      <c r="AD17" t="s">
        <v>257</v>
      </c>
      <c r="AE17">
        <v>2.61882807267698E-3</v>
      </c>
      <c r="AG17" t="s">
        <v>99</v>
      </c>
      <c r="AH17" t="s">
        <v>257</v>
      </c>
      <c r="AI17">
        <v>0.1011496097588569</v>
      </c>
    </row>
    <row r="18" spans="3:35" x14ac:dyDescent="0.45">
      <c r="C18" t="s">
        <v>171</v>
      </c>
      <c r="E18" t="s">
        <v>247</v>
      </c>
      <c r="G18" t="s">
        <v>152</v>
      </c>
      <c r="I18" t="s">
        <v>249</v>
      </c>
      <c r="J18" t="s">
        <v>258</v>
      </c>
      <c r="K18">
        <v>1.6361687235408717E-3</v>
      </c>
      <c r="L18" t="s">
        <v>251</v>
      </c>
      <c r="N18" t="s">
        <v>419</v>
      </c>
      <c r="O18" t="s">
        <v>258</v>
      </c>
      <c r="P18">
        <v>2.4660282460977644E-2</v>
      </c>
      <c r="Q18" t="s">
        <v>251</v>
      </c>
      <c r="S18" t="s">
        <v>420</v>
      </c>
      <c r="T18" t="s">
        <v>258</v>
      </c>
      <c r="U18">
        <v>1.5757336683578368E-2</v>
      </c>
      <c r="V18" t="s">
        <v>251</v>
      </c>
      <c r="X18">
        <v>1.7694063926940638E-2</v>
      </c>
      <c r="Y18">
        <v>1.3358857701646654E-2</v>
      </c>
      <c r="Z18" t="s">
        <v>258</v>
      </c>
      <c r="AA18" t="s">
        <v>25</v>
      </c>
      <c r="AC18" t="s">
        <v>22</v>
      </c>
      <c r="AD18" t="s">
        <v>258</v>
      </c>
      <c r="AE18">
        <v>1.7530475484761106E-2</v>
      </c>
      <c r="AG18" t="s">
        <v>99</v>
      </c>
      <c r="AH18" t="s">
        <v>258</v>
      </c>
      <c r="AI18">
        <v>0.18108104719035567</v>
      </c>
    </row>
    <row r="19" spans="3:35" x14ac:dyDescent="0.45">
      <c r="C19" t="s">
        <v>162</v>
      </c>
      <c r="I19" t="s">
        <v>249</v>
      </c>
      <c r="J19" t="s">
        <v>259</v>
      </c>
      <c r="K19">
        <v>0</v>
      </c>
      <c r="L19" t="s">
        <v>251</v>
      </c>
      <c r="N19" t="s">
        <v>419</v>
      </c>
      <c r="O19" t="s">
        <v>259</v>
      </c>
      <c r="P19">
        <v>2.6859085503510967E-2</v>
      </c>
      <c r="Q19" t="s">
        <v>251</v>
      </c>
      <c r="S19" t="s">
        <v>420</v>
      </c>
      <c r="T19" t="s">
        <v>259</v>
      </c>
      <c r="U19">
        <v>1.5570388743208208E-2</v>
      </c>
      <c r="V19" t="s">
        <v>251</v>
      </c>
      <c r="X19">
        <v>1.9178082191780823E-2</v>
      </c>
      <c r="Y19">
        <v>4.1024621070863279E-3</v>
      </c>
      <c r="Z19" t="s">
        <v>259</v>
      </c>
      <c r="AA19" t="s">
        <v>25</v>
      </c>
      <c r="AC19" t="s">
        <v>22</v>
      </c>
      <c r="AD19" t="s">
        <v>259</v>
      </c>
      <c r="AE19">
        <v>2.161888624949352E-2</v>
      </c>
      <c r="AG19" t="s">
        <v>99</v>
      </c>
      <c r="AH19" t="s">
        <v>259</v>
      </c>
      <c r="AI19">
        <v>6.725101334592587E-2</v>
      </c>
    </row>
    <row r="20" spans="3:35" x14ac:dyDescent="0.45">
      <c r="C20" t="s">
        <v>174</v>
      </c>
      <c r="I20" t="s">
        <v>249</v>
      </c>
      <c r="J20" t="s">
        <v>260</v>
      </c>
      <c r="K20">
        <v>1.339658701922193E-3</v>
      </c>
      <c r="L20" t="s">
        <v>251</v>
      </c>
      <c r="N20" t="s">
        <v>419</v>
      </c>
      <c r="O20" t="s">
        <v>260</v>
      </c>
      <c r="P20">
        <v>3.8927029331353872E-3</v>
      </c>
      <c r="Q20" t="s">
        <v>251</v>
      </c>
      <c r="S20" t="s">
        <v>420</v>
      </c>
      <c r="T20" t="s">
        <v>260</v>
      </c>
      <c r="U20">
        <v>2.5524247052464877E-3</v>
      </c>
      <c r="V20" t="s">
        <v>251</v>
      </c>
      <c r="X20">
        <v>3.1963470319634705E-3</v>
      </c>
      <c r="Y20">
        <v>4.7336101235611484E-3</v>
      </c>
      <c r="Z20" t="s">
        <v>260</v>
      </c>
      <c r="AA20" t="s">
        <v>25</v>
      </c>
      <c r="AC20" t="s">
        <v>22</v>
      </c>
      <c r="AD20" t="s">
        <v>260</v>
      </c>
      <c r="AE20">
        <v>3.6358344534236685E-3</v>
      </c>
      <c r="AG20" t="s">
        <v>99</v>
      </c>
      <c r="AH20" t="s">
        <v>260</v>
      </c>
      <c r="AI20">
        <v>6.2737773474196734E-2</v>
      </c>
    </row>
    <row r="21" spans="3:35" x14ac:dyDescent="0.45">
      <c r="C21" t="s">
        <v>176</v>
      </c>
      <c r="I21" t="s">
        <v>249</v>
      </c>
      <c r="J21" t="s">
        <v>261</v>
      </c>
      <c r="K21">
        <v>4.4976164179348485E-3</v>
      </c>
      <c r="L21" t="s">
        <v>251</v>
      </c>
      <c r="N21" t="s">
        <v>419</v>
      </c>
      <c r="O21" t="s">
        <v>261</v>
      </c>
      <c r="P21">
        <v>3.4166545041474372E-3</v>
      </c>
      <c r="Q21" t="s">
        <v>251</v>
      </c>
      <c r="S21" t="s">
        <v>420</v>
      </c>
      <c r="T21" t="s">
        <v>261</v>
      </c>
      <c r="U21">
        <v>2.5094079632623409E-3</v>
      </c>
      <c r="V21" t="s">
        <v>251</v>
      </c>
      <c r="X21">
        <v>3.1963470319634705E-3</v>
      </c>
      <c r="Y21">
        <v>5.3369133746032542E-3</v>
      </c>
      <c r="Z21" t="s">
        <v>261</v>
      </c>
      <c r="AA21" t="s">
        <v>25</v>
      </c>
      <c r="AC21" t="s">
        <v>22</v>
      </c>
      <c r="AD21" t="s">
        <v>261</v>
      </c>
      <c r="AE21">
        <v>3.6344703546546822E-3</v>
      </c>
      <c r="AG21" t="s">
        <v>99</v>
      </c>
      <c r="AH21" t="s">
        <v>261</v>
      </c>
      <c r="AI21">
        <v>5.5388514883157214E-2</v>
      </c>
    </row>
    <row r="22" spans="3:35" x14ac:dyDescent="0.45">
      <c r="C22" t="s">
        <v>178</v>
      </c>
      <c r="I22" t="s">
        <v>249</v>
      </c>
      <c r="J22" t="s">
        <v>262</v>
      </c>
      <c r="K22">
        <v>4.7312849365851707E-2</v>
      </c>
      <c r="L22" t="s">
        <v>251</v>
      </c>
      <c r="N22" t="s">
        <v>419</v>
      </c>
      <c r="O22" t="s">
        <v>262</v>
      </c>
      <c r="P22">
        <v>1.5332261546275745E-2</v>
      </c>
      <c r="Q22" t="s">
        <v>251</v>
      </c>
      <c r="S22" t="s">
        <v>420</v>
      </c>
      <c r="T22" t="s">
        <v>262</v>
      </c>
      <c r="U22">
        <v>1.5549107374137295E-2</v>
      </c>
      <c r="V22" t="s">
        <v>251</v>
      </c>
      <c r="X22">
        <v>1.9178082191780823E-2</v>
      </c>
      <c r="Y22">
        <v>2.4169256395594564E-2</v>
      </c>
      <c r="Z22" t="s">
        <v>262</v>
      </c>
      <c r="AA22" t="s">
        <v>25</v>
      </c>
      <c r="AC22" t="s">
        <v>22</v>
      </c>
      <c r="AD22" t="s">
        <v>262</v>
      </c>
      <c r="AE22">
        <v>2.0108209408854633E-2</v>
      </c>
      <c r="AG22" t="s">
        <v>99</v>
      </c>
      <c r="AH22" t="s">
        <v>262</v>
      </c>
      <c r="AI22">
        <v>0.11604443548905641</v>
      </c>
    </row>
    <row r="23" spans="3:35" x14ac:dyDescent="0.45">
      <c r="I23" t="s">
        <v>249</v>
      </c>
      <c r="J23" t="s">
        <v>263</v>
      </c>
      <c r="K23">
        <v>2.1487248563208199E-2</v>
      </c>
      <c r="L23" t="s">
        <v>251</v>
      </c>
      <c r="N23" t="s">
        <v>419</v>
      </c>
      <c r="O23" t="s">
        <v>263</v>
      </c>
      <c r="P23">
        <v>6.9159360614657866E-3</v>
      </c>
      <c r="Q23" t="s">
        <v>251</v>
      </c>
      <c r="S23" t="s">
        <v>420</v>
      </c>
      <c r="T23" t="s">
        <v>263</v>
      </c>
      <c r="U23">
        <v>8.3281989093384225E-3</v>
      </c>
      <c r="V23" t="s">
        <v>251</v>
      </c>
      <c r="X23">
        <v>9.5890410958904115E-3</v>
      </c>
      <c r="Y23">
        <v>1.5258931457126519E-2</v>
      </c>
      <c r="Z23" t="s">
        <v>263</v>
      </c>
      <c r="AA23" t="s">
        <v>25</v>
      </c>
      <c r="AC23" t="s">
        <v>22</v>
      </c>
      <c r="AD23" t="s">
        <v>263</v>
      </c>
      <c r="AE23">
        <v>7.3804323982535015E-3</v>
      </c>
      <c r="AG23" t="s">
        <v>99</v>
      </c>
      <c r="AH23" t="s">
        <v>263</v>
      </c>
      <c r="AI23">
        <v>0.11196228135959285</v>
      </c>
    </row>
    <row r="24" spans="3:35" x14ac:dyDescent="0.45">
      <c r="I24" t="s">
        <v>249</v>
      </c>
      <c r="J24" t="s">
        <v>264</v>
      </c>
      <c r="K24">
        <v>5.3228780119697807E-3</v>
      </c>
      <c r="L24" t="s">
        <v>251</v>
      </c>
      <c r="N24" t="s">
        <v>419</v>
      </c>
      <c r="O24" t="s">
        <v>264</v>
      </c>
      <c r="P24">
        <v>2.8972208796751299E-3</v>
      </c>
      <c r="Q24" t="s">
        <v>251</v>
      </c>
      <c r="S24" t="s">
        <v>420</v>
      </c>
      <c r="T24" t="s">
        <v>264</v>
      </c>
      <c r="U24">
        <v>2.8530080087175195E-3</v>
      </c>
      <c r="V24" t="s">
        <v>251</v>
      </c>
      <c r="X24">
        <v>3.1963470319634705E-3</v>
      </c>
      <c r="Y24">
        <v>6.2186642799724884E-3</v>
      </c>
      <c r="Z24" t="s">
        <v>264</v>
      </c>
      <c r="AA24" t="s">
        <v>25</v>
      </c>
      <c r="AC24" t="s">
        <v>22</v>
      </c>
      <c r="AD24" t="s">
        <v>264</v>
      </c>
      <c r="AE24">
        <v>2.3245185630050126E-3</v>
      </c>
      <c r="AG24" t="s">
        <v>99</v>
      </c>
      <c r="AH24" t="s">
        <v>264</v>
      </c>
      <c r="AI24">
        <v>6.2711363706509315E-2</v>
      </c>
    </row>
    <row r="25" spans="3:35" x14ac:dyDescent="0.45">
      <c r="I25" t="s">
        <v>249</v>
      </c>
      <c r="J25" t="s">
        <v>265</v>
      </c>
      <c r="K25">
        <v>3.6504304492904721E-3</v>
      </c>
      <c r="L25" t="s">
        <v>251</v>
      </c>
      <c r="N25" t="s">
        <v>419</v>
      </c>
      <c r="O25" t="s">
        <v>265</v>
      </c>
      <c r="P25">
        <v>3.1606032717252232E-3</v>
      </c>
      <c r="Q25" t="s">
        <v>251</v>
      </c>
      <c r="S25" t="s">
        <v>420</v>
      </c>
      <c r="T25" t="s">
        <v>265</v>
      </c>
      <c r="U25">
        <v>2.841370638053637E-3</v>
      </c>
      <c r="V25" t="s">
        <v>251</v>
      </c>
      <c r="X25">
        <v>3.1963470319634705E-3</v>
      </c>
      <c r="Y25">
        <v>4.8264260083368555E-3</v>
      </c>
      <c r="Z25" t="s">
        <v>265</v>
      </c>
      <c r="AA25" t="s">
        <v>25</v>
      </c>
      <c r="AC25" t="s">
        <v>22</v>
      </c>
      <c r="AD25" t="s">
        <v>265</v>
      </c>
      <c r="AE25">
        <v>2.3297486010799904E-3</v>
      </c>
      <c r="AG25" t="s">
        <v>99</v>
      </c>
      <c r="AH25" t="s">
        <v>265</v>
      </c>
      <c r="AI25">
        <v>5.8752555846999899E-2</v>
      </c>
    </row>
    <row r="26" spans="3:35" x14ac:dyDescent="0.45">
      <c r="I26" t="s">
        <v>249</v>
      </c>
      <c r="J26" t="s">
        <v>266</v>
      </c>
      <c r="K26">
        <v>1.0742479766925439E-3</v>
      </c>
      <c r="L26" t="s">
        <v>251</v>
      </c>
      <c r="N26" t="s">
        <v>419</v>
      </c>
      <c r="O26" t="s">
        <v>266</v>
      </c>
      <c r="P26">
        <v>2.1056926725522049E-2</v>
      </c>
      <c r="Q26" t="s">
        <v>251</v>
      </c>
      <c r="S26" t="s">
        <v>420</v>
      </c>
      <c r="T26" t="s">
        <v>266</v>
      </c>
      <c r="U26">
        <v>1.3771904585956271E-2</v>
      </c>
      <c r="V26" t="s">
        <v>251</v>
      </c>
      <c r="X26">
        <v>1.5981735159817351E-2</v>
      </c>
      <c r="Y26">
        <v>1.2066065020842141E-2</v>
      </c>
      <c r="Z26" t="s">
        <v>266</v>
      </c>
      <c r="AA26" t="s">
        <v>25</v>
      </c>
      <c r="AC26" t="s">
        <v>22</v>
      </c>
      <c r="AD26" t="s">
        <v>266</v>
      </c>
      <c r="AE26">
        <v>1.5517970444668863E-2</v>
      </c>
      <c r="AG26" t="s">
        <v>99</v>
      </c>
      <c r="AH26" t="s">
        <v>266</v>
      </c>
      <c r="AI26">
        <v>0.15352800830975277</v>
      </c>
    </row>
    <row r="27" spans="3:35" x14ac:dyDescent="0.45">
      <c r="I27" t="s">
        <v>249</v>
      </c>
      <c r="J27" t="s">
        <v>267</v>
      </c>
      <c r="K27">
        <v>0</v>
      </c>
      <c r="L27" t="s">
        <v>251</v>
      </c>
      <c r="N27" t="s">
        <v>419</v>
      </c>
      <c r="O27" t="s">
        <v>267</v>
      </c>
      <c r="P27">
        <v>2.8256257914633733E-2</v>
      </c>
      <c r="Q27" t="s">
        <v>251</v>
      </c>
      <c r="S27" t="s">
        <v>420</v>
      </c>
      <c r="T27" t="s">
        <v>267</v>
      </c>
      <c r="U27">
        <v>1.9682460027021023E-2</v>
      </c>
      <c r="V27" t="s">
        <v>251</v>
      </c>
      <c r="X27">
        <v>2.1232876712328767E-2</v>
      </c>
      <c r="Y27">
        <v>4.5420116185598634E-3</v>
      </c>
      <c r="Z27" t="s">
        <v>267</v>
      </c>
      <c r="AA27" t="s">
        <v>25</v>
      </c>
      <c r="AC27" t="s">
        <v>22</v>
      </c>
      <c r="AD27" t="s">
        <v>267</v>
      </c>
      <c r="AE27">
        <v>2.3711587136367566E-2</v>
      </c>
      <c r="AG27" t="s">
        <v>99</v>
      </c>
      <c r="AH27" t="s">
        <v>267</v>
      </c>
      <c r="AI27">
        <v>0.11638577900886826</v>
      </c>
    </row>
    <row r="28" spans="3:35" x14ac:dyDescent="0.45">
      <c r="I28" t="s">
        <v>249</v>
      </c>
      <c r="J28" t="s">
        <v>268</v>
      </c>
      <c r="K28">
        <v>3.8870564019590214E-4</v>
      </c>
      <c r="L28" t="s">
        <v>251</v>
      </c>
      <c r="N28" t="s">
        <v>419</v>
      </c>
      <c r="O28" t="s">
        <v>268</v>
      </c>
      <c r="P28">
        <v>4.3642596673502199E-3</v>
      </c>
      <c r="Q28" t="s">
        <v>251</v>
      </c>
      <c r="S28" t="s">
        <v>420</v>
      </c>
      <c r="T28" t="s">
        <v>268</v>
      </c>
      <c r="U28">
        <v>3.2677551220692386E-3</v>
      </c>
      <c r="V28" t="s">
        <v>251</v>
      </c>
      <c r="X28">
        <v>3.5388127853881279E-3</v>
      </c>
      <c r="Y28">
        <v>5.240782636799844E-3</v>
      </c>
      <c r="Z28" t="s">
        <v>268</v>
      </c>
      <c r="AA28" t="s">
        <v>25</v>
      </c>
      <c r="AC28" t="s">
        <v>22</v>
      </c>
      <c r="AD28" t="s">
        <v>268</v>
      </c>
      <c r="AE28">
        <v>3.9961661127941236E-3</v>
      </c>
      <c r="AG28" t="s">
        <v>99</v>
      </c>
      <c r="AH28" t="s">
        <v>268</v>
      </c>
      <c r="AI28">
        <v>9.82212681904302E-2</v>
      </c>
    </row>
    <row r="29" spans="3:35" x14ac:dyDescent="0.45">
      <c r="I29" t="s">
        <v>249</v>
      </c>
      <c r="J29" t="s">
        <v>269</v>
      </c>
      <c r="K29">
        <v>4.9796343443622004E-3</v>
      </c>
      <c r="L29" t="s">
        <v>251</v>
      </c>
      <c r="N29" t="s">
        <v>419</v>
      </c>
      <c r="O29" t="s">
        <v>269</v>
      </c>
      <c r="P29">
        <v>3.9802360242095422E-3</v>
      </c>
      <c r="Q29" t="s">
        <v>251</v>
      </c>
      <c r="S29" t="s">
        <v>420</v>
      </c>
      <c r="T29" t="s">
        <v>269</v>
      </c>
      <c r="U29">
        <v>3.2577080412417832E-3</v>
      </c>
      <c r="V29" t="s">
        <v>251</v>
      </c>
      <c r="X29">
        <v>3.5388127853881279E-3</v>
      </c>
      <c r="Y29">
        <v>5.9087255218821738E-3</v>
      </c>
      <c r="Z29" t="s">
        <v>269</v>
      </c>
      <c r="AA29" t="s">
        <v>25</v>
      </c>
      <c r="AC29" t="s">
        <v>22</v>
      </c>
      <c r="AD29" t="s">
        <v>269</v>
      </c>
      <c r="AE29">
        <v>3.9885176288667074E-3</v>
      </c>
      <c r="AG29" t="s">
        <v>99</v>
      </c>
      <c r="AH29" t="s">
        <v>269</v>
      </c>
      <c r="AI29">
        <v>6.8143564656164113E-2</v>
      </c>
    </row>
    <row r="30" spans="3:35" x14ac:dyDescent="0.45">
      <c r="I30" t="s">
        <v>249</v>
      </c>
      <c r="J30" t="s">
        <v>270</v>
      </c>
      <c r="K30">
        <v>5.1897645322585798E-2</v>
      </c>
      <c r="L30" t="s">
        <v>251</v>
      </c>
      <c r="N30" t="s">
        <v>419</v>
      </c>
      <c r="O30" t="s">
        <v>270</v>
      </c>
      <c r="P30">
        <v>1.8503689500717891E-2</v>
      </c>
      <c r="Q30" t="s">
        <v>251</v>
      </c>
      <c r="S30" t="s">
        <v>420</v>
      </c>
      <c r="T30" t="s">
        <v>270</v>
      </c>
      <c r="U30">
        <v>1.9330486528263999E-2</v>
      </c>
      <c r="V30" t="s">
        <v>251</v>
      </c>
      <c r="X30">
        <v>2.1232876712328767E-2</v>
      </c>
      <c r="Y30">
        <v>2.6758819580836844E-2</v>
      </c>
      <c r="Z30" t="s">
        <v>270</v>
      </c>
      <c r="AA30" t="s">
        <v>25</v>
      </c>
      <c r="AC30" t="s">
        <v>22</v>
      </c>
      <c r="AD30" t="s">
        <v>270</v>
      </c>
      <c r="AE30">
        <v>2.2135749263266054E-2</v>
      </c>
      <c r="AG30" t="s">
        <v>99</v>
      </c>
      <c r="AH30" t="s">
        <v>270</v>
      </c>
      <c r="AI30">
        <v>0.13173562310592568</v>
      </c>
    </row>
    <row r="31" spans="3:35" x14ac:dyDescent="0.45">
      <c r="I31" t="s">
        <v>249</v>
      </c>
      <c r="J31" t="s">
        <v>271</v>
      </c>
      <c r="K31">
        <v>2.3890633137586399E-2</v>
      </c>
      <c r="L31" t="s">
        <v>251</v>
      </c>
      <c r="N31" t="s">
        <v>419</v>
      </c>
      <c r="O31" t="s">
        <v>271</v>
      </c>
      <c r="P31">
        <v>8.4908130991335727E-3</v>
      </c>
      <c r="Q31" t="s">
        <v>251</v>
      </c>
      <c r="S31" t="s">
        <v>420</v>
      </c>
      <c r="T31" t="s">
        <v>271</v>
      </c>
      <c r="U31">
        <v>9.3069590820403277E-3</v>
      </c>
      <c r="V31" t="s">
        <v>251</v>
      </c>
      <c r="X31">
        <v>1.0616438356164383E-2</v>
      </c>
      <c r="Y31">
        <v>1.6893816970390073E-2</v>
      </c>
      <c r="Z31" t="s">
        <v>271</v>
      </c>
      <c r="AA31" t="s">
        <v>25</v>
      </c>
      <c r="AC31" t="s">
        <v>22</v>
      </c>
      <c r="AD31" t="s">
        <v>271</v>
      </c>
      <c r="AE31">
        <v>8.0994765750551992E-3</v>
      </c>
      <c r="AG31" t="s">
        <v>99</v>
      </c>
      <c r="AH31" t="s">
        <v>271</v>
      </c>
      <c r="AI31">
        <v>8.4242662862822781E-2</v>
      </c>
    </row>
    <row r="32" spans="3:35" x14ac:dyDescent="0.45">
      <c r="I32" t="s">
        <v>249</v>
      </c>
      <c r="J32" t="s">
        <v>272</v>
      </c>
      <c r="K32">
        <v>6.1164188379895998E-3</v>
      </c>
      <c r="L32" t="s">
        <v>251</v>
      </c>
      <c r="N32" t="s">
        <v>419</v>
      </c>
      <c r="O32" t="s">
        <v>272</v>
      </c>
      <c r="P32">
        <v>3.2255779984932246E-3</v>
      </c>
      <c r="Q32" t="s">
        <v>251</v>
      </c>
      <c r="S32" t="s">
        <v>420</v>
      </c>
      <c r="T32" t="s">
        <v>272</v>
      </c>
      <c r="U32">
        <v>3.1185031283167E-3</v>
      </c>
      <c r="V32" t="s">
        <v>251</v>
      </c>
      <c r="X32">
        <v>3.5388127853881279E-3</v>
      </c>
      <c r="Y32">
        <v>6.8849497385409693E-3</v>
      </c>
      <c r="Z32" t="s">
        <v>272</v>
      </c>
      <c r="AA32" t="s">
        <v>25</v>
      </c>
      <c r="AC32" t="s">
        <v>22</v>
      </c>
      <c r="AD32" t="s">
        <v>272</v>
      </c>
      <c r="AE32">
        <v>2.5503286394059593E-3</v>
      </c>
      <c r="AG32" t="s">
        <v>99</v>
      </c>
      <c r="AH32" t="s">
        <v>272</v>
      </c>
      <c r="AI32">
        <v>5.8054213283028178E-2</v>
      </c>
    </row>
    <row r="33" spans="9:35" x14ac:dyDescent="0.45">
      <c r="I33" t="s">
        <v>249</v>
      </c>
      <c r="J33" t="s">
        <v>273</v>
      </c>
      <c r="K33">
        <v>3.7733047864497546E-3</v>
      </c>
      <c r="L33" t="s">
        <v>251</v>
      </c>
      <c r="N33" t="s">
        <v>419</v>
      </c>
      <c r="O33" t="s">
        <v>273</v>
      </c>
      <c r="P33">
        <v>3.419858473822849E-3</v>
      </c>
      <c r="Q33" t="s">
        <v>251</v>
      </c>
      <c r="S33" t="s">
        <v>420</v>
      </c>
      <c r="T33" t="s">
        <v>273</v>
      </c>
      <c r="U33">
        <v>3.1769901080109329E-3</v>
      </c>
      <c r="V33" t="s">
        <v>251</v>
      </c>
      <c r="X33">
        <v>3.5388127853881279E-3</v>
      </c>
      <c r="Y33">
        <v>5.3435430806586613E-3</v>
      </c>
      <c r="Z33" t="s">
        <v>273</v>
      </c>
      <c r="AA33" t="s">
        <v>25</v>
      </c>
      <c r="AC33" t="s">
        <v>22</v>
      </c>
      <c r="AD33" t="s">
        <v>273</v>
      </c>
      <c r="AE33">
        <v>2.5599130713679637E-3</v>
      </c>
      <c r="AG33" t="s">
        <v>99</v>
      </c>
      <c r="AH33" t="s">
        <v>273</v>
      </c>
      <c r="AI33">
        <v>4.435631490733738E-2</v>
      </c>
    </row>
    <row r="34" spans="9:35" x14ac:dyDescent="0.45">
      <c r="I34" t="s">
        <v>249</v>
      </c>
      <c r="J34" t="s">
        <v>274</v>
      </c>
      <c r="K34">
        <v>5.3177883933484631E-5</v>
      </c>
      <c r="L34" t="s">
        <v>251</v>
      </c>
      <c r="N34" t="s">
        <v>419</v>
      </c>
      <c r="O34" t="s">
        <v>274</v>
      </c>
      <c r="P34">
        <v>2.3181079674091134E-2</v>
      </c>
      <c r="Q34" t="s">
        <v>251</v>
      </c>
      <c r="S34" t="s">
        <v>420</v>
      </c>
      <c r="T34" t="s">
        <v>274</v>
      </c>
      <c r="U34">
        <v>1.613114842353618E-2</v>
      </c>
      <c r="V34" t="s">
        <v>251</v>
      </c>
      <c r="X34">
        <v>1.7694063926940638E-2</v>
      </c>
      <c r="Y34">
        <v>1.3358857701646654E-2</v>
      </c>
      <c r="Z34" t="s">
        <v>274</v>
      </c>
      <c r="AA34" t="s">
        <v>25</v>
      </c>
      <c r="AC34" t="s">
        <v>22</v>
      </c>
      <c r="AD34" t="s">
        <v>274</v>
      </c>
      <c r="AE34">
        <v>1.7047916945675982E-2</v>
      </c>
      <c r="AG34" t="s">
        <v>99</v>
      </c>
      <c r="AH34" t="s">
        <v>274</v>
      </c>
      <c r="AI34">
        <v>0.15879766383465954</v>
      </c>
    </row>
    <row r="35" spans="9:35" x14ac:dyDescent="0.45">
      <c r="I35" t="s">
        <v>249</v>
      </c>
      <c r="J35" t="s">
        <v>275</v>
      </c>
      <c r="K35">
        <v>0</v>
      </c>
      <c r="L35" t="s">
        <v>251</v>
      </c>
      <c r="N35" t="s">
        <v>419</v>
      </c>
      <c r="O35" t="s">
        <v>275</v>
      </c>
      <c r="P35">
        <v>2.0389424056945722E-2</v>
      </c>
      <c r="Q35" t="s">
        <v>251</v>
      </c>
      <c r="S35" t="s">
        <v>420</v>
      </c>
      <c r="T35" t="s">
        <v>275</v>
      </c>
      <c r="U35">
        <v>1.9415336490079316E-2</v>
      </c>
      <c r="V35" t="s">
        <v>251</v>
      </c>
      <c r="X35">
        <v>2.0547945205479451E-2</v>
      </c>
      <c r="Y35">
        <v>4.3954951147353507E-3</v>
      </c>
      <c r="Z35" t="s">
        <v>275</v>
      </c>
      <c r="AA35" t="s">
        <v>25</v>
      </c>
      <c r="AC35" t="s">
        <v>22</v>
      </c>
      <c r="AD35" t="s">
        <v>275</v>
      </c>
      <c r="AE35">
        <v>2.2301014114127767E-2</v>
      </c>
      <c r="AG35" t="s">
        <v>99</v>
      </c>
      <c r="AH35" t="s">
        <v>275</v>
      </c>
      <c r="AI35">
        <v>4.9626454518111318E-2</v>
      </c>
    </row>
    <row r="36" spans="9:35" x14ac:dyDescent="0.45">
      <c r="I36" t="s">
        <v>249</v>
      </c>
      <c r="J36" t="s">
        <v>276</v>
      </c>
      <c r="K36">
        <v>2.0517109116268366E-6</v>
      </c>
      <c r="L36" t="s">
        <v>251</v>
      </c>
      <c r="N36" t="s">
        <v>419</v>
      </c>
      <c r="O36" t="s">
        <v>276</v>
      </c>
      <c r="P36">
        <v>3.1607267371689613E-3</v>
      </c>
      <c r="Q36" t="s">
        <v>251</v>
      </c>
      <c r="S36" t="s">
        <v>420</v>
      </c>
      <c r="T36" t="s">
        <v>276</v>
      </c>
      <c r="U36">
        <v>3.2289324244967454E-3</v>
      </c>
      <c r="V36" t="s">
        <v>251</v>
      </c>
      <c r="X36">
        <v>3.4246575342465752E-3</v>
      </c>
      <c r="Y36">
        <v>5.0717251323869452E-3</v>
      </c>
      <c r="Z36" t="s">
        <v>276</v>
      </c>
      <c r="AA36" t="s">
        <v>25</v>
      </c>
      <c r="AC36" t="s">
        <v>22</v>
      </c>
      <c r="AD36" t="s">
        <v>276</v>
      </c>
      <c r="AE36">
        <v>3.73658632681621E-3</v>
      </c>
      <c r="AG36" t="s">
        <v>99</v>
      </c>
      <c r="AH36" t="s">
        <v>276</v>
      </c>
      <c r="AI36">
        <v>4.0869223385679998E-2</v>
      </c>
    </row>
    <row r="37" spans="9:35" x14ac:dyDescent="0.45">
      <c r="I37" t="s">
        <v>249</v>
      </c>
      <c r="J37" t="s">
        <v>277</v>
      </c>
      <c r="K37">
        <v>4.2034545150900051E-3</v>
      </c>
      <c r="L37" t="s">
        <v>251</v>
      </c>
      <c r="N37" t="s">
        <v>419</v>
      </c>
      <c r="O37" t="s">
        <v>277</v>
      </c>
      <c r="P37">
        <v>2.976389370092905E-3</v>
      </c>
      <c r="Q37" t="s">
        <v>251</v>
      </c>
      <c r="S37" t="s">
        <v>420</v>
      </c>
      <c r="T37" t="s">
        <v>277</v>
      </c>
      <c r="U37">
        <v>3.1787996386982288E-3</v>
      </c>
      <c r="V37" t="s">
        <v>251</v>
      </c>
      <c r="X37">
        <v>3.4246575342465752E-3</v>
      </c>
      <c r="Y37">
        <v>5.7181214727892006E-3</v>
      </c>
      <c r="Z37" t="s">
        <v>277</v>
      </c>
      <c r="AA37" t="s">
        <v>25</v>
      </c>
      <c r="AC37" t="s">
        <v>22</v>
      </c>
      <c r="AD37" t="s">
        <v>277</v>
      </c>
      <c r="AE37">
        <v>3.764362713540153E-3</v>
      </c>
      <c r="AG37" t="s">
        <v>99</v>
      </c>
      <c r="AH37" t="s">
        <v>277</v>
      </c>
      <c r="AI37">
        <v>3.5724129158097861E-2</v>
      </c>
    </row>
    <row r="38" spans="9:35" x14ac:dyDescent="0.45">
      <c r="I38" t="s">
        <v>249</v>
      </c>
      <c r="J38" t="s">
        <v>278</v>
      </c>
      <c r="K38">
        <v>4.4356241580810703E-2</v>
      </c>
      <c r="L38" t="s">
        <v>251</v>
      </c>
      <c r="N38" t="s">
        <v>419</v>
      </c>
      <c r="O38" t="s">
        <v>278</v>
      </c>
      <c r="P38">
        <v>1.0653333459856721E-2</v>
      </c>
      <c r="Q38" t="s">
        <v>251</v>
      </c>
      <c r="S38" t="s">
        <v>420</v>
      </c>
      <c r="T38" t="s">
        <v>278</v>
      </c>
      <c r="U38">
        <v>1.8406815010020155E-2</v>
      </c>
      <c r="V38" t="s">
        <v>251</v>
      </c>
      <c r="X38">
        <v>2.0547945205479451E-2</v>
      </c>
      <c r="Y38">
        <v>2.5895631852422749E-2</v>
      </c>
      <c r="Z38" t="s">
        <v>278</v>
      </c>
      <c r="AA38" t="s">
        <v>25</v>
      </c>
      <c r="AC38" t="s">
        <v>22</v>
      </c>
      <c r="AD38" t="s">
        <v>278</v>
      </c>
      <c r="AE38">
        <v>2.1776342412938632E-2</v>
      </c>
      <c r="AG38" t="s">
        <v>99</v>
      </c>
      <c r="AH38" t="s">
        <v>278</v>
      </c>
      <c r="AI38">
        <v>6.7959091165817664E-2</v>
      </c>
    </row>
    <row r="39" spans="9:35" x14ac:dyDescent="0.45">
      <c r="I39" t="s">
        <v>249</v>
      </c>
      <c r="J39" t="s">
        <v>279</v>
      </c>
      <c r="K39">
        <v>2.00173866079956E-2</v>
      </c>
      <c r="L39" t="s">
        <v>251</v>
      </c>
      <c r="N39" t="s">
        <v>419</v>
      </c>
      <c r="O39" t="s">
        <v>279</v>
      </c>
      <c r="P39">
        <v>4.6384492328032031E-3</v>
      </c>
      <c r="Q39" t="s">
        <v>251</v>
      </c>
      <c r="S39" t="s">
        <v>420</v>
      </c>
      <c r="T39" t="s">
        <v>279</v>
      </c>
      <c r="U39">
        <v>9.3006190060524845E-3</v>
      </c>
      <c r="V39" t="s">
        <v>251</v>
      </c>
      <c r="X39">
        <v>1.0273972602739725E-2</v>
      </c>
      <c r="Y39">
        <v>1.6348855132635558E-2</v>
      </c>
      <c r="Z39" t="s">
        <v>279</v>
      </c>
      <c r="AA39" t="s">
        <v>25</v>
      </c>
      <c r="AC39" t="s">
        <v>22</v>
      </c>
      <c r="AD39" t="s">
        <v>279</v>
      </c>
      <c r="AE39">
        <v>8.0391169002698298E-3</v>
      </c>
      <c r="AG39" t="s">
        <v>99</v>
      </c>
      <c r="AH39" t="s">
        <v>279</v>
      </c>
      <c r="AI39">
        <v>0.10474634976168629</v>
      </c>
    </row>
    <row r="40" spans="9:35" x14ac:dyDescent="0.45">
      <c r="I40" t="s">
        <v>249</v>
      </c>
      <c r="J40" t="s">
        <v>280</v>
      </c>
      <c r="K40">
        <v>4.9464738077248001E-3</v>
      </c>
      <c r="L40" t="s">
        <v>251</v>
      </c>
      <c r="N40" t="s">
        <v>419</v>
      </c>
      <c r="O40" t="s">
        <v>280</v>
      </c>
      <c r="P40">
        <v>1.7672870015609293E-3</v>
      </c>
      <c r="Q40" t="s">
        <v>251</v>
      </c>
      <c r="S40" t="s">
        <v>420</v>
      </c>
      <c r="T40" t="s">
        <v>280</v>
      </c>
      <c r="U40">
        <v>3.1644740752954916E-3</v>
      </c>
      <c r="V40" t="s">
        <v>251</v>
      </c>
      <c r="X40">
        <v>3.4246575342465752E-3</v>
      </c>
      <c r="Y40">
        <v>6.662854585684809E-3</v>
      </c>
      <c r="Z40" t="s">
        <v>280</v>
      </c>
      <c r="AA40" t="s">
        <v>25</v>
      </c>
      <c r="AC40" t="s">
        <v>22</v>
      </c>
      <c r="AD40" t="s">
        <v>280</v>
      </c>
      <c r="AE40">
        <v>2.3604012853309128E-3</v>
      </c>
      <c r="AG40" t="s">
        <v>99</v>
      </c>
      <c r="AH40" t="s">
        <v>280</v>
      </c>
      <c r="AI40">
        <v>1.3512367730849295E-2</v>
      </c>
    </row>
    <row r="41" spans="9:35" x14ac:dyDescent="0.45">
      <c r="I41" t="s">
        <v>249</v>
      </c>
      <c r="J41" t="s">
        <v>281</v>
      </c>
      <c r="K41">
        <v>2.0025868097443083E-3</v>
      </c>
      <c r="L41" t="s">
        <v>251</v>
      </c>
      <c r="N41" t="s">
        <v>419</v>
      </c>
      <c r="O41" t="s">
        <v>281</v>
      </c>
      <c r="P41">
        <v>2.0148571403143531E-3</v>
      </c>
      <c r="Q41" t="s">
        <v>251</v>
      </c>
      <c r="S41" t="s">
        <v>420</v>
      </c>
      <c r="T41" t="s">
        <v>281</v>
      </c>
      <c r="U41">
        <v>3.1611429117214063E-3</v>
      </c>
      <c r="V41" t="s">
        <v>251</v>
      </c>
      <c r="X41">
        <v>3.4246575342465752E-3</v>
      </c>
      <c r="Y41">
        <v>5.1711707232180593E-3</v>
      </c>
      <c r="Z41" t="s">
        <v>281</v>
      </c>
      <c r="AA41" t="s">
        <v>25</v>
      </c>
      <c r="AC41" t="s">
        <v>22</v>
      </c>
      <c r="AD41" t="s">
        <v>281</v>
      </c>
      <c r="AE41">
        <v>2.3763594538990973E-3</v>
      </c>
      <c r="AG41" t="s">
        <v>99</v>
      </c>
      <c r="AH41" t="s">
        <v>281</v>
      </c>
      <c r="AI41">
        <v>1.7165333712501507E-2</v>
      </c>
    </row>
    <row r="42" spans="9:35" x14ac:dyDescent="0.45">
      <c r="I42" t="s">
        <v>249</v>
      </c>
      <c r="J42" t="s">
        <v>282</v>
      </c>
      <c r="K42">
        <v>0</v>
      </c>
      <c r="L42" t="s">
        <v>251</v>
      </c>
      <c r="N42" t="s">
        <v>419</v>
      </c>
      <c r="O42" t="s">
        <v>282</v>
      </c>
      <c r="P42">
        <v>1.4925971407484051E-2</v>
      </c>
      <c r="Q42" t="s">
        <v>251</v>
      </c>
      <c r="S42" t="s">
        <v>420</v>
      </c>
      <c r="T42" t="s">
        <v>282</v>
      </c>
      <c r="U42">
        <v>1.5948499659726105E-2</v>
      </c>
      <c r="V42" t="s">
        <v>251</v>
      </c>
      <c r="X42">
        <v>1.7123287671232876E-2</v>
      </c>
      <c r="Y42">
        <v>1.2927926808045149E-2</v>
      </c>
      <c r="Z42" t="s">
        <v>282</v>
      </c>
      <c r="AA42" t="s">
        <v>25</v>
      </c>
      <c r="AC42" t="s">
        <v>22</v>
      </c>
      <c r="AD42" t="s">
        <v>282</v>
      </c>
      <c r="AE42">
        <v>1.5578099873551859E-2</v>
      </c>
      <c r="AG42" t="s">
        <v>99</v>
      </c>
      <c r="AH42" t="s">
        <v>282</v>
      </c>
      <c r="AI42">
        <v>0.17748445228691057</v>
      </c>
    </row>
    <row r="43" spans="9:35" x14ac:dyDescent="0.45">
      <c r="I43" t="s">
        <v>249</v>
      </c>
      <c r="J43" t="s">
        <v>283</v>
      </c>
      <c r="K43">
        <v>0</v>
      </c>
      <c r="L43" t="s">
        <v>251</v>
      </c>
      <c r="N43" t="s">
        <v>419</v>
      </c>
      <c r="O43" t="s">
        <v>283</v>
      </c>
      <c r="P43">
        <v>2.2617567734358284E-2</v>
      </c>
      <c r="Q43" t="s">
        <v>251</v>
      </c>
      <c r="S43" t="s">
        <v>420</v>
      </c>
      <c r="T43" t="s">
        <v>283</v>
      </c>
      <c r="U43">
        <v>1.8121919888916246E-2</v>
      </c>
      <c r="V43" t="s">
        <v>251</v>
      </c>
      <c r="X43">
        <v>2.1232876712328767E-2</v>
      </c>
      <c r="Y43">
        <v>4.5420116185598634E-3</v>
      </c>
      <c r="Z43" t="s">
        <v>283</v>
      </c>
      <c r="AA43" t="s">
        <v>25</v>
      </c>
      <c r="AC43" t="s">
        <v>22</v>
      </c>
      <c r="AD43" t="s">
        <v>283</v>
      </c>
      <c r="AE43">
        <v>2.3166614754246737E-2</v>
      </c>
      <c r="AG43" t="s">
        <v>99</v>
      </c>
      <c r="AH43" t="s">
        <v>283</v>
      </c>
      <c r="AI43">
        <v>7.3161642999288068E-2</v>
      </c>
    </row>
    <row r="44" spans="9:35" x14ac:dyDescent="0.45">
      <c r="I44" t="s">
        <v>249</v>
      </c>
      <c r="J44" t="s">
        <v>284</v>
      </c>
      <c r="K44">
        <v>0</v>
      </c>
      <c r="L44" t="s">
        <v>251</v>
      </c>
      <c r="N44" t="s">
        <v>419</v>
      </c>
      <c r="O44" t="s">
        <v>284</v>
      </c>
      <c r="P44">
        <v>3.6344881186090496E-3</v>
      </c>
      <c r="Q44" t="s">
        <v>251</v>
      </c>
      <c r="S44" t="s">
        <v>420</v>
      </c>
      <c r="T44" t="s">
        <v>284</v>
      </c>
      <c r="U44">
        <v>2.8399858353747587E-3</v>
      </c>
      <c r="V44" t="s">
        <v>251</v>
      </c>
      <c r="X44">
        <v>3.5388127853881279E-3</v>
      </c>
      <c r="Y44">
        <v>5.240782636799844E-3</v>
      </c>
      <c r="Z44" t="s">
        <v>284</v>
      </c>
      <c r="AA44" t="s">
        <v>25</v>
      </c>
      <c r="AC44" t="s">
        <v>22</v>
      </c>
      <c r="AD44" t="s">
        <v>284</v>
      </c>
      <c r="AE44">
        <v>3.8560471526861892E-3</v>
      </c>
      <c r="AG44" t="s">
        <v>99</v>
      </c>
      <c r="AH44" t="s">
        <v>284</v>
      </c>
      <c r="AI44">
        <v>6.2550512635513256E-2</v>
      </c>
    </row>
    <row r="45" spans="9:35" x14ac:dyDescent="0.45">
      <c r="I45" t="s">
        <v>249</v>
      </c>
      <c r="J45" t="s">
        <v>285</v>
      </c>
      <c r="K45">
        <v>1.9086333504159257E-3</v>
      </c>
      <c r="L45" t="s">
        <v>251</v>
      </c>
      <c r="N45" t="s">
        <v>419</v>
      </c>
      <c r="O45" t="s">
        <v>285</v>
      </c>
      <c r="P45">
        <v>3.547331549681293E-3</v>
      </c>
      <c r="Q45" t="s">
        <v>251</v>
      </c>
      <c r="S45" t="s">
        <v>420</v>
      </c>
      <c r="T45" t="s">
        <v>285</v>
      </c>
      <c r="U45">
        <v>2.7677732040331075E-3</v>
      </c>
      <c r="V45" t="s">
        <v>251</v>
      </c>
      <c r="X45">
        <v>3.5388127853881279E-3</v>
      </c>
      <c r="Y45">
        <v>5.9087255218821738E-3</v>
      </c>
      <c r="Z45" t="s">
        <v>285</v>
      </c>
      <c r="AA45" t="s">
        <v>25</v>
      </c>
      <c r="AC45" t="s">
        <v>22</v>
      </c>
      <c r="AD45" t="s">
        <v>285</v>
      </c>
      <c r="AE45">
        <v>3.9229475599983511E-3</v>
      </c>
      <c r="AG45" t="s">
        <v>99</v>
      </c>
      <c r="AH45" t="s">
        <v>285</v>
      </c>
      <c r="AI45">
        <v>4.9077188056095178E-2</v>
      </c>
    </row>
    <row r="46" spans="9:35" x14ac:dyDescent="0.45">
      <c r="I46" t="s">
        <v>249</v>
      </c>
      <c r="J46" t="s">
        <v>286</v>
      </c>
      <c r="K46">
        <v>3.5104076765239058E-2</v>
      </c>
      <c r="L46" t="s">
        <v>251</v>
      </c>
      <c r="N46" t="s">
        <v>419</v>
      </c>
      <c r="O46" t="s">
        <v>286</v>
      </c>
      <c r="P46">
        <v>1.6002628865701567E-2</v>
      </c>
      <c r="Q46" t="s">
        <v>251</v>
      </c>
      <c r="S46" t="s">
        <v>420</v>
      </c>
      <c r="T46" t="s">
        <v>286</v>
      </c>
      <c r="U46">
        <v>1.6256338503658655E-2</v>
      </c>
      <c r="V46" t="s">
        <v>251</v>
      </c>
      <c r="X46">
        <v>2.1232876712328767E-2</v>
      </c>
      <c r="Y46">
        <v>2.6758819580836844E-2</v>
      </c>
      <c r="Z46" t="s">
        <v>286</v>
      </c>
      <c r="AA46" t="s">
        <v>25</v>
      </c>
      <c r="AC46" t="s">
        <v>22</v>
      </c>
      <c r="AD46" t="s">
        <v>286</v>
      </c>
      <c r="AE46">
        <v>2.3201187807762876E-2</v>
      </c>
      <c r="AG46" t="s">
        <v>99</v>
      </c>
      <c r="AH46" t="s">
        <v>286</v>
      </c>
      <c r="AI46">
        <v>0.10990662794279604</v>
      </c>
    </row>
    <row r="47" spans="9:35" x14ac:dyDescent="0.45">
      <c r="I47" t="s">
        <v>249</v>
      </c>
      <c r="J47" t="s">
        <v>287</v>
      </c>
      <c r="K47">
        <v>1.5174667746667668E-2</v>
      </c>
      <c r="L47" t="s">
        <v>251</v>
      </c>
      <c r="N47" t="s">
        <v>419</v>
      </c>
      <c r="O47" t="s">
        <v>287</v>
      </c>
      <c r="P47">
        <v>7.0880973707008509E-3</v>
      </c>
      <c r="Q47" t="s">
        <v>251</v>
      </c>
      <c r="S47" t="s">
        <v>420</v>
      </c>
      <c r="T47" t="s">
        <v>287</v>
      </c>
      <c r="U47">
        <v>8.252896410342582E-3</v>
      </c>
      <c r="V47" t="s">
        <v>251</v>
      </c>
      <c r="X47">
        <v>1.0616438356164383E-2</v>
      </c>
      <c r="Y47">
        <v>1.6893816970390073E-2</v>
      </c>
      <c r="Z47" t="s">
        <v>287</v>
      </c>
      <c r="AA47" t="s">
        <v>25</v>
      </c>
      <c r="AC47" t="s">
        <v>22</v>
      </c>
      <c r="AD47" t="s">
        <v>287</v>
      </c>
      <c r="AE47">
        <v>8.5348682936509154E-3</v>
      </c>
      <c r="AG47" t="s">
        <v>99</v>
      </c>
      <c r="AH47" t="s">
        <v>287</v>
      </c>
      <c r="AI47">
        <v>9.1876227455286008E-2</v>
      </c>
    </row>
    <row r="48" spans="9:35" x14ac:dyDescent="0.45">
      <c r="I48" t="s">
        <v>249</v>
      </c>
      <c r="J48" t="s">
        <v>288</v>
      </c>
      <c r="K48">
        <v>3.5448947224891443E-3</v>
      </c>
      <c r="L48" t="s">
        <v>251</v>
      </c>
      <c r="N48" t="s">
        <v>419</v>
      </c>
      <c r="O48" t="s">
        <v>288</v>
      </c>
      <c r="P48">
        <v>2.4027081750016607E-3</v>
      </c>
      <c r="Q48" t="s">
        <v>251</v>
      </c>
      <c r="S48" t="s">
        <v>420</v>
      </c>
      <c r="T48" t="s">
        <v>288</v>
      </c>
      <c r="U48">
        <v>2.9068127754390887E-3</v>
      </c>
      <c r="V48" t="s">
        <v>251</v>
      </c>
      <c r="X48">
        <v>3.5388127853881279E-3</v>
      </c>
      <c r="Y48">
        <v>6.8849497385409693E-3</v>
      </c>
      <c r="Z48" t="s">
        <v>288</v>
      </c>
      <c r="AA48" t="s">
        <v>25</v>
      </c>
      <c r="AC48" t="s">
        <v>22</v>
      </c>
      <c r="AD48" t="s">
        <v>288</v>
      </c>
      <c r="AE48">
        <v>2.4583760663985628E-3</v>
      </c>
      <c r="AG48" t="s">
        <v>99</v>
      </c>
      <c r="AH48" t="s">
        <v>288</v>
      </c>
      <c r="AI48">
        <v>1.0080620446456745E-2</v>
      </c>
    </row>
    <row r="49" spans="9:35" x14ac:dyDescent="0.45">
      <c r="I49" t="s">
        <v>249</v>
      </c>
      <c r="J49" t="s">
        <v>289</v>
      </c>
      <c r="K49">
        <v>5.2343147353180468E-4</v>
      </c>
      <c r="L49" t="s">
        <v>251</v>
      </c>
      <c r="N49" t="s">
        <v>419</v>
      </c>
      <c r="O49" t="s">
        <v>289</v>
      </c>
      <c r="P49">
        <v>2.6989413513743396E-3</v>
      </c>
      <c r="Q49" t="s">
        <v>251</v>
      </c>
      <c r="S49" t="s">
        <v>420</v>
      </c>
      <c r="T49" t="s">
        <v>289</v>
      </c>
      <c r="U49">
        <v>2.9667193514552386E-3</v>
      </c>
      <c r="V49" t="s">
        <v>251</v>
      </c>
      <c r="X49">
        <v>3.5388127853881279E-3</v>
      </c>
      <c r="Y49">
        <v>5.3435430806586613E-3</v>
      </c>
      <c r="Z49" t="s">
        <v>289</v>
      </c>
      <c r="AA49" t="s">
        <v>25</v>
      </c>
      <c r="AC49" t="s">
        <v>22</v>
      </c>
      <c r="AD49" t="s">
        <v>289</v>
      </c>
      <c r="AE49">
        <v>2.4833229906104171E-3</v>
      </c>
      <c r="AG49" t="s">
        <v>99</v>
      </c>
      <c r="AH49" t="s">
        <v>289</v>
      </c>
      <c r="AI49">
        <v>1.2916306074604922E-2</v>
      </c>
    </row>
    <row r="50" spans="9:35" x14ac:dyDescent="0.45">
      <c r="I50" t="s">
        <v>249</v>
      </c>
      <c r="J50" t="s">
        <v>290</v>
      </c>
      <c r="K50">
        <v>0</v>
      </c>
      <c r="L50" t="s">
        <v>251</v>
      </c>
      <c r="N50" t="s">
        <v>419</v>
      </c>
      <c r="O50" t="s">
        <v>290</v>
      </c>
      <c r="P50">
        <v>1.7466729395622826E-2</v>
      </c>
      <c r="Q50" t="s">
        <v>251</v>
      </c>
      <c r="S50" t="s">
        <v>420</v>
      </c>
      <c r="T50" t="s">
        <v>290</v>
      </c>
      <c r="U50">
        <v>1.5286969146846846E-2</v>
      </c>
      <c r="V50" t="s">
        <v>251</v>
      </c>
      <c r="X50">
        <v>1.7694063926940638E-2</v>
      </c>
      <c r="Y50">
        <v>1.3358857701646654E-2</v>
      </c>
      <c r="Z50" t="s">
        <v>290</v>
      </c>
      <c r="AA50" t="s">
        <v>25</v>
      </c>
      <c r="AC50" t="s">
        <v>22</v>
      </c>
      <c r="AD50" t="s">
        <v>290</v>
      </c>
      <c r="AE50">
        <v>1.6214694812859108E-2</v>
      </c>
      <c r="AG50" t="s">
        <v>99</v>
      </c>
      <c r="AH50" t="s">
        <v>290</v>
      </c>
      <c r="AI50">
        <v>0.2208955727201567</v>
      </c>
    </row>
    <row r="51" spans="9:35" x14ac:dyDescent="0.45">
      <c r="I51" t="s">
        <v>249</v>
      </c>
      <c r="J51" t="s">
        <v>291</v>
      </c>
      <c r="K51">
        <v>0</v>
      </c>
      <c r="L51" t="s">
        <v>251</v>
      </c>
      <c r="N51" t="s">
        <v>419</v>
      </c>
      <c r="O51" t="s">
        <v>291</v>
      </c>
      <c r="P51">
        <v>1.7340868915542245E-2</v>
      </c>
      <c r="Q51" t="s">
        <v>251</v>
      </c>
      <c r="S51" t="s">
        <v>420</v>
      </c>
      <c r="T51" t="s">
        <v>291</v>
      </c>
      <c r="U51">
        <v>1.8864943552373975E-2</v>
      </c>
      <c r="V51" t="s">
        <v>251</v>
      </c>
      <c r="X51">
        <v>2.0547945205479451E-2</v>
      </c>
      <c r="Y51">
        <v>4.3954951147353507E-3</v>
      </c>
      <c r="Z51" t="s">
        <v>291</v>
      </c>
      <c r="AA51" t="s">
        <v>25</v>
      </c>
      <c r="AC51" t="s">
        <v>22</v>
      </c>
      <c r="AD51" t="s">
        <v>291</v>
      </c>
      <c r="AE51">
        <v>2.2955528520385966E-2</v>
      </c>
      <c r="AG51" t="s">
        <v>99</v>
      </c>
      <c r="AH51" t="s">
        <v>291</v>
      </c>
      <c r="AI51">
        <v>0.1368158424699597</v>
      </c>
    </row>
    <row r="52" spans="9:35" x14ac:dyDescent="0.45">
      <c r="I52" t="s">
        <v>249</v>
      </c>
      <c r="J52" t="s">
        <v>292</v>
      </c>
      <c r="K52">
        <v>0</v>
      </c>
      <c r="L52" t="s">
        <v>251</v>
      </c>
      <c r="N52" t="s">
        <v>419</v>
      </c>
      <c r="O52" t="s">
        <v>292</v>
      </c>
      <c r="P52">
        <v>2.7552928987548846E-3</v>
      </c>
      <c r="Q52" t="s">
        <v>251</v>
      </c>
      <c r="S52" t="s">
        <v>420</v>
      </c>
      <c r="T52" t="s">
        <v>292</v>
      </c>
      <c r="U52">
        <v>3.1101829685349714E-3</v>
      </c>
      <c r="V52" t="s">
        <v>251</v>
      </c>
      <c r="X52">
        <v>3.4246575342465752E-3</v>
      </c>
      <c r="Y52">
        <v>5.0717251323869452E-3</v>
      </c>
      <c r="Z52" t="s">
        <v>292</v>
      </c>
      <c r="AA52" t="s">
        <v>25</v>
      </c>
      <c r="AC52" t="s">
        <v>22</v>
      </c>
      <c r="AD52" t="s">
        <v>292</v>
      </c>
      <c r="AE52">
        <v>3.8203230554658455E-3</v>
      </c>
      <c r="AG52" t="s">
        <v>99</v>
      </c>
      <c r="AH52" t="s">
        <v>292</v>
      </c>
      <c r="AI52">
        <v>8.4963074613875866E-2</v>
      </c>
    </row>
    <row r="53" spans="9:35" x14ac:dyDescent="0.45">
      <c r="I53" t="s">
        <v>249</v>
      </c>
      <c r="J53" t="s">
        <v>293</v>
      </c>
      <c r="K53">
        <v>5.1664096297965019E-4</v>
      </c>
      <c r="L53" t="s">
        <v>251</v>
      </c>
      <c r="N53" t="s">
        <v>419</v>
      </c>
      <c r="O53" t="s">
        <v>293</v>
      </c>
      <c r="P53">
        <v>2.7180358188899733E-3</v>
      </c>
      <c r="Q53" t="s">
        <v>251</v>
      </c>
      <c r="S53" t="s">
        <v>420</v>
      </c>
      <c r="T53" t="s">
        <v>293</v>
      </c>
      <c r="U53">
        <v>3.0544010204013551E-3</v>
      </c>
      <c r="V53" t="s">
        <v>251</v>
      </c>
      <c r="X53">
        <v>3.4246575342465752E-3</v>
      </c>
      <c r="Y53">
        <v>5.7181214727892006E-3</v>
      </c>
      <c r="Z53" t="s">
        <v>293</v>
      </c>
      <c r="AA53" t="s">
        <v>25</v>
      </c>
      <c r="AC53" t="s">
        <v>22</v>
      </c>
      <c r="AD53" t="s">
        <v>293</v>
      </c>
      <c r="AE53">
        <v>4.0761958180064832E-3</v>
      </c>
      <c r="AG53" t="s">
        <v>99</v>
      </c>
      <c r="AH53" t="s">
        <v>293</v>
      </c>
      <c r="AI53">
        <v>0.10211568961303708</v>
      </c>
    </row>
    <row r="54" spans="9:35" x14ac:dyDescent="0.45">
      <c r="I54" t="s">
        <v>249</v>
      </c>
      <c r="J54" t="s">
        <v>294</v>
      </c>
      <c r="K54">
        <v>2.5313402061503336E-2</v>
      </c>
      <c r="L54" t="s">
        <v>251</v>
      </c>
      <c r="N54" t="s">
        <v>419</v>
      </c>
      <c r="O54" t="s">
        <v>294</v>
      </c>
      <c r="P54">
        <v>1.3001790071911381E-2</v>
      </c>
      <c r="Q54" t="s">
        <v>251</v>
      </c>
      <c r="S54" t="s">
        <v>420</v>
      </c>
      <c r="T54" t="s">
        <v>294</v>
      </c>
      <c r="U54">
        <v>1.8822276218912571E-2</v>
      </c>
      <c r="V54" t="s">
        <v>251</v>
      </c>
      <c r="X54">
        <v>2.0547945205479451E-2</v>
      </c>
      <c r="Y54">
        <v>2.5895631852422749E-2</v>
      </c>
      <c r="Z54" t="s">
        <v>294</v>
      </c>
      <c r="AA54" t="s">
        <v>25</v>
      </c>
      <c r="AC54" t="s">
        <v>22</v>
      </c>
      <c r="AD54" t="s">
        <v>294</v>
      </c>
      <c r="AE54">
        <v>2.440190210246063E-2</v>
      </c>
      <c r="AG54" t="s">
        <v>99</v>
      </c>
      <c r="AH54" t="s">
        <v>294</v>
      </c>
      <c r="AI54">
        <v>0.16085381902352625</v>
      </c>
    </row>
    <row r="55" spans="9:35" x14ac:dyDescent="0.45">
      <c r="I55" t="s">
        <v>249</v>
      </c>
      <c r="J55" t="s">
        <v>295</v>
      </c>
      <c r="K55">
        <v>1.0915804255623635E-2</v>
      </c>
      <c r="L55" t="s">
        <v>251</v>
      </c>
      <c r="N55" t="s">
        <v>419</v>
      </c>
      <c r="O55" t="s">
        <v>295</v>
      </c>
      <c r="P55">
        <v>5.7318627451893979E-3</v>
      </c>
      <c r="Q55" t="s">
        <v>251</v>
      </c>
      <c r="S55" t="s">
        <v>420</v>
      </c>
      <c r="T55" t="s">
        <v>295</v>
      </c>
      <c r="U55">
        <v>9.0860524469073053E-3</v>
      </c>
      <c r="V55" t="s">
        <v>251</v>
      </c>
      <c r="X55">
        <v>1.0273972602739725E-2</v>
      </c>
      <c r="Y55">
        <v>1.6348855132635558E-2</v>
      </c>
      <c r="Z55" t="s">
        <v>295</v>
      </c>
      <c r="AA55" t="s">
        <v>25</v>
      </c>
      <c r="AC55" t="s">
        <v>22</v>
      </c>
      <c r="AD55" t="s">
        <v>295</v>
      </c>
      <c r="AE55">
        <v>8.6070660549668089E-3</v>
      </c>
      <c r="AG55" t="s">
        <v>99</v>
      </c>
      <c r="AH55" t="s">
        <v>295</v>
      </c>
      <c r="AI55">
        <v>0.12151799281777786</v>
      </c>
    </row>
    <row r="56" spans="9:35" x14ac:dyDescent="0.45">
      <c r="I56" t="s">
        <v>249</v>
      </c>
      <c r="J56" t="s">
        <v>296</v>
      </c>
      <c r="K56">
        <v>2.1904667473554716E-3</v>
      </c>
      <c r="L56" t="s">
        <v>251</v>
      </c>
      <c r="N56" t="s">
        <v>419</v>
      </c>
      <c r="O56" t="s">
        <v>296</v>
      </c>
      <c r="P56">
        <v>2.0131938008820637E-3</v>
      </c>
      <c r="Q56" t="s">
        <v>251</v>
      </c>
      <c r="S56" t="s">
        <v>420</v>
      </c>
      <c r="T56" t="s">
        <v>296</v>
      </c>
      <c r="U56">
        <v>3.0559456703755242E-3</v>
      </c>
      <c r="V56" t="s">
        <v>251</v>
      </c>
      <c r="X56">
        <v>3.4246575342465752E-3</v>
      </c>
      <c r="Y56">
        <v>6.662854585684809E-3</v>
      </c>
      <c r="Z56" t="s">
        <v>296</v>
      </c>
      <c r="AA56" t="s">
        <v>25</v>
      </c>
      <c r="AC56" t="s">
        <v>22</v>
      </c>
      <c r="AD56" t="s">
        <v>296</v>
      </c>
      <c r="AE56">
        <v>2.4739813975291143E-3</v>
      </c>
      <c r="AG56" t="s">
        <v>99</v>
      </c>
      <c r="AH56" t="s">
        <v>296</v>
      </c>
      <c r="AI56">
        <v>2.421008080136855E-2</v>
      </c>
    </row>
    <row r="57" spans="9:35" x14ac:dyDescent="0.45">
      <c r="I57" t="s">
        <v>249</v>
      </c>
      <c r="J57" t="s">
        <v>297</v>
      </c>
      <c r="K57">
        <v>1.783929352176636E-4</v>
      </c>
      <c r="L57" t="s">
        <v>251</v>
      </c>
      <c r="N57" t="s">
        <v>419</v>
      </c>
      <c r="O57" t="s">
        <v>297</v>
      </c>
      <c r="P57">
        <v>2.3135969986204778E-3</v>
      </c>
      <c r="Q57" t="s">
        <v>251</v>
      </c>
      <c r="S57" t="s">
        <v>420</v>
      </c>
      <c r="T57" t="s">
        <v>297</v>
      </c>
      <c r="U57">
        <v>3.1215446196545945E-3</v>
      </c>
      <c r="V57" t="s">
        <v>251</v>
      </c>
      <c r="X57">
        <v>3.4246575342465752E-3</v>
      </c>
      <c r="Y57">
        <v>5.1711707232180593E-3</v>
      </c>
      <c r="Z57" t="s">
        <v>297</v>
      </c>
      <c r="AA57" t="s">
        <v>25</v>
      </c>
      <c r="AC57" t="s">
        <v>22</v>
      </c>
      <c r="AD57" t="s">
        <v>297</v>
      </c>
      <c r="AE57">
        <v>2.4983207318962672E-3</v>
      </c>
      <c r="AG57" t="s">
        <v>99</v>
      </c>
      <c r="AH57" t="s">
        <v>297</v>
      </c>
      <c r="AI57">
        <v>3.4142395931153091E-2</v>
      </c>
    </row>
    <row r="58" spans="9:35" x14ac:dyDescent="0.45">
      <c r="I58" t="s">
        <v>249</v>
      </c>
      <c r="J58" t="s">
        <v>298</v>
      </c>
      <c r="K58">
        <v>0</v>
      </c>
      <c r="L58" t="s">
        <v>251</v>
      </c>
      <c r="N58" t="s">
        <v>419</v>
      </c>
      <c r="O58" t="s">
        <v>298</v>
      </c>
      <c r="P58">
        <v>1.4668225626252696E-2</v>
      </c>
      <c r="Q58" t="s">
        <v>251</v>
      </c>
      <c r="S58" t="s">
        <v>420</v>
      </c>
      <c r="T58" t="s">
        <v>298</v>
      </c>
      <c r="U58">
        <v>1.5638166370706395E-2</v>
      </c>
      <c r="V58" t="s">
        <v>251</v>
      </c>
      <c r="X58">
        <v>1.7123287671232876E-2</v>
      </c>
      <c r="Y58">
        <v>1.2927926808045149E-2</v>
      </c>
      <c r="Z58" t="s">
        <v>298</v>
      </c>
      <c r="AA58" t="s">
        <v>25</v>
      </c>
      <c r="AC58" t="s">
        <v>22</v>
      </c>
      <c r="AD58" t="s">
        <v>298</v>
      </c>
      <c r="AE58">
        <v>1.681848921412674E-2</v>
      </c>
      <c r="AG58" t="s">
        <v>99</v>
      </c>
      <c r="AH58" t="s">
        <v>298</v>
      </c>
      <c r="AI58">
        <v>0.23954895810254562</v>
      </c>
    </row>
    <row r="59" spans="9:35" x14ac:dyDescent="0.45">
      <c r="I59" t="s">
        <v>249</v>
      </c>
      <c r="J59" t="s">
        <v>323</v>
      </c>
      <c r="K59">
        <v>0</v>
      </c>
      <c r="L59" t="s">
        <v>251</v>
      </c>
      <c r="N59" t="s">
        <v>419</v>
      </c>
      <c r="O59" t="s">
        <v>323</v>
      </c>
      <c r="P59">
        <v>2.4141775459495713E-2</v>
      </c>
      <c r="Q59" t="s">
        <v>251</v>
      </c>
      <c r="S59" t="s">
        <v>420</v>
      </c>
      <c r="T59" t="s">
        <v>323</v>
      </c>
      <c r="U59">
        <v>2.2693313561102026E-2</v>
      </c>
      <c r="V59" t="s">
        <v>251</v>
      </c>
      <c r="X59">
        <v>2.1232876712328767E-2</v>
      </c>
      <c r="Y59">
        <v>4.5420116185598634E-3</v>
      </c>
      <c r="Z59" t="s">
        <v>323</v>
      </c>
      <c r="AA59" t="s">
        <v>25</v>
      </c>
      <c r="AC59" t="s">
        <v>22</v>
      </c>
      <c r="AD59" t="s">
        <v>323</v>
      </c>
      <c r="AE59">
        <v>2.3979920575086799E-2</v>
      </c>
      <c r="AG59" t="s">
        <v>99</v>
      </c>
      <c r="AH59" t="s">
        <v>323</v>
      </c>
      <c r="AI59">
        <v>0.1032275574828907</v>
      </c>
    </row>
    <row r="60" spans="9:35" x14ac:dyDescent="0.45">
      <c r="I60" t="s">
        <v>249</v>
      </c>
      <c r="J60" t="s">
        <v>324</v>
      </c>
      <c r="K60">
        <v>0</v>
      </c>
      <c r="L60" t="s">
        <v>251</v>
      </c>
      <c r="N60" t="s">
        <v>419</v>
      </c>
      <c r="O60" t="s">
        <v>324</v>
      </c>
      <c r="P60">
        <v>3.8362604124315223E-3</v>
      </c>
      <c r="Q60" t="s">
        <v>251</v>
      </c>
      <c r="S60" t="s">
        <v>420</v>
      </c>
      <c r="T60" t="s">
        <v>324</v>
      </c>
      <c r="U60">
        <v>3.686837046252508E-3</v>
      </c>
      <c r="V60" t="s">
        <v>251</v>
      </c>
      <c r="X60">
        <v>3.5388127853881279E-3</v>
      </c>
      <c r="Y60">
        <v>5.240782636799844E-3</v>
      </c>
      <c r="Z60" t="s">
        <v>324</v>
      </c>
      <c r="AA60" t="s">
        <v>25</v>
      </c>
      <c r="AC60" t="s">
        <v>22</v>
      </c>
      <c r="AD60" t="s">
        <v>324</v>
      </c>
      <c r="AE60">
        <v>3.986693721138578E-3</v>
      </c>
      <c r="AG60" t="s">
        <v>99</v>
      </c>
      <c r="AH60" t="s">
        <v>324</v>
      </c>
      <c r="AI60">
        <v>5.6498111575230325E-2</v>
      </c>
    </row>
    <row r="61" spans="9:35" x14ac:dyDescent="0.45">
      <c r="I61" t="s">
        <v>249</v>
      </c>
      <c r="J61" t="s">
        <v>325</v>
      </c>
      <c r="K61">
        <v>7.8052309015312832E-4</v>
      </c>
      <c r="L61" t="s">
        <v>251</v>
      </c>
      <c r="N61" t="s">
        <v>419</v>
      </c>
      <c r="O61" t="s">
        <v>325</v>
      </c>
      <c r="P61">
        <v>3.7884128657880421E-3</v>
      </c>
      <c r="Q61" t="s">
        <v>251</v>
      </c>
      <c r="S61" t="s">
        <v>420</v>
      </c>
      <c r="T61" t="s">
        <v>325</v>
      </c>
      <c r="U61">
        <v>3.5999580091018047E-3</v>
      </c>
      <c r="V61" t="s">
        <v>251</v>
      </c>
      <c r="X61">
        <v>3.5388127853881279E-3</v>
      </c>
      <c r="Y61">
        <v>5.9087255218821738E-3</v>
      </c>
      <c r="Z61" t="s">
        <v>325</v>
      </c>
      <c r="AA61" t="s">
        <v>25</v>
      </c>
      <c r="AC61" t="s">
        <v>22</v>
      </c>
      <c r="AD61" t="s">
        <v>325</v>
      </c>
      <c r="AE61">
        <v>4.2316119961850413E-3</v>
      </c>
      <c r="AG61" t="s">
        <v>99</v>
      </c>
      <c r="AH61" t="s">
        <v>325</v>
      </c>
      <c r="AI61">
        <v>9.3579735387869789E-2</v>
      </c>
    </row>
    <row r="62" spans="9:35" x14ac:dyDescent="0.45">
      <c r="I62" t="s">
        <v>249</v>
      </c>
      <c r="J62" t="s">
        <v>326</v>
      </c>
      <c r="K62">
        <v>3.598844042367861E-2</v>
      </c>
      <c r="L62" t="s">
        <v>251</v>
      </c>
      <c r="N62" t="s">
        <v>419</v>
      </c>
      <c r="O62" t="s">
        <v>326</v>
      </c>
      <c r="P62">
        <v>1.7718370554977197E-2</v>
      </c>
      <c r="Q62" t="s">
        <v>251</v>
      </c>
      <c r="S62" t="s">
        <v>420</v>
      </c>
      <c r="T62" t="s">
        <v>326</v>
      </c>
      <c r="U62">
        <v>2.1919812724936486E-2</v>
      </c>
      <c r="V62" t="s">
        <v>251</v>
      </c>
      <c r="X62">
        <v>2.1232876712328767E-2</v>
      </c>
      <c r="Y62">
        <v>2.6758819580836844E-2</v>
      </c>
      <c r="Z62" t="s">
        <v>326</v>
      </c>
      <c r="AA62" t="s">
        <v>25</v>
      </c>
      <c r="AC62" t="s">
        <v>22</v>
      </c>
      <c r="AD62" t="s">
        <v>326</v>
      </c>
      <c r="AE62">
        <v>2.52893600851027E-2</v>
      </c>
      <c r="AG62" t="s">
        <v>99</v>
      </c>
      <c r="AH62" t="s">
        <v>326</v>
      </c>
      <c r="AI62">
        <v>0.13028808653136692</v>
      </c>
    </row>
    <row r="63" spans="9:35" x14ac:dyDescent="0.45">
      <c r="I63" t="s">
        <v>249</v>
      </c>
      <c r="J63" t="s">
        <v>327</v>
      </c>
      <c r="K63">
        <v>1.6768638501399199E-2</v>
      </c>
      <c r="L63" t="s">
        <v>251</v>
      </c>
      <c r="N63" t="s">
        <v>419</v>
      </c>
      <c r="O63" t="s">
        <v>327</v>
      </c>
      <c r="P63">
        <v>8.0509621699873263E-3</v>
      </c>
      <c r="Q63" t="s">
        <v>251</v>
      </c>
      <c r="S63" t="s">
        <v>420</v>
      </c>
      <c r="T63" t="s">
        <v>327</v>
      </c>
      <c r="U63">
        <v>1.0995196107660529E-2</v>
      </c>
      <c r="V63" t="s">
        <v>251</v>
      </c>
      <c r="X63">
        <v>1.0616438356164383E-2</v>
      </c>
      <c r="Y63">
        <v>1.6893816970390073E-2</v>
      </c>
      <c r="Z63" t="s">
        <v>327</v>
      </c>
      <c r="AA63" t="s">
        <v>25</v>
      </c>
      <c r="AC63" t="s">
        <v>22</v>
      </c>
      <c r="AD63" t="s">
        <v>327</v>
      </c>
      <c r="AE63">
        <v>8.9752722242677878E-3</v>
      </c>
      <c r="AG63" t="s">
        <v>99</v>
      </c>
      <c r="AH63" t="s">
        <v>327</v>
      </c>
      <c r="AI63">
        <v>0.11180787818753379</v>
      </c>
    </row>
    <row r="64" spans="9:35" x14ac:dyDescent="0.45">
      <c r="I64" t="s">
        <v>249</v>
      </c>
      <c r="J64" t="s">
        <v>328</v>
      </c>
      <c r="K64">
        <v>3.9152964462415398E-3</v>
      </c>
      <c r="L64" t="s">
        <v>251</v>
      </c>
      <c r="N64" t="s">
        <v>419</v>
      </c>
      <c r="O64" t="s">
        <v>328</v>
      </c>
      <c r="P64">
        <v>2.6456635384339232E-3</v>
      </c>
      <c r="Q64" t="s">
        <v>251</v>
      </c>
      <c r="S64" t="s">
        <v>420</v>
      </c>
      <c r="T64" t="s">
        <v>328</v>
      </c>
      <c r="U64">
        <v>3.6218907938387621E-3</v>
      </c>
      <c r="V64" t="s">
        <v>251</v>
      </c>
      <c r="X64">
        <v>3.5388127853881279E-3</v>
      </c>
      <c r="Y64">
        <v>6.8849497385409693E-3</v>
      </c>
      <c r="Z64" t="s">
        <v>328</v>
      </c>
      <c r="AA64" t="s">
        <v>25</v>
      </c>
      <c r="AC64" t="s">
        <v>22</v>
      </c>
      <c r="AD64" t="s">
        <v>328</v>
      </c>
      <c r="AE64">
        <v>2.5747442735004709E-3</v>
      </c>
      <c r="AG64" t="s">
        <v>99</v>
      </c>
      <c r="AH64" t="s">
        <v>328</v>
      </c>
      <c r="AI64">
        <v>2.9026495980946754E-2</v>
      </c>
    </row>
    <row r="65" spans="9:35" x14ac:dyDescent="0.45">
      <c r="I65" t="s">
        <v>249</v>
      </c>
      <c r="J65" t="s">
        <v>329</v>
      </c>
      <c r="K65">
        <v>9.7688216512112434E-4</v>
      </c>
      <c r="L65" t="s">
        <v>251</v>
      </c>
      <c r="N65" t="s">
        <v>419</v>
      </c>
      <c r="O65" t="s">
        <v>329</v>
      </c>
      <c r="P65">
        <v>2.930497437883046E-3</v>
      </c>
      <c r="Q65" t="s">
        <v>251</v>
      </c>
      <c r="S65" t="s">
        <v>420</v>
      </c>
      <c r="T65" t="s">
        <v>329</v>
      </c>
      <c r="U65">
        <v>3.5799806164893669E-3</v>
      </c>
      <c r="V65" t="s">
        <v>251</v>
      </c>
      <c r="X65">
        <v>3.5388127853881279E-3</v>
      </c>
      <c r="Y65">
        <v>5.3435430806586613E-3</v>
      </c>
      <c r="Z65" t="s">
        <v>329</v>
      </c>
      <c r="AA65" t="s">
        <v>25</v>
      </c>
      <c r="AC65" t="s">
        <v>22</v>
      </c>
      <c r="AD65" t="s">
        <v>329</v>
      </c>
      <c r="AE65">
        <v>2.6002451766883763E-3</v>
      </c>
      <c r="AG65" t="s">
        <v>99</v>
      </c>
      <c r="AH65" t="s">
        <v>329</v>
      </c>
      <c r="AI65">
        <v>3.6642143420682283E-2</v>
      </c>
    </row>
    <row r="66" spans="9:35" x14ac:dyDescent="0.45">
      <c r="I66" t="s">
        <v>249</v>
      </c>
      <c r="J66" t="s">
        <v>330</v>
      </c>
      <c r="K66">
        <v>0</v>
      </c>
      <c r="L66" t="s">
        <v>251</v>
      </c>
      <c r="N66" t="s">
        <v>419</v>
      </c>
      <c r="O66" t="s">
        <v>330</v>
      </c>
      <c r="P66">
        <v>1.9050993178450711E-2</v>
      </c>
      <c r="Q66" t="s">
        <v>251</v>
      </c>
      <c r="S66" t="s">
        <v>420</v>
      </c>
      <c r="T66" t="s">
        <v>330</v>
      </c>
      <c r="U66">
        <v>1.8281068833678568E-2</v>
      </c>
      <c r="V66" t="s">
        <v>251</v>
      </c>
      <c r="X66">
        <v>1.7694063926940638E-2</v>
      </c>
      <c r="Y66">
        <v>1.3358857701646654E-2</v>
      </c>
      <c r="Z66" t="s">
        <v>330</v>
      </c>
      <c r="AA66" t="s">
        <v>25</v>
      </c>
      <c r="AC66" t="s">
        <v>22</v>
      </c>
      <c r="AD66" t="s">
        <v>330</v>
      </c>
      <c r="AE66">
        <v>1.7683837421870352E-2</v>
      </c>
      <c r="AG66" t="s">
        <v>99</v>
      </c>
      <c r="AH66" t="s">
        <v>330</v>
      </c>
      <c r="AI66">
        <v>0.20480196779357418</v>
      </c>
    </row>
    <row r="67" spans="9:35" x14ac:dyDescent="0.45">
      <c r="I67" t="s">
        <v>249</v>
      </c>
      <c r="J67" t="s">
        <v>331</v>
      </c>
      <c r="K67">
        <v>0</v>
      </c>
      <c r="L67" t="s">
        <v>251</v>
      </c>
      <c r="N67" t="s">
        <v>419</v>
      </c>
      <c r="O67" t="s">
        <v>331</v>
      </c>
      <c r="P67">
        <v>2.1974063560462369E-2</v>
      </c>
      <c r="Q67" t="s">
        <v>251</v>
      </c>
      <c r="S67" t="s">
        <v>420</v>
      </c>
      <c r="T67" t="s">
        <v>331</v>
      </c>
      <c r="U67">
        <v>2.7283751510667056E-2</v>
      </c>
      <c r="V67" t="s">
        <v>251</v>
      </c>
      <c r="X67">
        <v>2.1232876712328767E-2</v>
      </c>
      <c r="Y67">
        <v>4.5420116185598634E-3</v>
      </c>
      <c r="Z67" t="s">
        <v>331</v>
      </c>
      <c r="AA67" t="s">
        <v>25</v>
      </c>
      <c r="AC67" t="s">
        <v>22</v>
      </c>
      <c r="AD67" t="s">
        <v>331</v>
      </c>
      <c r="AE67">
        <v>2.3404298694738292E-2</v>
      </c>
      <c r="AG67" t="s">
        <v>99</v>
      </c>
      <c r="AH67" t="s">
        <v>331</v>
      </c>
      <c r="AI67">
        <v>8.6770478469463619E-2</v>
      </c>
    </row>
    <row r="68" spans="9:35" x14ac:dyDescent="0.45">
      <c r="I68" t="s">
        <v>249</v>
      </c>
      <c r="J68" t="s">
        <v>332</v>
      </c>
      <c r="K68">
        <v>0</v>
      </c>
      <c r="L68" t="s">
        <v>251</v>
      </c>
      <c r="N68" t="s">
        <v>419</v>
      </c>
      <c r="O68" t="s">
        <v>332</v>
      </c>
      <c r="P68">
        <v>3.450239365884766E-3</v>
      </c>
      <c r="Q68" t="s">
        <v>251</v>
      </c>
      <c r="S68" t="s">
        <v>420</v>
      </c>
      <c r="T68" t="s">
        <v>332</v>
      </c>
      <c r="U68">
        <v>4.4860067785218154E-3</v>
      </c>
      <c r="V68" t="s">
        <v>251</v>
      </c>
      <c r="X68">
        <v>3.5388127853881279E-3</v>
      </c>
      <c r="Y68">
        <v>5.240782636799844E-3</v>
      </c>
      <c r="Z68" t="s">
        <v>332</v>
      </c>
      <c r="AA68" t="s">
        <v>25</v>
      </c>
      <c r="AC68" t="s">
        <v>22</v>
      </c>
      <c r="AD68" t="s">
        <v>332</v>
      </c>
      <c r="AE68">
        <v>3.9208830708802678E-3</v>
      </c>
      <c r="AG68" t="s">
        <v>99</v>
      </c>
      <c r="AH68" t="s">
        <v>332</v>
      </c>
      <c r="AI68">
        <v>6.1004223848656558E-2</v>
      </c>
    </row>
    <row r="69" spans="9:35" x14ac:dyDescent="0.45">
      <c r="I69" t="s">
        <v>249</v>
      </c>
      <c r="J69" t="s">
        <v>333</v>
      </c>
      <c r="K69">
        <v>2.5517161056882406E-3</v>
      </c>
      <c r="L69" t="s">
        <v>251</v>
      </c>
      <c r="N69" t="s">
        <v>419</v>
      </c>
      <c r="O69" t="s">
        <v>333</v>
      </c>
      <c r="P69">
        <v>3.3543672645367697E-3</v>
      </c>
      <c r="Q69" t="s">
        <v>251</v>
      </c>
      <c r="S69" t="s">
        <v>420</v>
      </c>
      <c r="T69" t="s">
        <v>333</v>
      </c>
      <c r="U69">
        <v>4.4835930943530672E-3</v>
      </c>
      <c r="V69" t="s">
        <v>251</v>
      </c>
      <c r="X69">
        <v>3.5388127853881279E-3</v>
      </c>
      <c r="Y69">
        <v>5.9087255218821738E-3</v>
      </c>
      <c r="Z69" t="s">
        <v>333</v>
      </c>
      <c r="AA69" t="s">
        <v>25</v>
      </c>
      <c r="AC69" t="s">
        <v>22</v>
      </c>
      <c r="AD69" t="s">
        <v>333</v>
      </c>
      <c r="AE69">
        <v>4.0787194249493931E-3</v>
      </c>
      <c r="AG69" t="s">
        <v>99</v>
      </c>
      <c r="AH69" t="s">
        <v>333</v>
      </c>
      <c r="AI69">
        <v>8.3453178737734612E-2</v>
      </c>
    </row>
    <row r="70" spans="9:35" x14ac:dyDescent="0.45">
      <c r="I70" t="s">
        <v>249</v>
      </c>
      <c r="J70" t="s">
        <v>334</v>
      </c>
      <c r="K70">
        <v>4.4592288830543898E-2</v>
      </c>
      <c r="L70" t="s">
        <v>251</v>
      </c>
      <c r="N70" t="s">
        <v>419</v>
      </c>
      <c r="O70" t="s">
        <v>334</v>
      </c>
      <c r="P70">
        <v>1.6331437927914888E-2</v>
      </c>
      <c r="Q70" t="s">
        <v>251</v>
      </c>
      <c r="S70" t="s">
        <v>420</v>
      </c>
      <c r="T70" t="s">
        <v>334</v>
      </c>
      <c r="U70">
        <v>2.7716967703179399E-2</v>
      </c>
      <c r="V70" t="s">
        <v>251</v>
      </c>
      <c r="X70">
        <v>2.1232876712328767E-2</v>
      </c>
      <c r="Y70">
        <v>2.6758819580836844E-2</v>
      </c>
      <c r="Z70" t="s">
        <v>334</v>
      </c>
      <c r="AA70" t="s">
        <v>25</v>
      </c>
      <c r="AC70" t="s">
        <v>22</v>
      </c>
      <c r="AD70" t="s">
        <v>334</v>
      </c>
      <c r="AE70">
        <v>2.4660008200840411E-2</v>
      </c>
      <c r="AG70" t="s">
        <v>99</v>
      </c>
      <c r="AH70" t="s">
        <v>334</v>
      </c>
      <c r="AI70">
        <v>0.16204740512519122</v>
      </c>
    </row>
    <row r="71" spans="9:35" x14ac:dyDescent="0.45">
      <c r="I71" t="s">
        <v>249</v>
      </c>
      <c r="J71" t="s">
        <v>335</v>
      </c>
      <c r="K71">
        <v>2.09831215758269E-2</v>
      </c>
      <c r="L71" t="s">
        <v>251</v>
      </c>
      <c r="N71" t="s">
        <v>419</v>
      </c>
      <c r="O71" t="s">
        <v>335</v>
      </c>
      <c r="P71">
        <v>8.535814500486065E-3</v>
      </c>
      <c r="Q71" t="s">
        <v>251</v>
      </c>
      <c r="S71" t="s">
        <v>420</v>
      </c>
      <c r="T71" t="s">
        <v>335</v>
      </c>
      <c r="U71">
        <v>1.4122223160482752E-2</v>
      </c>
      <c r="V71" t="s">
        <v>251</v>
      </c>
      <c r="X71">
        <v>1.0616438356164383E-2</v>
      </c>
      <c r="Y71">
        <v>1.6893816970390073E-2</v>
      </c>
      <c r="Z71" t="s">
        <v>335</v>
      </c>
      <c r="AA71" t="s">
        <v>25</v>
      </c>
      <c r="AC71" t="s">
        <v>22</v>
      </c>
      <c r="AD71" t="s">
        <v>335</v>
      </c>
      <c r="AE71">
        <v>8.7792639398936757E-3</v>
      </c>
      <c r="AG71" t="s">
        <v>99</v>
      </c>
      <c r="AH71" t="s">
        <v>335</v>
      </c>
      <c r="AI71">
        <v>0.11093550843474387</v>
      </c>
    </row>
    <row r="72" spans="9:35" x14ac:dyDescent="0.45">
      <c r="I72" t="s">
        <v>249</v>
      </c>
      <c r="J72" t="s">
        <v>336</v>
      </c>
      <c r="K72">
        <v>5.2084514300123003E-3</v>
      </c>
      <c r="L72" t="s">
        <v>251</v>
      </c>
      <c r="N72" t="s">
        <v>419</v>
      </c>
      <c r="O72" t="s">
        <v>336</v>
      </c>
      <c r="P72">
        <v>2.7610342416565597E-3</v>
      </c>
      <c r="Q72" t="s">
        <v>251</v>
      </c>
      <c r="S72" t="s">
        <v>420</v>
      </c>
      <c r="T72" t="s">
        <v>336</v>
      </c>
      <c r="U72">
        <v>4.6884794009072516E-3</v>
      </c>
      <c r="V72" t="s">
        <v>251</v>
      </c>
      <c r="X72">
        <v>3.5388127853881279E-3</v>
      </c>
      <c r="Y72">
        <v>6.8849497385409693E-3</v>
      </c>
      <c r="Z72" t="s">
        <v>336</v>
      </c>
      <c r="AA72" t="s">
        <v>25</v>
      </c>
      <c r="AC72" t="s">
        <v>22</v>
      </c>
      <c r="AD72" t="s">
        <v>336</v>
      </c>
      <c r="AE72">
        <v>2.5171539564351779E-3</v>
      </c>
      <c r="AG72" t="s">
        <v>99</v>
      </c>
      <c r="AH72" t="s">
        <v>336</v>
      </c>
      <c r="AI72">
        <v>4.4173913511419194E-2</v>
      </c>
    </row>
    <row r="73" spans="9:35" x14ac:dyDescent="0.45">
      <c r="I73" t="s">
        <v>249</v>
      </c>
      <c r="J73" t="s">
        <v>337</v>
      </c>
      <c r="K73">
        <v>2.2047296132105187E-3</v>
      </c>
      <c r="L73" t="s">
        <v>251</v>
      </c>
      <c r="N73" t="s">
        <v>419</v>
      </c>
      <c r="O73" t="s">
        <v>337</v>
      </c>
      <c r="P73">
        <v>2.9540571089904824E-3</v>
      </c>
      <c r="Q73" t="s">
        <v>251</v>
      </c>
      <c r="S73" t="s">
        <v>420</v>
      </c>
      <c r="T73" t="s">
        <v>337</v>
      </c>
      <c r="U73">
        <v>4.6654493652520607E-3</v>
      </c>
      <c r="V73" t="s">
        <v>251</v>
      </c>
      <c r="X73">
        <v>3.5388127853881279E-3</v>
      </c>
      <c r="Y73">
        <v>5.3435430806586613E-3</v>
      </c>
      <c r="Z73" t="s">
        <v>337</v>
      </c>
      <c r="AA73" t="s">
        <v>25</v>
      </c>
      <c r="AC73" t="s">
        <v>22</v>
      </c>
      <c r="AD73" t="s">
        <v>337</v>
      </c>
      <c r="AE73">
        <v>2.5420591833047487E-3</v>
      </c>
      <c r="AG73" t="s">
        <v>99</v>
      </c>
      <c r="AH73" t="s">
        <v>337</v>
      </c>
      <c r="AI73">
        <v>4.5756950232309856E-2</v>
      </c>
    </row>
    <row r="74" spans="9:35" x14ac:dyDescent="0.45">
      <c r="I74" t="s">
        <v>249</v>
      </c>
      <c r="J74" t="s">
        <v>338</v>
      </c>
      <c r="K74">
        <v>0</v>
      </c>
      <c r="L74" t="s">
        <v>251</v>
      </c>
      <c r="N74" t="s">
        <v>419</v>
      </c>
      <c r="O74" t="s">
        <v>338</v>
      </c>
      <c r="P74">
        <v>1.8126116386870957E-2</v>
      </c>
      <c r="Q74" t="s">
        <v>251</v>
      </c>
      <c r="S74" t="s">
        <v>420</v>
      </c>
      <c r="T74" t="s">
        <v>338</v>
      </c>
      <c r="U74">
        <v>2.3326524318008243E-2</v>
      </c>
      <c r="V74" t="s">
        <v>251</v>
      </c>
      <c r="X74">
        <v>1.7694063926940638E-2</v>
      </c>
      <c r="Y74">
        <v>1.3358857701646654E-2</v>
      </c>
      <c r="Z74" t="s">
        <v>338</v>
      </c>
      <c r="AA74" t="s">
        <v>25</v>
      </c>
      <c r="AC74" t="s">
        <v>22</v>
      </c>
      <c r="AD74" t="s">
        <v>338</v>
      </c>
      <c r="AE74">
        <v>1.7040886577869188E-2</v>
      </c>
      <c r="AG74" t="s">
        <v>99</v>
      </c>
      <c r="AH74" t="s">
        <v>338</v>
      </c>
      <c r="AI74">
        <v>0.20820639587821077</v>
      </c>
    </row>
    <row r="75" spans="9:35" x14ac:dyDescent="0.45">
      <c r="I75" t="s">
        <v>249</v>
      </c>
      <c r="J75" t="s">
        <v>339</v>
      </c>
      <c r="K75">
        <v>0</v>
      </c>
      <c r="L75" t="s">
        <v>251</v>
      </c>
      <c r="N75" t="s">
        <v>419</v>
      </c>
      <c r="O75" t="s">
        <v>339</v>
      </c>
      <c r="P75">
        <v>2.329022222508044E-2</v>
      </c>
      <c r="Q75" t="s">
        <v>251</v>
      </c>
      <c r="S75" t="s">
        <v>420</v>
      </c>
      <c r="T75" t="s">
        <v>339</v>
      </c>
      <c r="U75">
        <v>2.4686265198238914E-2</v>
      </c>
      <c r="V75" t="s">
        <v>251</v>
      </c>
      <c r="X75">
        <v>2.0547945205479451E-2</v>
      </c>
      <c r="Y75">
        <v>4.3954951147353507E-3</v>
      </c>
      <c r="Z75" t="s">
        <v>339</v>
      </c>
      <c r="AA75" t="s">
        <v>25</v>
      </c>
      <c r="AC75" t="s">
        <v>22</v>
      </c>
      <c r="AD75" t="s">
        <v>339</v>
      </c>
      <c r="AE75">
        <v>2.20635094262423E-2</v>
      </c>
      <c r="AG75" t="s">
        <v>99</v>
      </c>
      <c r="AH75" t="s">
        <v>339</v>
      </c>
      <c r="AI75">
        <v>6.2509567223236084E-2</v>
      </c>
    </row>
    <row r="76" spans="9:35" x14ac:dyDescent="0.45">
      <c r="I76" t="s">
        <v>249</v>
      </c>
      <c r="J76" t="s">
        <v>340</v>
      </c>
      <c r="K76">
        <v>8.4965085546145338E-4</v>
      </c>
      <c r="L76" t="s">
        <v>251</v>
      </c>
      <c r="N76" t="s">
        <v>419</v>
      </c>
      <c r="O76" t="s">
        <v>340</v>
      </c>
      <c r="P76">
        <v>3.7341867783883508E-3</v>
      </c>
      <c r="Q76" t="s">
        <v>251</v>
      </c>
      <c r="S76" t="s">
        <v>420</v>
      </c>
      <c r="T76" t="s">
        <v>340</v>
      </c>
      <c r="U76">
        <v>4.0109180918799668E-3</v>
      </c>
      <c r="V76" t="s">
        <v>251</v>
      </c>
      <c r="X76">
        <v>3.4246575342465752E-3</v>
      </c>
      <c r="Y76">
        <v>5.0717251323869452E-3</v>
      </c>
      <c r="Z76" t="s">
        <v>340</v>
      </c>
      <c r="AA76" t="s">
        <v>25</v>
      </c>
      <c r="AC76" t="s">
        <v>22</v>
      </c>
      <c r="AD76" t="s">
        <v>340</v>
      </c>
      <c r="AE76">
        <v>3.688723304137644E-3</v>
      </c>
      <c r="AG76" t="s">
        <v>99</v>
      </c>
      <c r="AH76" t="s">
        <v>340</v>
      </c>
      <c r="AI76">
        <v>4.6965543844643687E-2</v>
      </c>
    </row>
    <row r="77" spans="9:35" x14ac:dyDescent="0.45">
      <c r="I77" t="s">
        <v>249</v>
      </c>
      <c r="J77" t="s">
        <v>341</v>
      </c>
      <c r="K77">
        <v>5.1823086694548996E-3</v>
      </c>
      <c r="L77" t="s">
        <v>251</v>
      </c>
      <c r="N77" t="s">
        <v>419</v>
      </c>
      <c r="O77" t="s">
        <v>341</v>
      </c>
      <c r="P77">
        <v>3.4574431563598775E-3</v>
      </c>
      <c r="Q77" t="s">
        <v>251</v>
      </c>
      <c r="S77" t="s">
        <v>420</v>
      </c>
      <c r="T77" t="s">
        <v>341</v>
      </c>
      <c r="U77">
        <v>3.9937662730240471E-3</v>
      </c>
      <c r="V77" t="s">
        <v>251</v>
      </c>
      <c r="X77">
        <v>3.4246575342465752E-3</v>
      </c>
      <c r="Y77">
        <v>5.7181214727892006E-3</v>
      </c>
      <c r="Z77" t="s">
        <v>341</v>
      </c>
      <c r="AA77" t="s">
        <v>25</v>
      </c>
      <c r="AC77" t="s">
        <v>22</v>
      </c>
      <c r="AD77" t="s">
        <v>341</v>
      </c>
      <c r="AE77">
        <v>3.7333990280127411E-3</v>
      </c>
      <c r="AG77" t="s">
        <v>99</v>
      </c>
      <c r="AH77" t="s">
        <v>341</v>
      </c>
      <c r="AI77">
        <v>4.706974602440317E-2</v>
      </c>
    </row>
    <row r="78" spans="9:35" x14ac:dyDescent="0.45">
      <c r="I78" t="s">
        <v>249</v>
      </c>
      <c r="J78" t="s">
        <v>342</v>
      </c>
      <c r="K78">
        <v>5.1828580337839499E-2</v>
      </c>
      <c r="L78" t="s">
        <v>251</v>
      </c>
      <c r="N78" t="s">
        <v>419</v>
      </c>
      <c r="O78" t="s">
        <v>342</v>
      </c>
      <c r="P78">
        <v>1.8684578790780063E-2</v>
      </c>
      <c r="Q78" t="s">
        <v>251</v>
      </c>
      <c r="S78" t="s">
        <v>420</v>
      </c>
      <c r="T78" t="s">
        <v>342</v>
      </c>
      <c r="U78">
        <v>2.314559558806557E-2</v>
      </c>
      <c r="V78" t="s">
        <v>251</v>
      </c>
      <c r="X78">
        <v>2.0547945205479451E-2</v>
      </c>
      <c r="Y78">
        <v>2.5895631852422749E-2</v>
      </c>
      <c r="Z78" t="s">
        <v>342</v>
      </c>
      <c r="AA78" t="s">
        <v>25</v>
      </c>
      <c r="AC78" t="s">
        <v>22</v>
      </c>
      <c r="AD78" t="s">
        <v>342</v>
      </c>
      <c r="AE78">
        <v>2.1863320485939582E-2</v>
      </c>
      <c r="AG78" t="s">
        <v>99</v>
      </c>
      <c r="AH78" t="s">
        <v>342</v>
      </c>
      <c r="AI78">
        <v>7.1588740096237391E-2</v>
      </c>
    </row>
    <row r="79" spans="9:35" x14ac:dyDescent="0.45">
      <c r="I79" t="s">
        <v>249</v>
      </c>
      <c r="J79" t="s">
        <v>343</v>
      </c>
      <c r="K79">
        <v>2.4336565811274802E-2</v>
      </c>
      <c r="L79" t="s">
        <v>251</v>
      </c>
      <c r="N79" t="s">
        <v>419</v>
      </c>
      <c r="O79" t="s">
        <v>343</v>
      </c>
      <c r="P79">
        <v>9.6451885135019188E-3</v>
      </c>
      <c r="Q79" t="s">
        <v>251</v>
      </c>
      <c r="S79" t="s">
        <v>420</v>
      </c>
      <c r="T79" t="s">
        <v>343</v>
      </c>
      <c r="U79">
        <v>1.183577085086864E-2</v>
      </c>
      <c r="V79" t="s">
        <v>251</v>
      </c>
      <c r="X79">
        <v>1.0273972602739725E-2</v>
      </c>
      <c r="Y79">
        <v>1.6348855132635558E-2</v>
      </c>
      <c r="Z79" t="s">
        <v>343</v>
      </c>
      <c r="AA79" t="s">
        <v>25</v>
      </c>
      <c r="AC79" t="s">
        <v>22</v>
      </c>
      <c r="AD79" t="s">
        <v>343</v>
      </c>
      <c r="AE79">
        <v>8.2152273122843272E-3</v>
      </c>
      <c r="AG79" t="s">
        <v>99</v>
      </c>
      <c r="AH79" t="s">
        <v>343</v>
      </c>
      <c r="AI79">
        <v>9.5268950975132771E-2</v>
      </c>
    </row>
    <row r="80" spans="9:35" x14ac:dyDescent="0.45">
      <c r="I80" t="s">
        <v>249</v>
      </c>
      <c r="J80" t="s">
        <v>344</v>
      </c>
      <c r="K80">
        <v>6.0926075915095999E-3</v>
      </c>
      <c r="L80" t="s">
        <v>251</v>
      </c>
      <c r="N80" t="s">
        <v>419</v>
      </c>
      <c r="O80" t="s">
        <v>344</v>
      </c>
      <c r="P80">
        <v>3.1249845854401711E-3</v>
      </c>
      <c r="Q80" t="s">
        <v>251</v>
      </c>
      <c r="S80" t="s">
        <v>420</v>
      </c>
      <c r="T80" t="s">
        <v>344</v>
      </c>
      <c r="U80">
        <v>4.0227461349593117E-3</v>
      </c>
      <c r="V80" t="s">
        <v>251</v>
      </c>
      <c r="X80">
        <v>3.4246575342465752E-3</v>
      </c>
      <c r="Y80">
        <v>6.662854585684809E-3</v>
      </c>
      <c r="Z80" t="s">
        <v>344</v>
      </c>
      <c r="AA80" t="s">
        <v>25</v>
      </c>
      <c r="AC80" t="s">
        <v>22</v>
      </c>
      <c r="AD80" t="s">
        <v>344</v>
      </c>
      <c r="AE80">
        <v>2.3685973609708193E-3</v>
      </c>
      <c r="AG80" t="s">
        <v>99</v>
      </c>
      <c r="AH80" t="s">
        <v>344</v>
      </c>
      <c r="AI80">
        <v>1.1095236819205656E-2</v>
      </c>
    </row>
    <row r="81" spans="9:35" x14ac:dyDescent="0.45">
      <c r="I81" t="s">
        <v>249</v>
      </c>
      <c r="J81" t="s">
        <v>345</v>
      </c>
      <c r="K81">
        <v>2.5215444166334132E-3</v>
      </c>
      <c r="L81" t="s">
        <v>251</v>
      </c>
      <c r="N81" t="s">
        <v>419</v>
      </c>
      <c r="O81" t="s">
        <v>345</v>
      </c>
      <c r="P81">
        <v>3.0927396577172706E-3</v>
      </c>
      <c r="Q81" t="s">
        <v>251</v>
      </c>
      <c r="S81" t="s">
        <v>420</v>
      </c>
      <c r="T81" t="s">
        <v>345</v>
      </c>
      <c r="U81">
        <v>4.0028744817976938E-3</v>
      </c>
      <c r="V81" t="s">
        <v>251</v>
      </c>
      <c r="X81">
        <v>3.4246575342465752E-3</v>
      </c>
      <c r="Y81">
        <v>5.1711707232180593E-3</v>
      </c>
      <c r="Z81" t="s">
        <v>345</v>
      </c>
      <c r="AA81" t="s">
        <v>25</v>
      </c>
      <c r="AC81" t="s">
        <v>22</v>
      </c>
      <c r="AD81" t="s">
        <v>345</v>
      </c>
      <c r="AE81">
        <v>2.3947832919248091E-3</v>
      </c>
      <c r="AG81" t="s">
        <v>99</v>
      </c>
      <c r="AH81" t="s">
        <v>345</v>
      </c>
      <c r="AI81">
        <v>1.3401285884287351E-2</v>
      </c>
    </row>
    <row r="82" spans="9:35" x14ac:dyDescent="0.45">
      <c r="I82" t="s">
        <v>249</v>
      </c>
      <c r="J82" t="s">
        <v>346</v>
      </c>
      <c r="K82">
        <v>0</v>
      </c>
      <c r="L82" t="s">
        <v>251</v>
      </c>
      <c r="N82" t="s">
        <v>419</v>
      </c>
      <c r="O82" t="s">
        <v>346</v>
      </c>
      <c r="P82">
        <v>1.8290350526645408E-2</v>
      </c>
      <c r="Q82" t="s">
        <v>251</v>
      </c>
      <c r="S82" t="s">
        <v>420</v>
      </c>
      <c r="T82" t="s">
        <v>346</v>
      </c>
      <c r="U82">
        <v>1.9714015292777096E-2</v>
      </c>
      <c r="V82" t="s">
        <v>251</v>
      </c>
      <c r="X82">
        <v>1.7123287671232876E-2</v>
      </c>
      <c r="Y82">
        <v>1.2927926808045149E-2</v>
      </c>
      <c r="Z82" t="s">
        <v>346</v>
      </c>
      <c r="AA82" t="s">
        <v>25</v>
      </c>
      <c r="AC82" t="s">
        <v>22</v>
      </c>
      <c r="AD82" t="s">
        <v>346</v>
      </c>
      <c r="AE82">
        <v>1.5524302192741167E-2</v>
      </c>
      <c r="AG82" t="s">
        <v>99</v>
      </c>
      <c r="AH82" t="s">
        <v>346</v>
      </c>
      <c r="AI82">
        <v>0.18602879837510433</v>
      </c>
    </row>
    <row r="83" spans="9:35" x14ac:dyDescent="0.45">
      <c r="I83" t="s">
        <v>249</v>
      </c>
      <c r="J83" t="s">
        <v>395</v>
      </c>
      <c r="K83">
        <v>0</v>
      </c>
      <c r="L83" t="s">
        <v>251</v>
      </c>
      <c r="N83" t="s">
        <v>419</v>
      </c>
      <c r="O83" t="s">
        <v>395</v>
      </c>
      <c r="P83">
        <v>3.1604979644208234E-2</v>
      </c>
      <c r="Q83" t="s">
        <v>251</v>
      </c>
      <c r="S83" t="s">
        <v>420</v>
      </c>
      <c r="T83" t="s">
        <v>395</v>
      </c>
      <c r="U83">
        <v>2.6334333439879402E-2</v>
      </c>
      <c r="V83" t="s">
        <v>251</v>
      </c>
      <c r="X83">
        <v>2.1232876712328767E-2</v>
      </c>
      <c r="Y83">
        <v>4.5420116185598634E-3</v>
      </c>
      <c r="Z83" t="s">
        <v>395</v>
      </c>
      <c r="AA83" t="s">
        <v>25</v>
      </c>
      <c r="AC83" t="s">
        <v>22</v>
      </c>
      <c r="AD83" t="s">
        <v>395</v>
      </c>
      <c r="AE83">
        <v>2.3158382109251394E-2</v>
      </c>
      <c r="AG83" t="s">
        <v>99</v>
      </c>
      <c r="AH83" t="s">
        <v>395</v>
      </c>
      <c r="AI83">
        <v>4.9670348256209529E-2</v>
      </c>
    </row>
    <row r="84" spans="9:35" x14ac:dyDescent="0.45">
      <c r="I84" t="s">
        <v>249</v>
      </c>
      <c r="J84" t="s">
        <v>396</v>
      </c>
      <c r="K84">
        <v>2.7469659482650798E-3</v>
      </c>
      <c r="L84" t="s">
        <v>251</v>
      </c>
      <c r="N84" t="s">
        <v>419</v>
      </c>
      <c r="O84" t="s">
        <v>396</v>
      </c>
      <c r="P84">
        <v>4.8897833570646634E-3</v>
      </c>
      <c r="Q84" t="s">
        <v>251</v>
      </c>
      <c r="S84" t="s">
        <v>420</v>
      </c>
      <c r="T84" t="s">
        <v>396</v>
      </c>
      <c r="U84">
        <v>4.2693770340923535E-3</v>
      </c>
      <c r="V84" t="s">
        <v>251</v>
      </c>
      <c r="X84">
        <v>3.5388127853881279E-3</v>
      </c>
      <c r="Y84">
        <v>5.240782636799844E-3</v>
      </c>
      <c r="Z84" t="s">
        <v>396</v>
      </c>
      <c r="AA84" t="s">
        <v>25</v>
      </c>
      <c r="AC84" t="s">
        <v>22</v>
      </c>
      <c r="AD84" t="s">
        <v>396</v>
      </c>
      <c r="AE84">
        <v>3.8998094398271796E-3</v>
      </c>
      <c r="AG84" t="s">
        <v>99</v>
      </c>
      <c r="AH84" t="s">
        <v>396</v>
      </c>
      <c r="AI84">
        <v>4.3802258938045124E-2</v>
      </c>
    </row>
    <row r="85" spans="9:35" x14ac:dyDescent="0.45">
      <c r="I85" t="s">
        <v>249</v>
      </c>
      <c r="J85" t="s">
        <v>397</v>
      </c>
      <c r="K85">
        <v>6.9655571424994001E-3</v>
      </c>
      <c r="L85" t="s">
        <v>251</v>
      </c>
      <c r="N85" t="s">
        <v>419</v>
      </c>
      <c r="O85" t="s">
        <v>397</v>
      </c>
      <c r="P85">
        <v>4.3399142751513794E-3</v>
      </c>
      <c r="Q85" t="s">
        <v>251</v>
      </c>
      <c r="S85" t="s">
        <v>420</v>
      </c>
      <c r="T85" t="s">
        <v>397</v>
      </c>
      <c r="U85">
        <v>4.3285178914231033E-3</v>
      </c>
      <c r="V85" t="s">
        <v>251</v>
      </c>
      <c r="X85">
        <v>3.5388127853881279E-3</v>
      </c>
      <c r="Y85">
        <v>5.9087255218821738E-3</v>
      </c>
      <c r="Z85" t="s">
        <v>397</v>
      </c>
      <c r="AA85" t="s">
        <v>25</v>
      </c>
      <c r="AC85" t="s">
        <v>22</v>
      </c>
      <c r="AD85" t="s">
        <v>397</v>
      </c>
      <c r="AE85">
        <v>3.9164347658718996E-3</v>
      </c>
      <c r="AG85" t="s">
        <v>99</v>
      </c>
      <c r="AH85" t="s">
        <v>397</v>
      </c>
      <c r="AI85">
        <v>3.8104371110900148E-2</v>
      </c>
    </row>
    <row r="86" spans="9:35" x14ac:dyDescent="0.45">
      <c r="I86" t="s">
        <v>249</v>
      </c>
      <c r="J86" t="s">
        <v>398</v>
      </c>
      <c r="K86">
        <v>5.9164672408411202E-2</v>
      </c>
      <c r="L86" t="s">
        <v>251</v>
      </c>
      <c r="N86" t="s">
        <v>419</v>
      </c>
      <c r="O86" t="s">
        <v>398</v>
      </c>
      <c r="P86">
        <v>2.1258464383924217E-2</v>
      </c>
      <c r="Q86" t="s">
        <v>251</v>
      </c>
      <c r="S86" t="s">
        <v>420</v>
      </c>
      <c r="T86" t="s">
        <v>398</v>
      </c>
      <c r="U86">
        <v>2.6684394480533041E-2</v>
      </c>
      <c r="V86" t="s">
        <v>251</v>
      </c>
      <c r="X86">
        <v>2.1232876712328767E-2</v>
      </c>
      <c r="Y86">
        <v>2.6758819580836844E-2</v>
      </c>
      <c r="Z86" t="s">
        <v>398</v>
      </c>
      <c r="AA86" t="s">
        <v>25</v>
      </c>
      <c r="AC86" t="s">
        <v>22</v>
      </c>
      <c r="AD86" t="s">
        <v>398</v>
      </c>
      <c r="AE86">
        <v>2.2062206634725651E-2</v>
      </c>
      <c r="AG86" t="s">
        <v>99</v>
      </c>
      <c r="AH86" t="s">
        <v>398</v>
      </c>
      <c r="AI86">
        <v>8.9535273386137204E-2</v>
      </c>
    </row>
    <row r="87" spans="9:35" x14ac:dyDescent="0.45">
      <c r="I87" t="s">
        <v>249</v>
      </c>
      <c r="J87" t="s">
        <v>399</v>
      </c>
      <c r="K87">
        <v>2.7107973361631101E-2</v>
      </c>
      <c r="L87" t="s">
        <v>251</v>
      </c>
      <c r="N87" t="s">
        <v>419</v>
      </c>
      <c r="O87" t="s">
        <v>399</v>
      </c>
      <c r="P87">
        <v>9.9256230520117783E-3</v>
      </c>
      <c r="Q87" t="s">
        <v>251</v>
      </c>
      <c r="S87" t="s">
        <v>420</v>
      </c>
      <c r="T87" t="s">
        <v>399</v>
      </c>
      <c r="U87">
        <v>1.3824183433971035E-2</v>
      </c>
      <c r="V87" t="s">
        <v>251</v>
      </c>
      <c r="X87">
        <v>1.0616438356164383E-2</v>
      </c>
      <c r="Y87">
        <v>1.6893816970390073E-2</v>
      </c>
      <c r="Z87" t="s">
        <v>399</v>
      </c>
      <c r="AA87" t="s">
        <v>25</v>
      </c>
      <c r="AC87" t="s">
        <v>22</v>
      </c>
      <c r="AD87" t="s">
        <v>399</v>
      </c>
      <c r="AE87">
        <v>7.8424718123703205E-3</v>
      </c>
      <c r="AG87" t="s">
        <v>99</v>
      </c>
      <c r="AH87" t="s">
        <v>399</v>
      </c>
      <c r="AI87">
        <v>0.14130909263031666</v>
      </c>
    </row>
    <row r="88" spans="9:35" x14ac:dyDescent="0.45">
      <c r="I88" t="s">
        <v>249</v>
      </c>
      <c r="J88" t="s">
        <v>400</v>
      </c>
      <c r="K88">
        <v>6.7472037228036002E-3</v>
      </c>
      <c r="L88" t="s">
        <v>251</v>
      </c>
      <c r="N88" t="s">
        <v>419</v>
      </c>
      <c r="O88" t="s">
        <v>400</v>
      </c>
      <c r="P88">
        <v>3.3854228657409341E-3</v>
      </c>
      <c r="Q88" t="s">
        <v>251</v>
      </c>
      <c r="S88" t="s">
        <v>420</v>
      </c>
      <c r="T88" t="s">
        <v>400</v>
      </c>
      <c r="U88">
        <v>4.5468101976986492E-3</v>
      </c>
      <c r="V88" t="s">
        <v>251</v>
      </c>
      <c r="X88">
        <v>3.5388127853881279E-3</v>
      </c>
      <c r="Y88">
        <v>6.8849497385409693E-3</v>
      </c>
      <c r="Z88" t="s">
        <v>400</v>
      </c>
      <c r="AA88" t="s">
        <v>25</v>
      </c>
      <c r="AC88" t="s">
        <v>22</v>
      </c>
      <c r="AD88" t="s">
        <v>400</v>
      </c>
      <c r="AE88">
        <v>2.4504336491081081E-3</v>
      </c>
      <c r="AG88" t="s">
        <v>99</v>
      </c>
      <c r="AH88" t="s">
        <v>400</v>
      </c>
      <c r="AI88">
        <v>1.275045288866572E-2</v>
      </c>
    </row>
    <row r="89" spans="9:35" x14ac:dyDescent="0.45">
      <c r="I89" t="s">
        <v>249</v>
      </c>
      <c r="J89" t="s">
        <v>401</v>
      </c>
      <c r="K89">
        <v>3.33787801656058E-3</v>
      </c>
      <c r="L89" t="s">
        <v>251</v>
      </c>
      <c r="N89" t="s">
        <v>419</v>
      </c>
      <c r="O89" t="s">
        <v>401</v>
      </c>
      <c r="P89">
        <v>3.3555196844821181E-3</v>
      </c>
      <c r="Q89" t="s">
        <v>251</v>
      </c>
      <c r="S89" t="s">
        <v>420</v>
      </c>
      <c r="T89" t="s">
        <v>401</v>
      </c>
      <c r="U89">
        <v>4.4926407508333321E-3</v>
      </c>
      <c r="V89" t="s">
        <v>251</v>
      </c>
      <c r="X89">
        <v>3.5388127853881279E-3</v>
      </c>
      <c r="Y89">
        <v>5.3435430806586613E-3</v>
      </c>
      <c r="Z89" t="s">
        <v>401</v>
      </c>
      <c r="AA89" t="s">
        <v>25</v>
      </c>
      <c r="AC89" t="s">
        <v>22</v>
      </c>
      <c r="AD89" t="s">
        <v>401</v>
      </c>
      <c r="AE89">
        <v>2.4725451540446898E-3</v>
      </c>
      <c r="AG89" t="s">
        <v>99</v>
      </c>
      <c r="AH89" t="s">
        <v>401</v>
      </c>
      <c r="AI89">
        <v>1.2781222176377227E-2</v>
      </c>
    </row>
    <row r="90" spans="9:35" x14ac:dyDescent="0.45">
      <c r="I90" t="s">
        <v>249</v>
      </c>
      <c r="J90" t="s">
        <v>402</v>
      </c>
      <c r="K90">
        <v>0</v>
      </c>
      <c r="L90" t="s">
        <v>251</v>
      </c>
      <c r="N90" t="s">
        <v>419</v>
      </c>
      <c r="O90" t="s">
        <v>402</v>
      </c>
      <c r="P90">
        <v>2.2334848560211083E-2</v>
      </c>
      <c r="Q90" t="s">
        <v>251</v>
      </c>
      <c r="S90" t="s">
        <v>420</v>
      </c>
      <c r="T90" t="s">
        <v>402</v>
      </c>
      <c r="U90">
        <v>2.2138222080821418E-2</v>
      </c>
      <c r="V90" t="s">
        <v>251</v>
      </c>
      <c r="X90">
        <v>1.7694063926940638E-2</v>
      </c>
      <c r="Y90">
        <v>1.3358857701646654E-2</v>
      </c>
      <c r="Z90" t="s">
        <v>402</v>
      </c>
      <c r="AA90" t="s">
        <v>25</v>
      </c>
      <c r="AC90" t="s">
        <v>22</v>
      </c>
      <c r="AD90" t="s">
        <v>402</v>
      </c>
      <c r="AE90">
        <v>1.7089798589052418E-2</v>
      </c>
      <c r="AG90" t="s">
        <v>99</v>
      </c>
      <c r="AH90" t="s">
        <v>402</v>
      </c>
      <c r="AI90">
        <v>0.1337282277278935</v>
      </c>
    </row>
    <row r="91" spans="9:35" x14ac:dyDescent="0.45">
      <c r="I91" t="s">
        <v>249</v>
      </c>
      <c r="J91" t="s">
        <v>403</v>
      </c>
      <c r="K91">
        <v>3.8090221314169098E-6</v>
      </c>
      <c r="L91" t="s">
        <v>251</v>
      </c>
      <c r="N91" t="s">
        <v>419</v>
      </c>
      <c r="O91" t="s">
        <v>403</v>
      </c>
      <c r="P91">
        <v>3.009277985070876E-2</v>
      </c>
      <c r="Q91" t="s">
        <v>251</v>
      </c>
      <c r="S91" t="s">
        <v>420</v>
      </c>
      <c r="T91" t="s">
        <v>403</v>
      </c>
      <c r="U91">
        <v>1.8828910873338951E-2</v>
      </c>
      <c r="V91" t="s">
        <v>251</v>
      </c>
      <c r="X91">
        <v>2.0547945205479451E-2</v>
      </c>
      <c r="Y91">
        <v>4.3954951147353507E-3</v>
      </c>
      <c r="Z91" t="s">
        <v>403</v>
      </c>
      <c r="AA91" t="s">
        <v>25</v>
      </c>
      <c r="AC91" t="s">
        <v>22</v>
      </c>
      <c r="AD91" t="s">
        <v>403</v>
      </c>
      <c r="AE91">
        <v>2.2260433007780876E-2</v>
      </c>
      <c r="AG91" t="s">
        <v>99</v>
      </c>
      <c r="AH91" t="s">
        <v>403</v>
      </c>
      <c r="AI91">
        <v>6.8438377491133906E-2</v>
      </c>
    </row>
    <row r="92" spans="9:35" x14ac:dyDescent="0.45">
      <c r="I92" t="s">
        <v>249</v>
      </c>
      <c r="J92" t="s">
        <v>404</v>
      </c>
      <c r="K92">
        <v>4.2174220768100264E-3</v>
      </c>
      <c r="L92" t="s">
        <v>251</v>
      </c>
      <c r="N92" t="s">
        <v>419</v>
      </c>
      <c r="O92" t="s">
        <v>404</v>
      </c>
      <c r="P92">
        <v>4.2806558018010097E-3</v>
      </c>
      <c r="Q92" t="s">
        <v>251</v>
      </c>
      <c r="S92" t="s">
        <v>420</v>
      </c>
      <c r="T92" t="s">
        <v>404</v>
      </c>
      <c r="U92">
        <v>3.0236851410871714E-3</v>
      </c>
      <c r="V92" t="s">
        <v>251</v>
      </c>
      <c r="X92">
        <v>3.4246575342465752E-3</v>
      </c>
      <c r="Y92">
        <v>5.0717251323869452E-3</v>
      </c>
      <c r="Z92" t="s">
        <v>404</v>
      </c>
      <c r="AA92" t="s">
        <v>25</v>
      </c>
      <c r="AC92" t="s">
        <v>22</v>
      </c>
      <c r="AD92" t="s">
        <v>404</v>
      </c>
      <c r="AE92">
        <v>3.7478698159495389E-3</v>
      </c>
      <c r="AG92" t="s">
        <v>99</v>
      </c>
      <c r="AH92" t="s">
        <v>404</v>
      </c>
      <c r="AI92">
        <v>5.810617310985644E-2</v>
      </c>
    </row>
    <row r="93" spans="9:35" x14ac:dyDescent="0.45">
      <c r="I93" t="s">
        <v>249</v>
      </c>
      <c r="J93" t="s">
        <v>405</v>
      </c>
      <c r="K93">
        <v>7.2308135574651999E-3</v>
      </c>
      <c r="L93" t="s">
        <v>251</v>
      </c>
      <c r="N93" t="s">
        <v>419</v>
      </c>
      <c r="O93" t="s">
        <v>405</v>
      </c>
      <c r="P93">
        <v>3.8538588286688457E-3</v>
      </c>
      <c r="Q93" t="s">
        <v>251</v>
      </c>
      <c r="S93" t="s">
        <v>420</v>
      </c>
      <c r="T93" t="s">
        <v>405</v>
      </c>
      <c r="U93">
        <v>2.9603012804413288E-3</v>
      </c>
      <c r="V93" t="s">
        <v>251</v>
      </c>
      <c r="X93">
        <v>3.4246575342465752E-3</v>
      </c>
      <c r="Y93">
        <v>5.7181214727892006E-3</v>
      </c>
      <c r="Z93" t="s">
        <v>405</v>
      </c>
      <c r="AA93" t="s">
        <v>25</v>
      </c>
      <c r="AC93" t="s">
        <v>22</v>
      </c>
      <c r="AD93" t="s">
        <v>405</v>
      </c>
      <c r="AE93">
        <v>3.7621481773000192E-3</v>
      </c>
      <c r="AG93" t="s">
        <v>99</v>
      </c>
      <c r="AH93" t="s">
        <v>405</v>
      </c>
      <c r="AI93">
        <v>5.5035171020012763E-2</v>
      </c>
    </row>
    <row r="94" spans="9:35" x14ac:dyDescent="0.45">
      <c r="I94" t="s">
        <v>249</v>
      </c>
      <c r="J94" t="s">
        <v>406</v>
      </c>
      <c r="K94">
        <v>6.0288203719271301E-2</v>
      </c>
      <c r="L94" t="s">
        <v>251</v>
      </c>
      <c r="N94" t="s">
        <v>419</v>
      </c>
      <c r="O94" t="s">
        <v>406</v>
      </c>
      <c r="P94">
        <v>1.7014136309921917E-2</v>
      </c>
      <c r="Q94" t="s">
        <v>251</v>
      </c>
      <c r="S94" t="s">
        <v>420</v>
      </c>
      <c r="T94" t="s">
        <v>406</v>
      </c>
      <c r="U94">
        <v>1.8352404363144538E-2</v>
      </c>
      <c r="V94" t="s">
        <v>251</v>
      </c>
      <c r="X94">
        <v>2.0547945205479451E-2</v>
      </c>
      <c r="Y94">
        <v>2.5895631852422749E-2</v>
      </c>
      <c r="Z94" t="s">
        <v>406</v>
      </c>
      <c r="AA94" t="s">
        <v>25</v>
      </c>
      <c r="AC94" t="s">
        <v>22</v>
      </c>
      <c r="AD94" t="s">
        <v>406</v>
      </c>
      <c r="AE94">
        <v>2.1069580739219031E-2</v>
      </c>
      <c r="AG94" t="s">
        <v>99</v>
      </c>
      <c r="AH94" t="s">
        <v>406</v>
      </c>
      <c r="AI94">
        <v>0.10874677642572528</v>
      </c>
    </row>
    <row r="95" spans="9:35" x14ac:dyDescent="0.45">
      <c r="I95" t="s">
        <v>249</v>
      </c>
      <c r="J95" t="s">
        <v>407</v>
      </c>
      <c r="K95">
        <v>2.7882090840113501E-2</v>
      </c>
      <c r="L95" t="s">
        <v>251</v>
      </c>
      <c r="N95" t="s">
        <v>419</v>
      </c>
      <c r="O95" t="s">
        <v>407</v>
      </c>
      <c r="P95">
        <v>7.5583101296307093E-3</v>
      </c>
      <c r="Q95" t="s">
        <v>251</v>
      </c>
      <c r="S95" t="s">
        <v>420</v>
      </c>
      <c r="T95" t="s">
        <v>407</v>
      </c>
      <c r="U95">
        <v>9.7236148432749466E-3</v>
      </c>
      <c r="V95" t="s">
        <v>251</v>
      </c>
      <c r="X95">
        <v>1.0273972602739725E-2</v>
      </c>
      <c r="Y95">
        <v>1.6348855132635558E-2</v>
      </c>
      <c r="Z95" t="s">
        <v>407</v>
      </c>
      <c r="AA95" t="s">
        <v>25</v>
      </c>
      <c r="AC95" t="s">
        <v>22</v>
      </c>
      <c r="AD95" t="s">
        <v>407</v>
      </c>
      <c r="AE95">
        <v>7.4430039204518537E-3</v>
      </c>
      <c r="AG95" t="s">
        <v>99</v>
      </c>
      <c r="AH95" t="s">
        <v>407</v>
      </c>
      <c r="AI95">
        <v>5.4528305774245167E-2</v>
      </c>
    </row>
    <row r="96" spans="9:35" x14ac:dyDescent="0.45">
      <c r="I96" t="s">
        <v>249</v>
      </c>
      <c r="J96" t="s">
        <v>408</v>
      </c>
      <c r="K96">
        <v>7.0415792442286998E-3</v>
      </c>
      <c r="L96" t="s">
        <v>251</v>
      </c>
      <c r="N96" t="s">
        <v>419</v>
      </c>
      <c r="O96" t="s">
        <v>408</v>
      </c>
      <c r="P96">
        <v>2.9598672303039887E-3</v>
      </c>
      <c r="Q96" t="s">
        <v>251</v>
      </c>
      <c r="S96" t="s">
        <v>420</v>
      </c>
      <c r="T96" t="s">
        <v>408</v>
      </c>
      <c r="U96">
        <v>3.2563955971113821E-3</v>
      </c>
      <c r="V96" t="s">
        <v>251</v>
      </c>
      <c r="X96">
        <v>3.4246575342465752E-3</v>
      </c>
      <c r="Y96">
        <v>6.662854585684809E-3</v>
      </c>
      <c r="Z96" t="s">
        <v>408</v>
      </c>
      <c r="AA96" t="s">
        <v>25</v>
      </c>
      <c r="AC96" t="s">
        <v>22</v>
      </c>
      <c r="AD96" t="s">
        <v>408</v>
      </c>
      <c r="AE96">
        <v>2.3591696150160315E-3</v>
      </c>
      <c r="AG96" t="s">
        <v>99</v>
      </c>
      <c r="AH96" t="s">
        <v>408</v>
      </c>
      <c r="AI96">
        <v>2.5864249786949456E-2</v>
      </c>
    </row>
    <row r="97" spans="9:35" x14ac:dyDescent="0.45">
      <c r="I97" t="s">
        <v>249</v>
      </c>
      <c r="J97" t="s">
        <v>409</v>
      </c>
      <c r="K97">
        <v>4.1807614240014232E-3</v>
      </c>
      <c r="L97" t="s">
        <v>251</v>
      </c>
      <c r="N97" t="s">
        <v>419</v>
      </c>
      <c r="O97" t="s">
        <v>409</v>
      </c>
      <c r="P97">
        <v>3.3455294891401029E-3</v>
      </c>
      <c r="Q97" t="s">
        <v>251</v>
      </c>
      <c r="S97" t="s">
        <v>420</v>
      </c>
      <c r="T97" t="s">
        <v>409</v>
      </c>
      <c r="U97">
        <v>3.238425197695286E-3</v>
      </c>
      <c r="V97" t="s">
        <v>251</v>
      </c>
      <c r="X97">
        <v>3.4246575342465752E-3</v>
      </c>
      <c r="Y97">
        <v>5.1711707232180593E-3</v>
      </c>
      <c r="Z97" t="s">
        <v>409</v>
      </c>
      <c r="AA97" t="s">
        <v>25</v>
      </c>
      <c r="AC97" t="s">
        <v>22</v>
      </c>
      <c r="AD97" t="s">
        <v>409</v>
      </c>
      <c r="AE97">
        <v>2.3797859723935933E-3</v>
      </c>
      <c r="AG97" t="s">
        <v>99</v>
      </c>
      <c r="AH97" t="s">
        <v>409</v>
      </c>
      <c r="AI97">
        <v>2.7494936993699426E-2</v>
      </c>
    </row>
    <row r="98" spans="9:35" x14ac:dyDescent="0.45">
      <c r="I98" t="s">
        <v>249</v>
      </c>
      <c r="J98" t="s">
        <v>410</v>
      </c>
      <c r="K98">
        <v>5.9271588075933296E-5</v>
      </c>
      <c r="L98" t="s">
        <v>251</v>
      </c>
      <c r="N98" t="s">
        <v>419</v>
      </c>
      <c r="O98" t="s">
        <v>410</v>
      </c>
      <c r="P98">
        <v>2.3746828472602736E-2</v>
      </c>
      <c r="Q98" t="s">
        <v>251</v>
      </c>
      <c r="S98" t="s">
        <v>420</v>
      </c>
      <c r="T98" t="s">
        <v>410</v>
      </c>
      <c r="U98">
        <v>1.5881674826197154E-2</v>
      </c>
      <c r="V98" t="s">
        <v>251</v>
      </c>
      <c r="X98">
        <v>1.7123287671232876E-2</v>
      </c>
      <c r="Y98">
        <v>1.2927926808045149E-2</v>
      </c>
      <c r="Z98" t="s">
        <v>410</v>
      </c>
      <c r="AA98" t="s">
        <v>25</v>
      </c>
      <c r="AC98" t="s">
        <v>22</v>
      </c>
      <c r="AD98" t="s">
        <v>410</v>
      </c>
      <c r="AE98">
        <v>1.6329373744555842E-2</v>
      </c>
      <c r="AG98" t="s">
        <v>99</v>
      </c>
      <c r="AH98" t="s">
        <v>410</v>
      </c>
      <c r="AI98">
        <v>0.14805486992572869</v>
      </c>
    </row>
    <row r="99" spans="9:35" x14ac:dyDescent="0.45">
      <c r="I99" t="s">
        <v>249</v>
      </c>
      <c r="J99" t="s">
        <v>411</v>
      </c>
      <c r="K99">
        <v>7.8154013398572715E-6</v>
      </c>
      <c r="L99" t="s">
        <v>251</v>
      </c>
      <c r="N99" t="s">
        <v>419</v>
      </c>
      <c r="O99" t="s">
        <v>411</v>
      </c>
      <c r="P99">
        <v>2.9783315040227628E-2</v>
      </c>
      <c r="Q99" t="s">
        <v>251</v>
      </c>
      <c r="S99" t="s">
        <v>420</v>
      </c>
      <c r="T99" t="s">
        <v>411</v>
      </c>
      <c r="U99">
        <v>2.0587673359039552E-2</v>
      </c>
      <c r="V99" t="s">
        <v>251</v>
      </c>
      <c r="X99">
        <v>2.1232876712328767E-2</v>
      </c>
      <c r="Y99">
        <v>4.5420116185598634E-3</v>
      </c>
      <c r="Z99" t="s">
        <v>411</v>
      </c>
      <c r="AA99" t="s">
        <v>25</v>
      </c>
      <c r="AC99" t="s">
        <v>22</v>
      </c>
      <c r="AD99" t="s">
        <v>411</v>
      </c>
      <c r="AE99">
        <v>2.3543483033091887E-2</v>
      </c>
      <c r="AG99" t="s">
        <v>99</v>
      </c>
      <c r="AH99" t="s">
        <v>411</v>
      </c>
      <c r="AI99">
        <v>0.11023422030113306</v>
      </c>
    </row>
    <row r="100" spans="9:35" x14ac:dyDescent="0.45">
      <c r="I100" t="s">
        <v>249</v>
      </c>
      <c r="J100" t="s">
        <v>412</v>
      </c>
      <c r="K100">
        <v>3.3569483176486771E-3</v>
      </c>
      <c r="L100" t="s">
        <v>251</v>
      </c>
      <c r="N100" t="s">
        <v>419</v>
      </c>
      <c r="O100" t="s">
        <v>412</v>
      </c>
      <c r="P100">
        <v>4.3790628797977845E-3</v>
      </c>
      <c r="Q100" t="s">
        <v>251</v>
      </c>
      <c r="S100" t="s">
        <v>420</v>
      </c>
      <c r="T100" t="s">
        <v>412</v>
      </c>
      <c r="U100">
        <v>3.4986673592877107E-3</v>
      </c>
      <c r="V100" t="s">
        <v>251</v>
      </c>
      <c r="X100">
        <v>3.5388127853881279E-3</v>
      </c>
      <c r="Y100">
        <v>5.240782636799844E-3</v>
      </c>
      <c r="Z100" t="s">
        <v>412</v>
      </c>
      <c r="AA100" t="s">
        <v>25</v>
      </c>
      <c r="AC100" t="s">
        <v>22</v>
      </c>
      <c r="AD100" t="s">
        <v>412</v>
      </c>
      <c r="AE100">
        <v>3.9673982100870749E-3</v>
      </c>
      <c r="AG100" t="s">
        <v>99</v>
      </c>
      <c r="AH100" t="s">
        <v>412</v>
      </c>
      <c r="AI100">
        <v>0.10400483630387303</v>
      </c>
    </row>
    <row r="101" spans="9:35" x14ac:dyDescent="0.45">
      <c r="I101" t="s">
        <v>249</v>
      </c>
      <c r="J101" t="s">
        <v>413</v>
      </c>
      <c r="K101">
        <v>6.4302276041504E-3</v>
      </c>
      <c r="L101" t="s">
        <v>251</v>
      </c>
      <c r="N101" t="s">
        <v>419</v>
      </c>
      <c r="O101" t="s">
        <v>413</v>
      </c>
      <c r="P101">
        <v>3.7729951204138229E-3</v>
      </c>
      <c r="Q101" t="s">
        <v>251</v>
      </c>
      <c r="S101" t="s">
        <v>420</v>
      </c>
      <c r="T101" t="s">
        <v>413</v>
      </c>
      <c r="U101">
        <v>3.4928716870599335E-3</v>
      </c>
      <c r="V101" t="s">
        <v>251</v>
      </c>
      <c r="X101">
        <v>3.5388127853881279E-3</v>
      </c>
      <c r="Y101">
        <v>5.9087255218821738E-3</v>
      </c>
      <c r="Z101" t="s">
        <v>413</v>
      </c>
      <c r="AA101" t="s">
        <v>25</v>
      </c>
      <c r="AC101" t="s">
        <v>22</v>
      </c>
      <c r="AD101" t="s">
        <v>413</v>
      </c>
      <c r="AE101">
        <v>3.9633952652278663E-3</v>
      </c>
      <c r="AG101" t="s">
        <v>99</v>
      </c>
      <c r="AH101" t="s">
        <v>413</v>
      </c>
      <c r="AI101">
        <v>7.4066305318186254E-2</v>
      </c>
    </row>
    <row r="102" spans="9:35" x14ac:dyDescent="0.45">
      <c r="I102" t="s">
        <v>249</v>
      </c>
      <c r="J102" t="s">
        <v>414</v>
      </c>
      <c r="K102">
        <v>5.8339775957822602E-2</v>
      </c>
      <c r="L102" t="s">
        <v>251</v>
      </c>
      <c r="N102" t="s">
        <v>419</v>
      </c>
      <c r="O102" t="s">
        <v>414</v>
      </c>
      <c r="P102">
        <v>1.7468390542046991E-2</v>
      </c>
      <c r="Q102" t="s">
        <v>251</v>
      </c>
      <c r="S102" t="s">
        <v>420</v>
      </c>
      <c r="T102" t="s">
        <v>414</v>
      </c>
      <c r="U102">
        <v>2.1873171101000038E-2</v>
      </c>
      <c r="V102" t="s">
        <v>251</v>
      </c>
      <c r="X102">
        <v>2.1232876712328767E-2</v>
      </c>
      <c r="Y102">
        <v>2.6758819580836844E-2</v>
      </c>
      <c r="Z102" t="s">
        <v>414</v>
      </c>
      <c r="AA102" t="s">
        <v>25</v>
      </c>
      <c r="AC102" t="s">
        <v>22</v>
      </c>
      <c r="AD102" t="s">
        <v>414</v>
      </c>
      <c r="AE102">
        <v>2.2049068155943537E-2</v>
      </c>
      <c r="AG102" t="s">
        <v>99</v>
      </c>
      <c r="AH102" t="s">
        <v>414</v>
      </c>
      <c r="AI102">
        <v>0.12911283864389511</v>
      </c>
    </row>
    <row r="103" spans="9:35" x14ac:dyDescent="0.45">
      <c r="I103" t="s">
        <v>249</v>
      </c>
      <c r="J103" t="s">
        <v>415</v>
      </c>
      <c r="K103">
        <v>2.6819735968727498E-2</v>
      </c>
      <c r="L103" t="s">
        <v>251</v>
      </c>
      <c r="N103" t="s">
        <v>419</v>
      </c>
      <c r="O103" t="s">
        <v>415</v>
      </c>
      <c r="P103">
        <v>7.5630787877283816E-3</v>
      </c>
      <c r="Q103" t="s">
        <v>251</v>
      </c>
      <c r="S103" t="s">
        <v>420</v>
      </c>
      <c r="T103" t="s">
        <v>415</v>
      </c>
      <c r="U103">
        <v>1.1295279616735264E-2</v>
      </c>
      <c r="V103" t="s">
        <v>251</v>
      </c>
      <c r="X103">
        <v>1.0616438356164383E-2</v>
      </c>
      <c r="Y103">
        <v>1.6893816970390073E-2</v>
      </c>
      <c r="Z103" t="s">
        <v>415</v>
      </c>
      <c r="AA103" t="s">
        <v>25</v>
      </c>
      <c r="AC103" t="s">
        <v>22</v>
      </c>
      <c r="AD103" t="s">
        <v>415</v>
      </c>
      <c r="AE103">
        <v>7.9396068416197289E-3</v>
      </c>
      <c r="AG103" t="s">
        <v>99</v>
      </c>
      <c r="AH103" t="s">
        <v>415</v>
      </c>
      <c r="AI103">
        <v>6.2183768556017149E-2</v>
      </c>
    </row>
    <row r="104" spans="9:35" x14ac:dyDescent="0.45">
      <c r="I104" t="s">
        <v>249</v>
      </c>
      <c r="J104" t="s">
        <v>416</v>
      </c>
      <c r="K104">
        <v>6.7134710151176002E-3</v>
      </c>
      <c r="L104" t="s">
        <v>251</v>
      </c>
      <c r="N104" t="s">
        <v>419</v>
      </c>
      <c r="O104" t="s">
        <v>416</v>
      </c>
      <c r="P104">
        <v>2.8396267792552905E-3</v>
      </c>
      <c r="Q104" t="s">
        <v>251</v>
      </c>
      <c r="S104" t="s">
        <v>420</v>
      </c>
      <c r="T104" t="s">
        <v>416</v>
      </c>
      <c r="U104">
        <v>3.800250958987022E-3</v>
      </c>
      <c r="V104" t="s">
        <v>251</v>
      </c>
      <c r="X104">
        <v>3.5388127853881279E-3</v>
      </c>
      <c r="Y104">
        <v>6.8849497385409693E-3</v>
      </c>
      <c r="Z104" t="s">
        <v>416</v>
      </c>
      <c r="AA104" t="s">
        <v>25</v>
      </c>
      <c r="AC104" t="s">
        <v>22</v>
      </c>
      <c r="AD104" t="s">
        <v>416</v>
      </c>
      <c r="AE104">
        <v>2.5116069854195398E-3</v>
      </c>
      <c r="AG104" t="s">
        <v>99</v>
      </c>
      <c r="AH104" t="s">
        <v>416</v>
      </c>
      <c r="AI104">
        <v>2.6522664700230569E-2</v>
      </c>
    </row>
    <row r="105" spans="9:35" x14ac:dyDescent="0.45">
      <c r="I105" t="s">
        <v>249</v>
      </c>
      <c r="J105" t="s">
        <v>417</v>
      </c>
      <c r="K105">
        <v>4.3636159800594957E-3</v>
      </c>
      <c r="L105" t="s">
        <v>251</v>
      </c>
      <c r="N105" t="s">
        <v>419</v>
      </c>
      <c r="O105" t="s">
        <v>417</v>
      </c>
      <c r="P105">
        <v>2.9791966895662955E-3</v>
      </c>
      <c r="Q105" t="s">
        <v>251</v>
      </c>
      <c r="S105" t="s">
        <v>420</v>
      </c>
      <c r="T105" t="s">
        <v>417</v>
      </c>
      <c r="U105">
        <v>3.7640084620224664E-3</v>
      </c>
      <c r="V105" t="s">
        <v>251</v>
      </c>
      <c r="X105">
        <v>3.5388127853881279E-3</v>
      </c>
      <c r="Y105">
        <v>5.3435430806586613E-3</v>
      </c>
      <c r="Z105" t="s">
        <v>417</v>
      </c>
      <c r="AA105" t="s">
        <v>25</v>
      </c>
      <c r="AC105" t="s">
        <v>22</v>
      </c>
      <c r="AD105" t="s">
        <v>417</v>
      </c>
      <c r="AE105">
        <v>2.5292032638631447E-3</v>
      </c>
      <c r="AG105" t="s">
        <v>99</v>
      </c>
      <c r="AH105" t="s">
        <v>417</v>
      </c>
      <c r="AI105">
        <v>2.5865442867635702E-2</v>
      </c>
    </row>
    <row r="106" spans="9:35" x14ac:dyDescent="0.45">
      <c r="I106" t="s">
        <v>249</v>
      </c>
      <c r="J106" t="s">
        <v>418</v>
      </c>
      <c r="K106">
        <v>9.7873174655531696E-4</v>
      </c>
      <c r="L106" t="s">
        <v>251</v>
      </c>
      <c r="N106" t="s">
        <v>419</v>
      </c>
      <c r="O106" t="s">
        <v>418</v>
      </c>
      <c r="P106">
        <v>2.1583413457200773E-2</v>
      </c>
      <c r="Q106" t="s">
        <v>251</v>
      </c>
      <c r="S106" t="s">
        <v>420</v>
      </c>
      <c r="T106" t="s">
        <v>418</v>
      </c>
      <c r="U106">
        <v>1.7666422501777586E-2</v>
      </c>
      <c r="V106" t="s">
        <v>251</v>
      </c>
      <c r="X106">
        <v>1.7694063926940638E-2</v>
      </c>
      <c r="Y106">
        <v>1.3358857701646654E-2</v>
      </c>
      <c r="Z106" t="s">
        <v>418</v>
      </c>
      <c r="AA106" t="s">
        <v>25</v>
      </c>
      <c r="AC106" t="s">
        <v>22</v>
      </c>
      <c r="AD106" t="s">
        <v>418</v>
      </c>
      <c r="AE106">
        <v>1.7246656839578167E-2</v>
      </c>
      <c r="AG106" t="s">
        <v>99</v>
      </c>
      <c r="AH106" t="s">
        <v>418</v>
      </c>
      <c r="AI106">
        <v>0.15733680317509191</v>
      </c>
    </row>
    <row r="107" spans="9:35" x14ac:dyDescent="0.45">
      <c r="AC107" t="s">
        <v>19</v>
      </c>
      <c r="AD107" t="s">
        <v>250</v>
      </c>
      <c r="AE107">
        <v>2.1456565378467178E-2</v>
      </c>
    </row>
    <row r="108" spans="9:35" x14ac:dyDescent="0.45">
      <c r="AC108" t="s">
        <v>19</v>
      </c>
      <c r="AD108" t="s">
        <v>252</v>
      </c>
      <c r="AE108">
        <v>3.576040295125745E-3</v>
      </c>
    </row>
    <row r="109" spans="9:35" x14ac:dyDescent="0.45">
      <c r="AC109" t="s">
        <v>19</v>
      </c>
      <c r="AD109" t="s">
        <v>253</v>
      </c>
      <c r="AE109">
        <v>3.5736532532879115E-3</v>
      </c>
    </row>
    <row r="110" spans="9:35" x14ac:dyDescent="0.45">
      <c r="AC110" t="s">
        <v>19</v>
      </c>
      <c r="AD110" t="s">
        <v>254</v>
      </c>
      <c r="AE110">
        <v>2.1308912110266864E-2</v>
      </c>
    </row>
    <row r="111" spans="9:35" x14ac:dyDescent="0.45">
      <c r="AC111" t="s">
        <v>19</v>
      </c>
      <c r="AD111" t="s">
        <v>255</v>
      </c>
      <c r="AE111">
        <v>1.044333875225935E-2</v>
      </c>
    </row>
    <row r="112" spans="9:35" x14ac:dyDescent="0.45">
      <c r="AC112" t="s">
        <v>19</v>
      </c>
      <c r="AD112" t="s">
        <v>256</v>
      </c>
      <c r="AE112">
        <v>3.4710603292848782E-3</v>
      </c>
    </row>
    <row r="113" spans="29:31" x14ac:dyDescent="0.45">
      <c r="AC113" t="s">
        <v>19</v>
      </c>
      <c r="AD113" t="s">
        <v>257</v>
      </c>
      <c r="AE113">
        <v>3.4720253530016311E-3</v>
      </c>
    </row>
    <row r="114" spans="29:31" x14ac:dyDescent="0.45">
      <c r="AC114" t="s">
        <v>19</v>
      </c>
      <c r="AD114" t="s">
        <v>258</v>
      </c>
      <c r="AE114">
        <v>1.7648070356031446E-2</v>
      </c>
    </row>
    <row r="115" spans="29:31" x14ac:dyDescent="0.45">
      <c r="AC115" t="s">
        <v>19</v>
      </c>
      <c r="AD115" t="s">
        <v>259</v>
      </c>
      <c r="AE115">
        <v>1.9338882885437635E-2</v>
      </c>
    </row>
    <row r="116" spans="29:31" x14ac:dyDescent="0.45">
      <c r="AC116" t="s">
        <v>19</v>
      </c>
      <c r="AD116" t="s">
        <v>260</v>
      </c>
      <c r="AE116">
        <v>3.2252687047878417E-3</v>
      </c>
    </row>
    <row r="117" spans="29:31" x14ac:dyDescent="0.45">
      <c r="AC117" t="s">
        <v>19</v>
      </c>
      <c r="AD117" t="s">
        <v>261</v>
      </c>
      <c r="AE117">
        <v>3.2251801669548538E-3</v>
      </c>
    </row>
    <row r="118" spans="29:31" x14ac:dyDescent="0.45">
      <c r="AC118" t="s">
        <v>19</v>
      </c>
      <c r="AD118" t="s">
        <v>262</v>
      </c>
      <c r="AE118">
        <v>1.9240831294999098E-2</v>
      </c>
    </row>
    <row r="119" spans="29:31" x14ac:dyDescent="0.45">
      <c r="AC119" t="s">
        <v>19</v>
      </c>
      <c r="AD119" t="s">
        <v>263</v>
      </c>
      <c r="AE119">
        <v>9.4468789817617298E-3</v>
      </c>
    </row>
    <row r="120" spans="29:31" x14ac:dyDescent="0.45">
      <c r="AC120" t="s">
        <v>19</v>
      </c>
      <c r="AD120" t="s">
        <v>264</v>
      </c>
      <c r="AE120">
        <v>3.1401567833205745E-3</v>
      </c>
    </row>
    <row r="121" spans="29:31" x14ac:dyDescent="0.45">
      <c r="AC121" t="s">
        <v>19</v>
      </c>
      <c r="AD121" t="s">
        <v>265</v>
      </c>
      <c r="AE121">
        <v>3.1404962427850408E-3</v>
      </c>
    </row>
    <row r="122" spans="29:31" x14ac:dyDescent="0.45">
      <c r="AC122" t="s">
        <v>19</v>
      </c>
      <c r="AD122" t="s">
        <v>266</v>
      </c>
      <c r="AE122">
        <v>1.5953616264111251E-2</v>
      </c>
    </row>
    <row r="123" spans="29:31" x14ac:dyDescent="0.45">
      <c r="AC123" t="s">
        <v>19</v>
      </c>
      <c r="AD123" t="s">
        <v>267</v>
      </c>
      <c r="AE123">
        <v>2.1406099770568909E-2</v>
      </c>
    </row>
    <row r="124" spans="29:31" x14ac:dyDescent="0.45">
      <c r="AC124" t="s">
        <v>19</v>
      </c>
      <c r="AD124" t="s">
        <v>268</v>
      </c>
      <c r="AE124">
        <v>3.5705543953033956E-3</v>
      </c>
    </row>
    <row r="125" spans="29:31" x14ac:dyDescent="0.45">
      <c r="AC125" t="s">
        <v>19</v>
      </c>
      <c r="AD125" t="s">
        <v>269</v>
      </c>
      <c r="AE125">
        <v>3.5700579648337196E-3</v>
      </c>
    </row>
    <row r="126" spans="29:31" x14ac:dyDescent="0.45">
      <c r="AC126" t="s">
        <v>19</v>
      </c>
      <c r="AD126" t="s">
        <v>270</v>
      </c>
      <c r="AE126">
        <v>2.1303818855435835E-2</v>
      </c>
    </row>
    <row r="127" spans="29:31" x14ac:dyDescent="0.45">
      <c r="AC127" t="s">
        <v>19</v>
      </c>
      <c r="AD127" t="s">
        <v>271</v>
      </c>
      <c r="AE127">
        <v>1.0459243370575593E-2</v>
      </c>
    </row>
    <row r="128" spans="29:31" x14ac:dyDescent="0.45">
      <c r="AC128" t="s">
        <v>19</v>
      </c>
      <c r="AD128" t="s">
        <v>272</v>
      </c>
      <c r="AE128">
        <v>3.4767112516424447E-3</v>
      </c>
    </row>
    <row r="129" spans="29:31" x14ac:dyDescent="0.45">
      <c r="AC129" t="s">
        <v>19</v>
      </c>
      <c r="AD129" t="s">
        <v>273</v>
      </c>
      <c r="AE129">
        <v>3.4773333362419063E-3</v>
      </c>
    </row>
    <row r="130" spans="29:31" x14ac:dyDescent="0.45">
      <c r="AC130" t="s">
        <v>19</v>
      </c>
      <c r="AD130" t="s">
        <v>274</v>
      </c>
      <c r="AE130">
        <v>1.7662409062916596E-2</v>
      </c>
    </row>
    <row r="131" spans="29:31" x14ac:dyDescent="0.45">
      <c r="AC131" t="s">
        <v>19</v>
      </c>
      <c r="AD131" t="s">
        <v>275</v>
      </c>
      <c r="AE131">
        <v>2.0694850968251445E-2</v>
      </c>
    </row>
    <row r="132" spans="29:31" x14ac:dyDescent="0.45">
      <c r="AC132" t="s">
        <v>19</v>
      </c>
      <c r="AD132" t="s">
        <v>276</v>
      </c>
      <c r="AE132">
        <v>3.4504237579177808E-3</v>
      </c>
    </row>
    <row r="133" spans="29:31" x14ac:dyDescent="0.45">
      <c r="AC133" t="s">
        <v>19</v>
      </c>
      <c r="AD133" t="s">
        <v>277</v>
      </c>
      <c r="AE133">
        <v>3.4522266047091348E-3</v>
      </c>
    </row>
    <row r="134" spans="29:31" x14ac:dyDescent="0.45">
      <c r="AC134" t="s">
        <v>19</v>
      </c>
      <c r="AD134" t="s">
        <v>278</v>
      </c>
      <c r="AE134">
        <v>2.0660796765939099E-2</v>
      </c>
    </row>
    <row r="135" spans="29:31" x14ac:dyDescent="0.45">
      <c r="AC135" t="s">
        <v>19</v>
      </c>
      <c r="AD135" t="s">
        <v>279</v>
      </c>
      <c r="AE135">
        <v>1.0145478419643389E-2</v>
      </c>
    </row>
    <row r="136" spans="29:31" x14ac:dyDescent="0.45">
      <c r="AC136" t="s">
        <v>19</v>
      </c>
      <c r="AD136" t="s">
        <v>280</v>
      </c>
      <c r="AE136">
        <v>3.361101456532469E-3</v>
      </c>
    </row>
    <row r="137" spans="29:31" x14ac:dyDescent="0.45">
      <c r="AC137" t="s">
        <v>19</v>
      </c>
      <c r="AD137" t="s">
        <v>281</v>
      </c>
      <c r="AE137">
        <v>3.3621372331899936E-3</v>
      </c>
    </row>
    <row r="138" spans="29:31" x14ac:dyDescent="0.45">
      <c r="AC138" t="s">
        <v>19</v>
      </c>
      <c r="AD138" t="s">
        <v>282</v>
      </c>
      <c r="AE138">
        <v>1.7050597402635478E-2</v>
      </c>
    </row>
    <row r="139" spans="29:31" x14ac:dyDescent="0.45">
      <c r="AC139" t="s">
        <v>19</v>
      </c>
      <c r="AD139" t="s">
        <v>283</v>
      </c>
      <c r="AE139">
        <v>2.1374416033414972E-2</v>
      </c>
    </row>
    <row r="140" spans="29:31" x14ac:dyDescent="0.45">
      <c r="AC140" t="s">
        <v>19</v>
      </c>
      <c r="AD140" t="s">
        <v>284</v>
      </c>
      <c r="AE140">
        <v>3.5620745538620506E-3</v>
      </c>
    </row>
    <row r="141" spans="29:31" x14ac:dyDescent="0.45">
      <c r="AC141" t="s">
        <v>19</v>
      </c>
      <c r="AD141" t="s">
        <v>285</v>
      </c>
      <c r="AE141">
        <v>3.5664167739593473E-3</v>
      </c>
    </row>
    <row r="142" spans="29:31" x14ac:dyDescent="0.45">
      <c r="AC142" t="s">
        <v>19</v>
      </c>
      <c r="AD142" t="s">
        <v>286</v>
      </c>
      <c r="AE142">
        <v>2.1376660022858898E-2</v>
      </c>
    </row>
    <row r="143" spans="29:31" x14ac:dyDescent="0.45">
      <c r="AC143" t="s">
        <v>19</v>
      </c>
      <c r="AD143" t="s">
        <v>287</v>
      </c>
      <c r="AE143">
        <v>1.0489346837897689E-2</v>
      </c>
    </row>
    <row r="144" spans="29:31" x14ac:dyDescent="0.45">
      <c r="AC144" t="s">
        <v>19</v>
      </c>
      <c r="AD144" t="s">
        <v>288</v>
      </c>
      <c r="AE144">
        <v>3.4713576849501643E-3</v>
      </c>
    </row>
    <row r="145" spans="29:31" x14ac:dyDescent="0.45">
      <c r="AC145" t="s">
        <v>19</v>
      </c>
      <c r="AD145" t="s">
        <v>289</v>
      </c>
      <c r="AE145">
        <v>3.4729768833979854E-3</v>
      </c>
    </row>
    <row r="146" spans="29:31" x14ac:dyDescent="0.45">
      <c r="AC146" t="s">
        <v>19</v>
      </c>
      <c r="AD146" t="s">
        <v>290</v>
      </c>
      <c r="AE146">
        <v>1.7611401581249332E-2</v>
      </c>
    </row>
    <row r="147" spans="29:31" x14ac:dyDescent="0.45">
      <c r="AC147" t="s">
        <v>19</v>
      </c>
      <c r="AD147" t="s">
        <v>291</v>
      </c>
      <c r="AE147">
        <v>2.0653491321824691E-2</v>
      </c>
    </row>
    <row r="148" spans="29:31" x14ac:dyDescent="0.45">
      <c r="AC148" t="s">
        <v>19</v>
      </c>
      <c r="AD148" t="s">
        <v>292</v>
      </c>
      <c r="AE148">
        <v>3.441885187669315E-3</v>
      </c>
    </row>
    <row r="149" spans="29:31" x14ac:dyDescent="0.45">
      <c r="AC149" t="s">
        <v>19</v>
      </c>
      <c r="AD149" t="s">
        <v>293</v>
      </c>
      <c r="AE149">
        <v>3.4584927973460482E-3</v>
      </c>
    </row>
    <row r="150" spans="29:31" x14ac:dyDescent="0.45">
      <c r="AC150" t="s">
        <v>19</v>
      </c>
      <c r="AD150" t="s">
        <v>294</v>
      </c>
      <c r="AE150">
        <v>2.0747369262013888E-2</v>
      </c>
    </row>
    <row r="151" spans="29:31" x14ac:dyDescent="0.45">
      <c r="AC151" t="s">
        <v>19</v>
      </c>
      <c r="AD151" t="s">
        <v>295</v>
      </c>
      <c r="AE151">
        <v>1.0140420884415182E-2</v>
      </c>
    </row>
    <row r="152" spans="29:31" x14ac:dyDescent="0.45">
      <c r="AC152" t="s">
        <v>19</v>
      </c>
      <c r="AD152" t="s">
        <v>296</v>
      </c>
      <c r="AE152">
        <v>3.3544998930231588E-3</v>
      </c>
    </row>
    <row r="153" spans="29:31" x14ac:dyDescent="0.45">
      <c r="AC153" t="s">
        <v>19</v>
      </c>
      <c r="AD153" t="s">
        <v>297</v>
      </c>
      <c r="AE153">
        <v>3.3560796554056318E-3</v>
      </c>
    </row>
    <row r="154" spans="29:31" x14ac:dyDescent="0.45">
      <c r="AC154" t="s">
        <v>19</v>
      </c>
      <c r="AD154" t="s">
        <v>298</v>
      </c>
      <c r="AE154">
        <v>1.7061237963495509E-2</v>
      </c>
    </row>
    <row r="155" spans="29:31" x14ac:dyDescent="0.45">
      <c r="AC155" t="s">
        <v>19</v>
      </c>
      <c r="AD155" t="s">
        <v>323</v>
      </c>
      <c r="AE155">
        <v>2.1346820840001699E-2</v>
      </c>
    </row>
    <row r="156" spans="29:31" x14ac:dyDescent="0.45">
      <c r="AC156" t="s">
        <v>19</v>
      </c>
      <c r="AD156" t="s">
        <v>324</v>
      </c>
      <c r="AE156">
        <v>3.557157031164381E-3</v>
      </c>
    </row>
    <row r="157" spans="29:31" x14ac:dyDescent="0.45">
      <c r="AC157" t="s">
        <v>19</v>
      </c>
      <c r="AD157" t="s">
        <v>325</v>
      </c>
      <c r="AE157">
        <v>3.5730536317805741E-3</v>
      </c>
    </row>
    <row r="158" spans="29:31" x14ac:dyDescent="0.45">
      <c r="AC158" t="s">
        <v>19</v>
      </c>
      <c r="AD158" t="s">
        <v>326</v>
      </c>
      <c r="AE158">
        <v>2.1431810973620097E-2</v>
      </c>
    </row>
    <row r="159" spans="29:31" x14ac:dyDescent="0.45">
      <c r="AC159" t="s">
        <v>19</v>
      </c>
      <c r="AD159" t="s">
        <v>327</v>
      </c>
      <c r="AE159">
        <v>1.0477739875958328E-2</v>
      </c>
    </row>
    <row r="160" spans="29:31" x14ac:dyDescent="0.45">
      <c r="AC160" t="s">
        <v>19</v>
      </c>
      <c r="AD160" t="s">
        <v>328</v>
      </c>
      <c r="AE160">
        <v>3.4655134147168151E-3</v>
      </c>
    </row>
    <row r="161" spans="29:31" x14ac:dyDescent="0.45">
      <c r="AC161" t="s">
        <v>19</v>
      </c>
      <c r="AD161" t="s">
        <v>329</v>
      </c>
      <c r="AE161">
        <v>3.4671685695771598E-3</v>
      </c>
    </row>
    <row r="162" spans="29:31" x14ac:dyDescent="0.45">
      <c r="AC162" t="s">
        <v>19</v>
      </c>
      <c r="AD162" t="s">
        <v>330</v>
      </c>
      <c r="AE162">
        <v>1.7639771190730177E-2</v>
      </c>
    </row>
    <row r="163" spans="29:31" x14ac:dyDescent="0.45">
      <c r="AC163" t="s">
        <v>19</v>
      </c>
      <c r="AD163" t="s">
        <v>331</v>
      </c>
      <c r="AE163">
        <v>2.134432436308252E-2</v>
      </c>
    </row>
    <row r="164" spans="29:31" x14ac:dyDescent="0.45">
      <c r="AC164" t="s">
        <v>19</v>
      </c>
      <c r="AD164" t="s">
        <v>332</v>
      </c>
      <c r="AE164">
        <v>3.5586963232513611E-3</v>
      </c>
    </row>
    <row r="165" spans="29:31" x14ac:dyDescent="0.45">
      <c r="AC165" t="s">
        <v>19</v>
      </c>
      <c r="AD165" t="s">
        <v>333</v>
      </c>
      <c r="AE165">
        <v>3.5689408077957539E-3</v>
      </c>
    </row>
    <row r="166" spans="29:31" x14ac:dyDescent="0.45">
      <c r="AC166" t="s">
        <v>19</v>
      </c>
      <c r="AD166" t="s">
        <v>334</v>
      </c>
      <c r="AE166">
        <v>2.1425827111314258E-2</v>
      </c>
    </row>
    <row r="167" spans="29:31" x14ac:dyDescent="0.45">
      <c r="AC167" t="s">
        <v>19</v>
      </c>
      <c r="AD167" t="s">
        <v>335</v>
      </c>
      <c r="AE167">
        <v>1.0482450156333171E-2</v>
      </c>
    </row>
    <row r="168" spans="29:31" x14ac:dyDescent="0.45">
      <c r="AC168" t="s">
        <v>19</v>
      </c>
      <c r="AD168" t="s">
        <v>336</v>
      </c>
      <c r="AE168">
        <v>3.4675862535702693E-3</v>
      </c>
    </row>
    <row r="169" spans="29:31" x14ac:dyDescent="0.45">
      <c r="AC169" t="s">
        <v>19</v>
      </c>
      <c r="AD169" t="s">
        <v>337</v>
      </c>
      <c r="AE169">
        <v>3.4692027456214489E-3</v>
      </c>
    </row>
    <row r="170" spans="29:31" x14ac:dyDescent="0.45">
      <c r="AC170" t="s">
        <v>19</v>
      </c>
      <c r="AD170" t="s">
        <v>338</v>
      </c>
      <c r="AE170">
        <v>1.7627093897247603E-2</v>
      </c>
    </row>
    <row r="171" spans="29:31" x14ac:dyDescent="0.45">
      <c r="AC171" t="s">
        <v>19</v>
      </c>
      <c r="AD171" t="s">
        <v>339</v>
      </c>
      <c r="AE171">
        <v>2.0680614423006657E-2</v>
      </c>
    </row>
    <row r="172" spans="29:31" x14ac:dyDescent="0.45">
      <c r="AC172" t="s">
        <v>19</v>
      </c>
      <c r="AD172" t="s">
        <v>340</v>
      </c>
      <c r="AE172">
        <v>3.4475136517676079E-3</v>
      </c>
    </row>
    <row r="173" spans="29:31" x14ac:dyDescent="0.45">
      <c r="AC173" t="s">
        <v>19</v>
      </c>
      <c r="AD173" t="s">
        <v>341</v>
      </c>
      <c r="AE173">
        <v>3.4504133624549669E-3</v>
      </c>
    </row>
    <row r="174" spans="29:31" x14ac:dyDescent="0.45">
      <c r="AC174" t="s">
        <v>19</v>
      </c>
      <c r="AD174" t="s">
        <v>342</v>
      </c>
      <c r="AE174">
        <v>2.066762101273065E-2</v>
      </c>
    </row>
    <row r="175" spans="29:31" x14ac:dyDescent="0.45">
      <c r="AC175" t="s">
        <v>19</v>
      </c>
      <c r="AD175" t="s">
        <v>343</v>
      </c>
      <c r="AE175">
        <v>1.0157498430871612E-2</v>
      </c>
    </row>
    <row r="176" spans="29:31" x14ac:dyDescent="0.45">
      <c r="AC176" t="s">
        <v>19</v>
      </c>
      <c r="AD176" t="s">
        <v>344</v>
      </c>
      <c r="AE176">
        <v>3.3618299073527938E-3</v>
      </c>
    </row>
    <row r="177" spans="29:31" x14ac:dyDescent="0.45">
      <c r="AC177" t="s">
        <v>19</v>
      </c>
      <c r="AD177" t="s">
        <v>345</v>
      </c>
      <c r="AE177">
        <v>3.3635295244436782E-3</v>
      </c>
    </row>
    <row r="178" spans="29:31" x14ac:dyDescent="0.45">
      <c r="AC178" t="s">
        <v>19</v>
      </c>
      <c r="AD178" t="s">
        <v>346</v>
      </c>
      <c r="AE178">
        <v>1.7048088017170896E-2</v>
      </c>
    </row>
    <row r="179" spans="29:31" x14ac:dyDescent="0.45">
      <c r="AC179" t="s">
        <v>19</v>
      </c>
      <c r="AD179" t="s">
        <v>395</v>
      </c>
      <c r="AE179">
        <v>2.1387748584187277E-2</v>
      </c>
    </row>
    <row r="180" spans="29:31" x14ac:dyDescent="0.45">
      <c r="AC180" t="s">
        <v>19</v>
      </c>
      <c r="AD180" t="s">
        <v>396</v>
      </c>
      <c r="AE180">
        <v>3.5672261267078497E-3</v>
      </c>
    </row>
    <row r="181" spans="29:31" x14ac:dyDescent="0.45">
      <c r="AC181" t="s">
        <v>19</v>
      </c>
      <c r="AD181" t="s">
        <v>397</v>
      </c>
      <c r="AE181">
        <v>3.568305205711639E-3</v>
      </c>
    </row>
    <row r="182" spans="29:31" x14ac:dyDescent="0.45">
      <c r="AC182" t="s">
        <v>19</v>
      </c>
      <c r="AD182" t="s">
        <v>398</v>
      </c>
      <c r="AE182">
        <v>2.1316600509506053E-2</v>
      </c>
    </row>
    <row r="183" spans="29:31" x14ac:dyDescent="0.45">
      <c r="AC183" t="s">
        <v>19</v>
      </c>
      <c r="AD183" t="s">
        <v>399</v>
      </c>
      <c r="AE183">
        <v>1.0451339783806296E-2</v>
      </c>
    </row>
    <row r="184" spans="29:31" x14ac:dyDescent="0.45">
      <c r="AC184" t="s">
        <v>19</v>
      </c>
      <c r="AD184" t="s">
        <v>400</v>
      </c>
      <c r="AE184">
        <v>3.4731533259604605E-3</v>
      </c>
    </row>
    <row r="185" spans="29:31" x14ac:dyDescent="0.45">
      <c r="AC185" t="s">
        <v>19</v>
      </c>
      <c r="AD185" t="s">
        <v>401</v>
      </c>
      <c r="AE185">
        <v>3.4745884894366572E-3</v>
      </c>
    </row>
    <row r="186" spans="29:31" x14ac:dyDescent="0.45">
      <c r="AC186" t="s">
        <v>19</v>
      </c>
      <c r="AD186" t="s">
        <v>402</v>
      </c>
      <c r="AE186">
        <v>1.7679756582103724E-2</v>
      </c>
    </row>
    <row r="187" spans="29:31" x14ac:dyDescent="0.45">
      <c r="AC187" t="s">
        <v>19</v>
      </c>
      <c r="AD187" t="s">
        <v>403</v>
      </c>
      <c r="AE187">
        <v>2.0700732586758447E-2</v>
      </c>
    </row>
    <row r="188" spans="29:31" x14ac:dyDescent="0.45">
      <c r="AC188" t="s">
        <v>19</v>
      </c>
      <c r="AD188" t="s">
        <v>404</v>
      </c>
      <c r="AE188">
        <v>3.452575381910611E-3</v>
      </c>
    </row>
    <row r="189" spans="29:31" x14ac:dyDescent="0.45">
      <c r="AC189" t="s">
        <v>19</v>
      </c>
      <c r="AD189" t="s">
        <v>405</v>
      </c>
      <c r="AE189">
        <v>3.4535021294462907E-3</v>
      </c>
    </row>
    <row r="190" spans="29:31" x14ac:dyDescent="0.45">
      <c r="AC190" t="s">
        <v>19</v>
      </c>
      <c r="AD190" t="s">
        <v>406</v>
      </c>
      <c r="AE190">
        <v>2.0623439445188577E-2</v>
      </c>
    </row>
    <row r="191" spans="29:31" x14ac:dyDescent="0.45">
      <c r="AC191" t="s">
        <v>19</v>
      </c>
      <c r="AD191" t="s">
        <v>407</v>
      </c>
      <c r="AE191">
        <v>1.0111045051161569E-2</v>
      </c>
    </row>
    <row r="192" spans="29:31" x14ac:dyDescent="0.45">
      <c r="AC192" t="s">
        <v>19</v>
      </c>
      <c r="AD192" t="s">
        <v>408</v>
      </c>
      <c r="AE192">
        <v>3.3624407749047467E-3</v>
      </c>
    </row>
    <row r="193" spans="29:31" x14ac:dyDescent="0.45">
      <c r="AC193" t="s">
        <v>19</v>
      </c>
      <c r="AD193" t="s">
        <v>409</v>
      </c>
      <c r="AE193">
        <v>3.3637788947299399E-3</v>
      </c>
    </row>
    <row r="194" spans="29:31" x14ac:dyDescent="0.45">
      <c r="AC194" t="s">
        <v>19</v>
      </c>
      <c r="AD194" t="s">
        <v>410</v>
      </c>
      <c r="AE194">
        <v>1.7106455689490346E-2</v>
      </c>
    </row>
    <row r="195" spans="29:31" x14ac:dyDescent="0.45">
      <c r="AC195" t="s">
        <v>19</v>
      </c>
      <c r="AD195" t="s">
        <v>411</v>
      </c>
      <c r="AE195">
        <v>2.1400161656032014E-2</v>
      </c>
    </row>
    <row r="196" spans="29:31" x14ac:dyDescent="0.45">
      <c r="AC196" t="s">
        <v>19</v>
      </c>
      <c r="AD196" t="s">
        <v>412</v>
      </c>
      <c r="AE196">
        <v>3.5695159944076986E-3</v>
      </c>
    </row>
    <row r="197" spans="29:31" x14ac:dyDescent="0.45">
      <c r="AC197" t="s">
        <v>19</v>
      </c>
      <c r="AD197" t="s">
        <v>413</v>
      </c>
      <c r="AE197">
        <v>3.5692561803301113E-3</v>
      </c>
    </row>
    <row r="198" spans="29:31" x14ac:dyDescent="0.45">
      <c r="AC198" t="s">
        <v>19</v>
      </c>
      <c r="AD198" t="s">
        <v>414</v>
      </c>
      <c r="AE198">
        <v>2.1303165560283676E-2</v>
      </c>
    </row>
    <row r="199" spans="29:31" x14ac:dyDescent="0.45">
      <c r="AC199" t="s">
        <v>19</v>
      </c>
      <c r="AD199" t="s">
        <v>415</v>
      </c>
      <c r="AE199">
        <v>1.0451353310956653E-2</v>
      </c>
    </row>
    <row r="200" spans="29:31" x14ac:dyDescent="0.45">
      <c r="AC200" t="s">
        <v>19</v>
      </c>
      <c r="AD200" t="s">
        <v>416</v>
      </c>
      <c r="AE200">
        <v>3.4750267952056049E-3</v>
      </c>
    </row>
    <row r="201" spans="29:31" x14ac:dyDescent="0.45">
      <c r="AC201" t="s">
        <v>19</v>
      </c>
      <c r="AD201" t="s">
        <v>417</v>
      </c>
      <c r="AE201">
        <v>3.4761688945883326E-3</v>
      </c>
    </row>
    <row r="202" spans="29:31" x14ac:dyDescent="0.45">
      <c r="AC202" t="s">
        <v>19</v>
      </c>
      <c r="AD202" t="s">
        <v>418</v>
      </c>
      <c r="AE202">
        <v>1.7679452426616876E-2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946E-94E6-4EFF-A57F-10C044CB158D}">
  <dimension ref="A9:AN20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132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124</v>
      </c>
      <c r="K10" t="s">
        <v>248</v>
      </c>
      <c r="L10" t="s">
        <v>30</v>
      </c>
      <c r="N10" t="s">
        <v>13</v>
      </c>
      <c r="O10" t="s">
        <v>124</v>
      </c>
      <c r="P10" t="s">
        <v>248</v>
      </c>
      <c r="Q10" t="s">
        <v>30</v>
      </c>
      <c r="S10" t="s">
        <v>13</v>
      </c>
      <c r="T10" t="s">
        <v>124</v>
      </c>
      <c r="U10" t="s">
        <v>248</v>
      </c>
      <c r="V10" t="s">
        <v>30</v>
      </c>
      <c r="X10" t="s">
        <v>421</v>
      </c>
      <c r="Y10" t="s">
        <v>248</v>
      </c>
      <c r="Z10" t="s">
        <v>124</v>
      </c>
      <c r="AA10" t="s">
        <v>13</v>
      </c>
      <c r="AC10" t="s">
        <v>13</v>
      </c>
      <c r="AD10" t="s">
        <v>124</v>
      </c>
      <c r="AE10" t="s">
        <v>248</v>
      </c>
      <c r="AG10" t="s">
        <v>13</v>
      </c>
      <c r="AH10" t="s">
        <v>124</v>
      </c>
      <c r="AI10" t="s">
        <v>427</v>
      </c>
      <c r="AK10" t="s">
        <v>47</v>
      </c>
      <c r="AL10" t="s">
        <v>124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240</v>
      </c>
      <c r="F11" t="s">
        <v>154</v>
      </c>
      <c r="G11" t="s">
        <v>152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3.2023983738383797E-2</v>
      </c>
      <c r="Q11" t="s">
        <v>251</v>
      </c>
      <c r="S11" t="s">
        <v>420</v>
      </c>
      <c r="T11" t="s">
        <v>250</v>
      </c>
      <c r="U11">
        <v>1.7877727916413823E-2</v>
      </c>
      <c r="V11" t="s">
        <v>251</v>
      </c>
      <c r="X11">
        <v>2.1232876712328767E-2</v>
      </c>
      <c r="Y11">
        <v>4.5420116185598634E-3</v>
      </c>
      <c r="Z11" t="s">
        <v>250</v>
      </c>
      <c r="AA11" t="s">
        <v>25</v>
      </c>
      <c r="AC11" t="s">
        <v>22</v>
      </c>
      <c r="AD11" t="s">
        <v>250</v>
      </c>
      <c r="AE11">
        <v>2.5333277982719261E-2</v>
      </c>
      <c r="AG11" t="s">
        <v>99</v>
      </c>
      <c r="AH11" t="s">
        <v>250</v>
      </c>
      <c r="AI11">
        <v>0.14041549864646474</v>
      </c>
    </row>
    <row r="12" spans="1:40" x14ac:dyDescent="0.45">
      <c r="C12" t="s">
        <v>156</v>
      </c>
      <c r="E12" t="s">
        <v>241</v>
      </c>
      <c r="G12" t="s">
        <v>152</v>
      </c>
      <c r="I12" t="s">
        <v>249</v>
      </c>
      <c r="J12" t="s">
        <v>252</v>
      </c>
      <c r="K12">
        <v>2.1566995796228287E-3</v>
      </c>
      <c r="L12" t="s">
        <v>251</v>
      </c>
      <c r="N12" t="s">
        <v>419</v>
      </c>
      <c r="O12" t="s">
        <v>252</v>
      </c>
      <c r="P12">
        <v>4.6753520212145542E-3</v>
      </c>
      <c r="Q12" t="s">
        <v>251</v>
      </c>
      <c r="S12" t="s">
        <v>420</v>
      </c>
      <c r="T12" t="s">
        <v>252</v>
      </c>
      <c r="U12">
        <v>2.9400777924750939E-3</v>
      </c>
      <c r="V12" t="s">
        <v>251</v>
      </c>
      <c r="X12">
        <v>3.5388127853881279E-3</v>
      </c>
      <c r="Y12">
        <v>5.240782636799844E-3</v>
      </c>
      <c r="Z12" t="s">
        <v>252</v>
      </c>
      <c r="AA12" t="s">
        <v>25</v>
      </c>
      <c r="AC12" t="s">
        <v>22</v>
      </c>
      <c r="AD12" t="s">
        <v>252</v>
      </c>
      <c r="AE12">
        <v>4.2213820286558E-3</v>
      </c>
      <c r="AG12" t="s">
        <v>99</v>
      </c>
      <c r="AH12" t="s">
        <v>252</v>
      </c>
      <c r="AI12">
        <v>0.10695568022603918</v>
      </c>
    </row>
    <row r="13" spans="1:40" x14ac:dyDescent="0.45">
      <c r="C13" t="s">
        <v>159</v>
      </c>
      <c r="E13" t="s">
        <v>242</v>
      </c>
      <c r="G13" t="s">
        <v>152</v>
      </c>
      <c r="I13" t="s">
        <v>249</v>
      </c>
      <c r="J13" t="s">
        <v>253</v>
      </c>
      <c r="K13">
        <v>5.7351265280208997E-3</v>
      </c>
      <c r="L13" t="s">
        <v>251</v>
      </c>
      <c r="N13" t="s">
        <v>419</v>
      </c>
      <c r="O13" t="s">
        <v>253</v>
      </c>
      <c r="P13">
        <v>4.1117343163884672E-3</v>
      </c>
      <c r="Q13" t="s">
        <v>251</v>
      </c>
      <c r="S13" t="s">
        <v>420</v>
      </c>
      <c r="T13" t="s">
        <v>253</v>
      </c>
      <c r="U13">
        <v>2.9873619792351001E-3</v>
      </c>
      <c r="V13" t="s">
        <v>251</v>
      </c>
      <c r="X13">
        <v>3.5388127853881279E-3</v>
      </c>
      <c r="Y13">
        <v>5.9087255218821738E-3</v>
      </c>
      <c r="Z13" t="s">
        <v>253</v>
      </c>
      <c r="AA13" t="s">
        <v>25</v>
      </c>
      <c r="AC13" t="s">
        <v>22</v>
      </c>
      <c r="AD13" t="s">
        <v>253</v>
      </c>
      <c r="AE13">
        <v>4.1846049727618205E-3</v>
      </c>
      <c r="AG13" t="s">
        <v>99</v>
      </c>
      <c r="AH13" t="s">
        <v>253</v>
      </c>
      <c r="AI13">
        <v>0.10918176237600519</v>
      </c>
    </row>
    <row r="14" spans="1:40" x14ac:dyDescent="0.45">
      <c r="C14" t="s">
        <v>163</v>
      </c>
      <c r="E14" t="s">
        <v>243</v>
      </c>
      <c r="G14" t="s">
        <v>152</v>
      </c>
      <c r="I14" t="s">
        <v>249</v>
      </c>
      <c r="J14" t="s">
        <v>254</v>
      </c>
      <c r="K14">
        <v>5.6741174349457101E-2</v>
      </c>
      <c r="L14" t="s">
        <v>251</v>
      </c>
      <c r="N14" t="s">
        <v>419</v>
      </c>
      <c r="O14" t="s">
        <v>254</v>
      </c>
      <c r="P14">
        <v>1.8148492540508484E-2</v>
      </c>
      <c r="Q14" t="s">
        <v>251</v>
      </c>
      <c r="S14" t="s">
        <v>420</v>
      </c>
      <c r="T14" t="s">
        <v>254</v>
      </c>
      <c r="U14">
        <v>1.9091430054603994E-2</v>
      </c>
      <c r="V14" t="s">
        <v>251</v>
      </c>
      <c r="X14">
        <v>2.1232876712328767E-2</v>
      </c>
      <c r="Y14">
        <v>2.6758819580836844E-2</v>
      </c>
      <c r="Z14" t="s">
        <v>254</v>
      </c>
      <c r="AA14" t="s">
        <v>25</v>
      </c>
      <c r="AC14" t="s">
        <v>22</v>
      </c>
      <c r="AD14" t="s">
        <v>254</v>
      </c>
      <c r="AE14">
        <v>2.3058390122999334E-2</v>
      </c>
      <c r="AG14" t="s">
        <v>99</v>
      </c>
      <c r="AH14" t="s">
        <v>254</v>
      </c>
      <c r="AI14">
        <v>0.17850472951247887</v>
      </c>
    </row>
    <row r="15" spans="1:40" x14ac:dyDescent="0.45">
      <c r="C15" t="s">
        <v>166</v>
      </c>
      <c r="E15" t="s">
        <v>244</v>
      </c>
      <c r="G15" t="s">
        <v>152</v>
      </c>
      <c r="I15" t="s">
        <v>249</v>
      </c>
      <c r="J15" t="s">
        <v>255</v>
      </c>
      <c r="K15">
        <v>2.6611029620498401E-2</v>
      </c>
      <c r="L15" t="s">
        <v>251</v>
      </c>
      <c r="N15" t="s">
        <v>419</v>
      </c>
      <c r="O15" t="s">
        <v>255</v>
      </c>
      <c r="P15">
        <v>8.3608854468542309E-3</v>
      </c>
      <c r="Q15" t="s">
        <v>251</v>
      </c>
      <c r="S15" t="s">
        <v>420</v>
      </c>
      <c r="T15" t="s">
        <v>255</v>
      </c>
      <c r="U15">
        <v>1.057631646936439E-2</v>
      </c>
      <c r="V15" t="s">
        <v>251</v>
      </c>
      <c r="X15">
        <v>1.0616438356164383E-2</v>
      </c>
      <c r="Y15">
        <v>1.6893816970390073E-2</v>
      </c>
      <c r="Z15" t="s">
        <v>255</v>
      </c>
      <c r="AA15" t="s">
        <v>25</v>
      </c>
      <c r="AC15" t="s">
        <v>22</v>
      </c>
      <c r="AD15" t="s">
        <v>255</v>
      </c>
      <c r="AE15">
        <v>8.2765194171414147E-3</v>
      </c>
      <c r="AG15" t="s">
        <v>99</v>
      </c>
      <c r="AH15" t="s">
        <v>255</v>
      </c>
      <c r="AI15">
        <v>0.11116120742126734</v>
      </c>
    </row>
    <row r="16" spans="1:40" x14ac:dyDescent="0.45">
      <c r="C16" t="s">
        <v>158</v>
      </c>
      <c r="E16" t="s">
        <v>245</v>
      </c>
      <c r="G16" t="s">
        <v>152</v>
      </c>
      <c r="I16" t="s">
        <v>249</v>
      </c>
      <c r="J16" t="s">
        <v>256</v>
      </c>
      <c r="K16">
        <v>6.8186755141492004E-3</v>
      </c>
      <c r="L16" t="s">
        <v>251</v>
      </c>
      <c r="N16" t="s">
        <v>419</v>
      </c>
      <c r="O16" t="s">
        <v>256</v>
      </c>
      <c r="P16">
        <v>3.4758049043377842E-3</v>
      </c>
      <c r="Q16" t="s">
        <v>251</v>
      </c>
      <c r="S16" t="s">
        <v>420</v>
      </c>
      <c r="T16" t="s">
        <v>256</v>
      </c>
      <c r="U16">
        <v>3.6162519572219168E-3</v>
      </c>
      <c r="V16" t="s">
        <v>251</v>
      </c>
      <c r="X16">
        <v>3.5388127853881279E-3</v>
      </c>
      <c r="Y16">
        <v>6.8849497385409693E-3</v>
      </c>
      <c r="Z16" t="s">
        <v>256</v>
      </c>
      <c r="AA16" t="s">
        <v>25</v>
      </c>
      <c r="AC16" t="s">
        <v>22</v>
      </c>
      <c r="AD16" t="s">
        <v>256</v>
      </c>
      <c r="AE16">
        <v>2.6039599917713476E-3</v>
      </c>
      <c r="AG16" t="s">
        <v>99</v>
      </c>
      <c r="AH16" t="s">
        <v>256</v>
      </c>
      <c r="AI16">
        <v>9.0743392615567409E-2</v>
      </c>
    </row>
    <row r="17" spans="3:35" x14ac:dyDescent="0.45">
      <c r="C17" t="s">
        <v>169</v>
      </c>
      <c r="E17" t="s">
        <v>246</v>
      </c>
      <c r="G17" t="s">
        <v>152</v>
      </c>
      <c r="I17" t="s">
        <v>249</v>
      </c>
      <c r="J17" t="s">
        <v>257</v>
      </c>
      <c r="K17">
        <v>4.8522002634973837E-3</v>
      </c>
      <c r="L17" t="s">
        <v>251</v>
      </c>
      <c r="N17" t="s">
        <v>419</v>
      </c>
      <c r="O17" t="s">
        <v>257</v>
      </c>
      <c r="P17">
        <v>3.7771415098806268E-3</v>
      </c>
      <c r="Q17" t="s">
        <v>251</v>
      </c>
      <c r="S17" t="s">
        <v>420</v>
      </c>
      <c r="T17" t="s">
        <v>257</v>
      </c>
      <c r="U17">
        <v>3.5228871449100416E-3</v>
      </c>
      <c r="V17" t="s">
        <v>251</v>
      </c>
      <c r="X17">
        <v>3.5388127853881279E-3</v>
      </c>
      <c r="Y17">
        <v>5.3435430806586613E-3</v>
      </c>
      <c r="Z17" t="s">
        <v>257</v>
      </c>
      <c r="AA17" t="s">
        <v>25</v>
      </c>
      <c r="AC17" t="s">
        <v>22</v>
      </c>
      <c r="AD17" t="s">
        <v>257</v>
      </c>
      <c r="AE17">
        <v>2.61882807267698E-3</v>
      </c>
      <c r="AG17" t="s">
        <v>99</v>
      </c>
      <c r="AH17" t="s">
        <v>257</v>
      </c>
      <c r="AI17">
        <v>0.1011496097588569</v>
      </c>
    </row>
    <row r="18" spans="3:35" x14ac:dyDescent="0.45">
      <c r="C18" t="s">
        <v>171</v>
      </c>
      <c r="E18" t="s">
        <v>247</v>
      </c>
      <c r="G18" t="s">
        <v>152</v>
      </c>
      <c r="I18" t="s">
        <v>249</v>
      </c>
      <c r="J18" t="s">
        <v>258</v>
      </c>
      <c r="K18">
        <v>1.6361687235408717E-3</v>
      </c>
      <c r="L18" t="s">
        <v>251</v>
      </c>
      <c r="N18" t="s">
        <v>419</v>
      </c>
      <c r="O18" t="s">
        <v>258</v>
      </c>
      <c r="P18">
        <v>2.4660282460977644E-2</v>
      </c>
      <c r="Q18" t="s">
        <v>251</v>
      </c>
      <c r="S18" t="s">
        <v>420</v>
      </c>
      <c r="T18" t="s">
        <v>258</v>
      </c>
      <c r="U18">
        <v>1.5757336683578368E-2</v>
      </c>
      <c r="V18" t="s">
        <v>251</v>
      </c>
      <c r="X18">
        <v>1.7694063926940638E-2</v>
      </c>
      <c r="Y18">
        <v>1.3358857701646654E-2</v>
      </c>
      <c r="Z18" t="s">
        <v>258</v>
      </c>
      <c r="AA18" t="s">
        <v>25</v>
      </c>
      <c r="AC18" t="s">
        <v>22</v>
      </c>
      <c r="AD18" t="s">
        <v>258</v>
      </c>
      <c r="AE18">
        <v>1.7530475484761106E-2</v>
      </c>
      <c r="AG18" t="s">
        <v>99</v>
      </c>
      <c r="AH18" t="s">
        <v>258</v>
      </c>
      <c r="AI18">
        <v>0.18108104719035567</v>
      </c>
    </row>
    <row r="19" spans="3:35" x14ac:dyDescent="0.45">
      <c r="C19" t="s">
        <v>162</v>
      </c>
      <c r="I19" t="s">
        <v>249</v>
      </c>
      <c r="J19" t="s">
        <v>259</v>
      </c>
      <c r="K19">
        <v>0</v>
      </c>
      <c r="L19" t="s">
        <v>251</v>
      </c>
      <c r="N19" t="s">
        <v>419</v>
      </c>
      <c r="O19" t="s">
        <v>259</v>
      </c>
      <c r="P19">
        <v>2.6859085503510967E-2</v>
      </c>
      <c r="Q19" t="s">
        <v>251</v>
      </c>
      <c r="S19" t="s">
        <v>420</v>
      </c>
      <c r="T19" t="s">
        <v>259</v>
      </c>
      <c r="U19">
        <v>1.5570388743208208E-2</v>
      </c>
      <c r="V19" t="s">
        <v>251</v>
      </c>
      <c r="X19">
        <v>1.9178082191780823E-2</v>
      </c>
      <c r="Y19">
        <v>4.1024621070863279E-3</v>
      </c>
      <c r="Z19" t="s">
        <v>259</v>
      </c>
      <c r="AA19" t="s">
        <v>25</v>
      </c>
      <c r="AC19" t="s">
        <v>22</v>
      </c>
      <c r="AD19" t="s">
        <v>259</v>
      </c>
      <c r="AE19">
        <v>2.161888624949352E-2</v>
      </c>
      <c r="AG19" t="s">
        <v>99</v>
      </c>
      <c r="AH19" t="s">
        <v>259</v>
      </c>
      <c r="AI19">
        <v>6.725101334592587E-2</v>
      </c>
    </row>
    <row r="20" spans="3:35" x14ac:dyDescent="0.45">
      <c r="C20" t="s">
        <v>174</v>
      </c>
      <c r="I20" t="s">
        <v>249</v>
      </c>
      <c r="J20" t="s">
        <v>260</v>
      </c>
      <c r="K20">
        <v>1.339658701922193E-3</v>
      </c>
      <c r="L20" t="s">
        <v>251</v>
      </c>
      <c r="N20" t="s">
        <v>419</v>
      </c>
      <c r="O20" t="s">
        <v>260</v>
      </c>
      <c r="P20">
        <v>3.8927029331353872E-3</v>
      </c>
      <c r="Q20" t="s">
        <v>251</v>
      </c>
      <c r="S20" t="s">
        <v>420</v>
      </c>
      <c r="T20" t="s">
        <v>260</v>
      </c>
      <c r="U20">
        <v>2.5524247052464877E-3</v>
      </c>
      <c r="V20" t="s">
        <v>251</v>
      </c>
      <c r="X20">
        <v>3.1963470319634705E-3</v>
      </c>
      <c r="Y20">
        <v>4.7336101235611484E-3</v>
      </c>
      <c r="Z20" t="s">
        <v>260</v>
      </c>
      <c r="AA20" t="s">
        <v>25</v>
      </c>
      <c r="AC20" t="s">
        <v>22</v>
      </c>
      <c r="AD20" t="s">
        <v>260</v>
      </c>
      <c r="AE20">
        <v>3.6358344534236685E-3</v>
      </c>
      <c r="AG20" t="s">
        <v>99</v>
      </c>
      <c r="AH20" t="s">
        <v>260</v>
      </c>
      <c r="AI20">
        <v>6.2737773474196734E-2</v>
      </c>
    </row>
    <row r="21" spans="3:35" x14ac:dyDescent="0.45">
      <c r="C21" t="s">
        <v>176</v>
      </c>
      <c r="I21" t="s">
        <v>249</v>
      </c>
      <c r="J21" t="s">
        <v>261</v>
      </c>
      <c r="K21">
        <v>4.4976164179348485E-3</v>
      </c>
      <c r="L21" t="s">
        <v>251</v>
      </c>
      <c r="N21" t="s">
        <v>419</v>
      </c>
      <c r="O21" t="s">
        <v>261</v>
      </c>
      <c r="P21">
        <v>3.4166545041474372E-3</v>
      </c>
      <c r="Q21" t="s">
        <v>251</v>
      </c>
      <c r="S21" t="s">
        <v>420</v>
      </c>
      <c r="T21" t="s">
        <v>261</v>
      </c>
      <c r="U21">
        <v>2.5094079632623409E-3</v>
      </c>
      <c r="V21" t="s">
        <v>251</v>
      </c>
      <c r="X21">
        <v>3.1963470319634705E-3</v>
      </c>
      <c r="Y21">
        <v>5.3369133746032542E-3</v>
      </c>
      <c r="Z21" t="s">
        <v>261</v>
      </c>
      <c r="AA21" t="s">
        <v>25</v>
      </c>
      <c r="AC21" t="s">
        <v>22</v>
      </c>
      <c r="AD21" t="s">
        <v>261</v>
      </c>
      <c r="AE21">
        <v>3.6344703546546822E-3</v>
      </c>
      <c r="AG21" t="s">
        <v>99</v>
      </c>
      <c r="AH21" t="s">
        <v>261</v>
      </c>
      <c r="AI21">
        <v>5.5388514883157214E-2</v>
      </c>
    </row>
    <row r="22" spans="3:35" x14ac:dyDescent="0.45">
      <c r="C22" t="s">
        <v>178</v>
      </c>
      <c r="I22" t="s">
        <v>249</v>
      </c>
      <c r="J22" t="s">
        <v>262</v>
      </c>
      <c r="K22">
        <v>4.7312849365851707E-2</v>
      </c>
      <c r="L22" t="s">
        <v>251</v>
      </c>
      <c r="N22" t="s">
        <v>419</v>
      </c>
      <c r="O22" t="s">
        <v>262</v>
      </c>
      <c r="P22">
        <v>1.5332261546275745E-2</v>
      </c>
      <c r="Q22" t="s">
        <v>251</v>
      </c>
      <c r="S22" t="s">
        <v>420</v>
      </c>
      <c r="T22" t="s">
        <v>262</v>
      </c>
      <c r="U22">
        <v>1.5549107374137295E-2</v>
      </c>
      <c r="V22" t="s">
        <v>251</v>
      </c>
      <c r="X22">
        <v>1.9178082191780823E-2</v>
      </c>
      <c r="Y22">
        <v>2.4169256395594564E-2</v>
      </c>
      <c r="Z22" t="s">
        <v>262</v>
      </c>
      <c r="AA22" t="s">
        <v>25</v>
      </c>
      <c r="AC22" t="s">
        <v>22</v>
      </c>
      <c r="AD22" t="s">
        <v>262</v>
      </c>
      <c r="AE22">
        <v>2.0108209408854633E-2</v>
      </c>
      <c r="AG22" t="s">
        <v>99</v>
      </c>
      <c r="AH22" t="s">
        <v>262</v>
      </c>
      <c r="AI22">
        <v>0.11604443548905641</v>
      </c>
    </row>
    <row r="23" spans="3:35" x14ac:dyDescent="0.45">
      <c r="I23" t="s">
        <v>249</v>
      </c>
      <c r="J23" t="s">
        <v>263</v>
      </c>
      <c r="K23">
        <v>2.1487248563208199E-2</v>
      </c>
      <c r="L23" t="s">
        <v>251</v>
      </c>
      <c r="N23" t="s">
        <v>419</v>
      </c>
      <c r="O23" t="s">
        <v>263</v>
      </c>
      <c r="P23">
        <v>6.9159360614657866E-3</v>
      </c>
      <c r="Q23" t="s">
        <v>251</v>
      </c>
      <c r="S23" t="s">
        <v>420</v>
      </c>
      <c r="T23" t="s">
        <v>263</v>
      </c>
      <c r="U23">
        <v>8.3281989093384225E-3</v>
      </c>
      <c r="V23" t="s">
        <v>251</v>
      </c>
      <c r="X23">
        <v>9.5890410958904115E-3</v>
      </c>
      <c r="Y23">
        <v>1.5258931457126519E-2</v>
      </c>
      <c r="Z23" t="s">
        <v>263</v>
      </c>
      <c r="AA23" t="s">
        <v>25</v>
      </c>
      <c r="AC23" t="s">
        <v>22</v>
      </c>
      <c r="AD23" t="s">
        <v>263</v>
      </c>
      <c r="AE23">
        <v>7.3804323982535015E-3</v>
      </c>
      <c r="AG23" t="s">
        <v>99</v>
      </c>
      <c r="AH23" t="s">
        <v>263</v>
      </c>
      <c r="AI23">
        <v>0.11196228135959285</v>
      </c>
    </row>
    <row r="24" spans="3:35" x14ac:dyDescent="0.45">
      <c r="I24" t="s">
        <v>249</v>
      </c>
      <c r="J24" t="s">
        <v>264</v>
      </c>
      <c r="K24">
        <v>5.3228780119697807E-3</v>
      </c>
      <c r="L24" t="s">
        <v>251</v>
      </c>
      <c r="N24" t="s">
        <v>419</v>
      </c>
      <c r="O24" t="s">
        <v>264</v>
      </c>
      <c r="P24">
        <v>2.8972208796751299E-3</v>
      </c>
      <c r="Q24" t="s">
        <v>251</v>
      </c>
      <c r="S24" t="s">
        <v>420</v>
      </c>
      <c r="T24" t="s">
        <v>264</v>
      </c>
      <c r="U24">
        <v>2.8530080087175195E-3</v>
      </c>
      <c r="V24" t="s">
        <v>251</v>
      </c>
      <c r="X24">
        <v>3.1963470319634705E-3</v>
      </c>
      <c r="Y24">
        <v>6.2186642799724884E-3</v>
      </c>
      <c r="Z24" t="s">
        <v>264</v>
      </c>
      <c r="AA24" t="s">
        <v>25</v>
      </c>
      <c r="AC24" t="s">
        <v>22</v>
      </c>
      <c r="AD24" t="s">
        <v>264</v>
      </c>
      <c r="AE24">
        <v>2.3245185630050126E-3</v>
      </c>
      <c r="AG24" t="s">
        <v>99</v>
      </c>
      <c r="AH24" t="s">
        <v>264</v>
      </c>
      <c r="AI24">
        <v>6.2711363706509315E-2</v>
      </c>
    </row>
    <row r="25" spans="3:35" x14ac:dyDescent="0.45">
      <c r="I25" t="s">
        <v>249</v>
      </c>
      <c r="J25" t="s">
        <v>265</v>
      </c>
      <c r="K25">
        <v>3.6504304492904721E-3</v>
      </c>
      <c r="L25" t="s">
        <v>251</v>
      </c>
      <c r="N25" t="s">
        <v>419</v>
      </c>
      <c r="O25" t="s">
        <v>265</v>
      </c>
      <c r="P25">
        <v>3.1606032717252232E-3</v>
      </c>
      <c r="Q25" t="s">
        <v>251</v>
      </c>
      <c r="S25" t="s">
        <v>420</v>
      </c>
      <c r="T25" t="s">
        <v>265</v>
      </c>
      <c r="U25">
        <v>2.841370638053637E-3</v>
      </c>
      <c r="V25" t="s">
        <v>251</v>
      </c>
      <c r="X25">
        <v>3.1963470319634705E-3</v>
      </c>
      <c r="Y25">
        <v>4.8264260083368555E-3</v>
      </c>
      <c r="Z25" t="s">
        <v>265</v>
      </c>
      <c r="AA25" t="s">
        <v>25</v>
      </c>
      <c r="AC25" t="s">
        <v>22</v>
      </c>
      <c r="AD25" t="s">
        <v>265</v>
      </c>
      <c r="AE25">
        <v>2.3297486010799904E-3</v>
      </c>
      <c r="AG25" t="s">
        <v>99</v>
      </c>
      <c r="AH25" t="s">
        <v>265</v>
      </c>
      <c r="AI25">
        <v>5.8752555846999899E-2</v>
      </c>
    </row>
    <row r="26" spans="3:35" x14ac:dyDescent="0.45">
      <c r="I26" t="s">
        <v>249</v>
      </c>
      <c r="J26" t="s">
        <v>266</v>
      </c>
      <c r="K26">
        <v>1.0742479766925439E-3</v>
      </c>
      <c r="L26" t="s">
        <v>251</v>
      </c>
      <c r="N26" t="s">
        <v>419</v>
      </c>
      <c r="O26" t="s">
        <v>266</v>
      </c>
      <c r="P26">
        <v>2.1056926725522049E-2</v>
      </c>
      <c r="Q26" t="s">
        <v>251</v>
      </c>
      <c r="S26" t="s">
        <v>420</v>
      </c>
      <c r="T26" t="s">
        <v>266</v>
      </c>
      <c r="U26">
        <v>1.3771904585956271E-2</v>
      </c>
      <c r="V26" t="s">
        <v>251</v>
      </c>
      <c r="X26">
        <v>1.5981735159817351E-2</v>
      </c>
      <c r="Y26">
        <v>1.2066065020842141E-2</v>
      </c>
      <c r="Z26" t="s">
        <v>266</v>
      </c>
      <c r="AA26" t="s">
        <v>25</v>
      </c>
      <c r="AC26" t="s">
        <v>22</v>
      </c>
      <c r="AD26" t="s">
        <v>266</v>
      </c>
      <c r="AE26">
        <v>1.5517970444668863E-2</v>
      </c>
      <c r="AG26" t="s">
        <v>99</v>
      </c>
      <c r="AH26" t="s">
        <v>266</v>
      </c>
      <c r="AI26">
        <v>0.15352800830975277</v>
      </c>
    </row>
    <row r="27" spans="3:35" x14ac:dyDescent="0.45">
      <c r="I27" t="s">
        <v>249</v>
      </c>
      <c r="J27" t="s">
        <v>267</v>
      </c>
      <c r="K27">
        <v>0</v>
      </c>
      <c r="L27" t="s">
        <v>251</v>
      </c>
      <c r="N27" t="s">
        <v>419</v>
      </c>
      <c r="O27" t="s">
        <v>267</v>
      </c>
      <c r="P27">
        <v>2.8256257914633733E-2</v>
      </c>
      <c r="Q27" t="s">
        <v>251</v>
      </c>
      <c r="S27" t="s">
        <v>420</v>
      </c>
      <c r="T27" t="s">
        <v>267</v>
      </c>
      <c r="U27">
        <v>1.9682460027021023E-2</v>
      </c>
      <c r="V27" t="s">
        <v>251</v>
      </c>
      <c r="X27">
        <v>2.1232876712328767E-2</v>
      </c>
      <c r="Y27">
        <v>4.5420116185598634E-3</v>
      </c>
      <c r="Z27" t="s">
        <v>267</v>
      </c>
      <c r="AA27" t="s">
        <v>25</v>
      </c>
      <c r="AC27" t="s">
        <v>22</v>
      </c>
      <c r="AD27" t="s">
        <v>267</v>
      </c>
      <c r="AE27">
        <v>2.3711587136367566E-2</v>
      </c>
      <c r="AG27" t="s">
        <v>99</v>
      </c>
      <c r="AH27" t="s">
        <v>267</v>
      </c>
      <c r="AI27">
        <v>0.11638577900886826</v>
      </c>
    </row>
    <row r="28" spans="3:35" x14ac:dyDescent="0.45">
      <c r="I28" t="s">
        <v>249</v>
      </c>
      <c r="J28" t="s">
        <v>268</v>
      </c>
      <c r="K28">
        <v>3.8870564019590214E-4</v>
      </c>
      <c r="L28" t="s">
        <v>251</v>
      </c>
      <c r="N28" t="s">
        <v>419</v>
      </c>
      <c r="O28" t="s">
        <v>268</v>
      </c>
      <c r="P28">
        <v>4.3642596673502199E-3</v>
      </c>
      <c r="Q28" t="s">
        <v>251</v>
      </c>
      <c r="S28" t="s">
        <v>420</v>
      </c>
      <c r="T28" t="s">
        <v>268</v>
      </c>
      <c r="U28">
        <v>3.2677551220692386E-3</v>
      </c>
      <c r="V28" t="s">
        <v>251</v>
      </c>
      <c r="X28">
        <v>3.5388127853881279E-3</v>
      </c>
      <c r="Y28">
        <v>5.240782636799844E-3</v>
      </c>
      <c r="Z28" t="s">
        <v>268</v>
      </c>
      <c r="AA28" t="s">
        <v>25</v>
      </c>
      <c r="AC28" t="s">
        <v>22</v>
      </c>
      <c r="AD28" t="s">
        <v>268</v>
      </c>
      <c r="AE28">
        <v>3.9961661127941236E-3</v>
      </c>
      <c r="AG28" t="s">
        <v>99</v>
      </c>
      <c r="AH28" t="s">
        <v>268</v>
      </c>
      <c r="AI28">
        <v>9.82212681904302E-2</v>
      </c>
    </row>
    <row r="29" spans="3:35" x14ac:dyDescent="0.45">
      <c r="I29" t="s">
        <v>249</v>
      </c>
      <c r="J29" t="s">
        <v>269</v>
      </c>
      <c r="K29">
        <v>4.9796343443622004E-3</v>
      </c>
      <c r="L29" t="s">
        <v>251</v>
      </c>
      <c r="N29" t="s">
        <v>419</v>
      </c>
      <c r="O29" t="s">
        <v>269</v>
      </c>
      <c r="P29">
        <v>3.9802360242095422E-3</v>
      </c>
      <c r="Q29" t="s">
        <v>251</v>
      </c>
      <c r="S29" t="s">
        <v>420</v>
      </c>
      <c r="T29" t="s">
        <v>269</v>
      </c>
      <c r="U29">
        <v>3.2577080412417832E-3</v>
      </c>
      <c r="V29" t="s">
        <v>251</v>
      </c>
      <c r="X29">
        <v>3.5388127853881279E-3</v>
      </c>
      <c r="Y29">
        <v>5.9087255218821738E-3</v>
      </c>
      <c r="Z29" t="s">
        <v>269</v>
      </c>
      <c r="AA29" t="s">
        <v>25</v>
      </c>
      <c r="AC29" t="s">
        <v>22</v>
      </c>
      <c r="AD29" t="s">
        <v>269</v>
      </c>
      <c r="AE29">
        <v>3.9885176288667074E-3</v>
      </c>
      <c r="AG29" t="s">
        <v>99</v>
      </c>
      <c r="AH29" t="s">
        <v>269</v>
      </c>
      <c r="AI29">
        <v>6.8143564656164113E-2</v>
      </c>
    </row>
    <row r="30" spans="3:35" x14ac:dyDescent="0.45">
      <c r="I30" t="s">
        <v>249</v>
      </c>
      <c r="J30" t="s">
        <v>270</v>
      </c>
      <c r="K30">
        <v>5.1897645322585798E-2</v>
      </c>
      <c r="L30" t="s">
        <v>251</v>
      </c>
      <c r="N30" t="s">
        <v>419</v>
      </c>
      <c r="O30" t="s">
        <v>270</v>
      </c>
      <c r="P30">
        <v>1.8503689500717891E-2</v>
      </c>
      <c r="Q30" t="s">
        <v>251</v>
      </c>
      <c r="S30" t="s">
        <v>420</v>
      </c>
      <c r="T30" t="s">
        <v>270</v>
      </c>
      <c r="U30">
        <v>1.9330486528263999E-2</v>
      </c>
      <c r="V30" t="s">
        <v>251</v>
      </c>
      <c r="X30">
        <v>2.1232876712328767E-2</v>
      </c>
      <c r="Y30">
        <v>2.6758819580836844E-2</v>
      </c>
      <c r="Z30" t="s">
        <v>270</v>
      </c>
      <c r="AA30" t="s">
        <v>25</v>
      </c>
      <c r="AC30" t="s">
        <v>22</v>
      </c>
      <c r="AD30" t="s">
        <v>270</v>
      </c>
      <c r="AE30">
        <v>2.2135749263266054E-2</v>
      </c>
      <c r="AG30" t="s">
        <v>99</v>
      </c>
      <c r="AH30" t="s">
        <v>270</v>
      </c>
      <c r="AI30">
        <v>0.13173562310592568</v>
      </c>
    </row>
    <row r="31" spans="3:35" x14ac:dyDescent="0.45">
      <c r="I31" t="s">
        <v>249</v>
      </c>
      <c r="J31" t="s">
        <v>271</v>
      </c>
      <c r="K31">
        <v>2.3890633137586399E-2</v>
      </c>
      <c r="L31" t="s">
        <v>251</v>
      </c>
      <c r="N31" t="s">
        <v>419</v>
      </c>
      <c r="O31" t="s">
        <v>271</v>
      </c>
      <c r="P31">
        <v>8.4908130991335727E-3</v>
      </c>
      <c r="Q31" t="s">
        <v>251</v>
      </c>
      <c r="S31" t="s">
        <v>420</v>
      </c>
      <c r="T31" t="s">
        <v>271</v>
      </c>
      <c r="U31">
        <v>9.3069590820403277E-3</v>
      </c>
      <c r="V31" t="s">
        <v>251</v>
      </c>
      <c r="X31">
        <v>1.0616438356164383E-2</v>
      </c>
      <c r="Y31">
        <v>1.6893816970390073E-2</v>
      </c>
      <c r="Z31" t="s">
        <v>271</v>
      </c>
      <c r="AA31" t="s">
        <v>25</v>
      </c>
      <c r="AC31" t="s">
        <v>22</v>
      </c>
      <c r="AD31" t="s">
        <v>271</v>
      </c>
      <c r="AE31">
        <v>8.0994765750551992E-3</v>
      </c>
      <c r="AG31" t="s">
        <v>99</v>
      </c>
      <c r="AH31" t="s">
        <v>271</v>
      </c>
      <c r="AI31">
        <v>8.4242662862822781E-2</v>
      </c>
    </row>
    <row r="32" spans="3:35" x14ac:dyDescent="0.45">
      <c r="I32" t="s">
        <v>249</v>
      </c>
      <c r="J32" t="s">
        <v>272</v>
      </c>
      <c r="K32">
        <v>6.1164188379895998E-3</v>
      </c>
      <c r="L32" t="s">
        <v>251</v>
      </c>
      <c r="N32" t="s">
        <v>419</v>
      </c>
      <c r="O32" t="s">
        <v>272</v>
      </c>
      <c r="P32">
        <v>3.2255779984932246E-3</v>
      </c>
      <c r="Q32" t="s">
        <v>251</v>
      </c>
      <c r="S32" t="s">
        <v>420</v>
      </c>
      <c r="T32" t="s">
        <v>272</v>
      </c>
      <c r="U32">
        <v>3.1185031283167E-3</v>
      </c>
      <c r="V32" t="s">
        <v>251</v>
      </c>
      <c r="X32">
        <v>3.5388127853881279E-3</v>
      </c>
      <c r="Y32">
        <v>6.8849497385409693E-3</v>
      </c>
      <c r="Z32" t="s">
        <v>272</v>
      </c>
      <c r="AA32" t="s">
        <v>25</v>
      </c>
      <c r="AC32" t="s">
        <v>22</v>
      </c>
      <c r="AD32" t="s">
        <v>272</v>
      </c>
      <c r="AE32">
        <v>2.5503286394059593E-3</v>
      </c>
      <c r="AG32" t="s">
        <v>99</v>
      </c>
      <c r="AH32" t="s">
        <v>272</v>
      </c>
      <c r="AI32">
        <v>5.8054213283028178E-2</v>
      </c>
    </row>
    <row r="33" spans="9:35" x14ac:dyDescent="0.45">
      <c r="I33" t="s">
        <v>249</v>
      </c>
      <c r="J33" t="s">
        <v>273</v>
      </c>
      <c r="K33">
        <v>3.7733047864497546E-3</v>
      </c>
      <c r="L33" t="s">
        <v>251</v>
      </c>
      <c r="N33" t="s">
        <v>419</v>
      </c>
      <c r="O33" t="s">
        <v>273</v>
      </c>
      <c r="P33">
        <v>3.419858473822849E-3</v>
      </c>
      <c r="Q33" t="s">
        <v>251</v>
      </c>
      <c r="S33" t="s">
        <v>420</v>
      </c>
      <c r="T33" t="s">
        <v>273</v>
      </c>
      <c r="U33">
        <v>3.1769901080109329E-3</v>
      </c>
      <c r="V33" t="s">
        <v>251</v>
      </c>
      <c r="X33">
        <v>3.5388127853881279E-3</v>
      </c>
      <c r="Y33">
        <v>5.3435430806586613E-3</v>
      </c>
      <c r="Z33" t="s">
        <v>273</v>
      </c>
      <c r="AA33" t="s">
        <v>25</v>
      </c>
      <c r="AC33" t="s">
        <v>22</v>
      </c>
      <c r="AD33" t="s">
        <v>273</v>
      </c>
      <c r="AE33">
        <v>2.5599130713679637E-3</v>
      </c>
      <c r="AG33" t="s">
        <v>99</v>
      </c>
      <c r="AH33" t="s">
        <v>273</v>
      </c>
      <c r="AI33">
        <v>4.435631490733738E-2</v>
      </c>
    </row>
    <row r="34" spans="9:35" x14ac:dyDescent="0.45">
      <c r="I34" t="s">
        <v>249</v>
      </c>
      <c r="J34" t="s">
        <v>274</v>
      </c>
      <c r="K34">
        <v>5.3177883933484631E-5</v>
      </c>
      <c r="L34" t="s">
        <v>251</v>
      </c>
      <c r="N34" t="s">
        <v>419</v>
      </c>
      <c r="O34" t="s">
        <v>274</v>
      </c>
      <c r="P34">
        <v>2.3181079674091134E-2</v>
      </c>
      <c r="Q34" t="s">
        <v>251</v>
      </c>
      <c r="S34" t="s">
        <v>420</v>
      </c>
      <c r="T34" t="s">
        <v>274</v>
      </c>
      <c r="U34">
        <v>1.613114842353618E-2</v>
      </c>
      <c r="V34" t="s">
        <v>251</v>
      </c>
      <c r="X34">
        <v>1.7694063926940638E-2</v>
      </c>
      <c r="Y34">
        <v>1.3358857701646654E-2</v>
      </c>
      <c r="Z34" t="s">
        <v>274</v>
      </c>
      <c r="AA34" t="s">
        <v>25</v>
      </c>
      <c r="AC34" t="s">
        <v>22</v>
      </c>
      <c r="AD34" t="s">
        <v>274</v>
      </c>
      <c r="AE34">
        <v>1.7047916945675982E-2</v>
      </c>
      <c r="AG34" t="s">
        <v>99</v>
      </c>
      <c r="AH34" t="s">
        <v>274</v>
      </c>
      <c r="AI34">
        <v>0.15879766383465954</v>
      </c>
    </row>
    <row r="35" spans="9:35" x14ac:dyDescent="0.45">
      <c r="I35" t="s">
        <v>249</v>
      </c>
      <c r="J35" t="s">
        <v>275</v>
      </c>
      <c r="K35">
        <v>0</v>
      </c>
      <c r="L35" t="s">
        <v>251</v>
      </c>
      <c r="N35" t="s">
        <v>419</v>
      </c>
      <c r="O35" t="s">
        <v>275</v>
      </c>
      <c r="P35">
        <v>2.0389424056945722E-2</v>
      </c>
      <c r="Q35" t="s">
        <v>251</v>
      </c>
      <c r="S35" t="s">
        <v>420</v>
      </c>
      <c r="T35" t="s">
        <v>275</v>
      </c>
      <c r="U35">
        <v>1.9415336490079316E-2</v>
      </c>
      <c r="V35" t="s">
        <v>251</v>
      </c>
      <c r="X35">
        <v>2.0547945205479451E-2</v>
      </c>
      <c r="Y35">
        <v>4.3954951147353507E-3</v>
      </c>
      <c r="Z35" t="s">
        <v>275</v>
      </c>
      <c r="AA35" t="s">
        <v>25</v>
      </c>
      <c r="AC35" t="s">
        <v>22</v>
      </c>
      <c r="AD35" t="s">
        <v>275</v>
      </c>
      <c r="AE35">
        <v>2.2301014114127767E-2</v>
      </c>
      <c r="AG35" t="s">
        <v>99</v>
      </c>
      <c r="AH35" t="s">
        <v>275</v>
      </c>
      <c r="AI35">
        <v>4.9626454518111318E-2</v>
      </c>
    </row>
    <row r="36" spans="9:35" x14ac:dyDescent="0.45">
      <c r="I36" t="s">
        <v>249</v>
      </c>
      <c r="J36" t="s">
        <v>276</v>
      </c>
      <c r="K36">
        <v>2.0517109116268366E-6</v>
      </c>
      <c r="L36" t="s">
        <v>251</v>
      </c>
      <c r="N36" t="s">
        <v>419</v>
      </c>
      <c r="O36" t="s">
        <v>276</v>
      </c>
      <c r="P36">
        <v>3.1607267371689613E-3</v>
      </c>
      <c r="Q36" t="s">
        <v>251</v>
      </c>
      <c r="S36" t="s">
        <v>420</v>
      </c>
      <c r="T36" t="s">
        <v>276</v>
      </c>
      <c r="U36">
        <v>3.2289324244967454E-3</v>
      </c>
      <c r="V36" t="s">
        <v>251</v>
      </c>
      <c r="X36">
        <v>3.4246575342465752E-3</v>
      </c>
      <c r="Y36">
        <v>5.0717251323869452E-3</v>
      </c>
      <c r="Z36" t="s">
        <v>276</v>
      </c>
      <c r="AA36" t="s">
        <v>25</v>
      </c>
      <c r="AC36" t="s">
        <v>22</v>
      </c>
      <c r="AD36" t="s">
        <v>276</v>
      </c>
      <c r="AE36">
        <v>3.73658632681621E-3</v>
      </c>
      <c r="AG36" t="s">
        <v>99</v>
      </c>
      <c r="AH36" t="s">
        <v>276</v>
      </c>
      <c r="AI36">
        <v>4.0869223385679998E-2</v>
      </c>
    </row>
    <row r="37" spans="9:35" x14ac:dyDescent="0.45">
      <c r="I37" t="s">
        <v>249</v>
      </c>
      <c r="J37" t="s">
        <v>277</v>
      </c>
      <c r="K37">
        <v>4.2034545150900051E-3</v>
      </c>
      <c r="L37" t="s">
        <v>251</v>
      </c>
      <c r="N37" t="s">
        <v>419</v>
      </c>
      <c r="O37" t="s">
        <v>277</v>
      </c>
      <c r="P37">
        <v>2.976389370092905E-3</v>
      </c>
      <c r="Q37" t="s">
        <v>251</v>
      </c>
      <c r="S37" t="s">
        <v>420</v>
      </c>
      <c r="T37" t="s">
        <v>277</v>
      </c>
      <c r="U37">
        <v>3.1787996386982288E-3</v>
      </c>
      <c r="V37" t="s">
        <v>251</v>
      </c>
      <c r="X37">
        <v>3.4246575342465752E-3</v>
      </c>
      <c r="Y37">
        <v>5.7181214727892006E-3</v>
      </c>
      <c r="Z37" t="s">
        <v>277</v>
      </c>
      <c r="AA37" t="s">
        <v>25</v>
      </c>
      <c r="AC37" t="s">
        <v>22</v>
      </c>
      <c r="AD37" t="s">
        <v>277</v>
      </c>
      <c r="AE37">
        <v>3.764362713540153E-3</v>
      </c>
      <c r="AG37" t="s">
        <v>99</v>
      </c>
      <c r="AH37" t="s">
        <v>277</v>
      </c>
      <c r="AI37">
        <v>3.5724129158097861E-2</v>
      </c>
    </row>
    <row r="38" spans="9:35" x14ac:dyDescent="0.45">
      <c r="I38" t="s">
        <v>249</v>
      </c>
      <c r="J38" t="s">
        <v>278</v>
      </c>
      <c r="K38">
        <v>4.4356241580810703E-2</v>
      </c>
      <c r="L38" t="s">
        <v>251</v>
      </c>
      <c r="N38" t="s">
        <v>419</v>
      </c>
      <c r="O38" t="s">
        <v>278</v>
      </c>
      <c r="P38">
        <v>1.0653333459856721E-2</v>
      </c>
      <c r="Q38" t="s">
        <v>251</v>
      </c>
      <c r="S38" t="s">
        <v>420</v>
      </c>
      <c r="T38" t="s">
        <v>278</v>
      </c>
      <c r="U38">
        <v>1.8406815010020155E-2</v>
      </c>
      <c r="V38" t="s">
        <v>251</v>
      </c>
      <c r="X38">
        <v>2.0547945205479451E-2</v>
      </c>
      <c r="Y38">
        <v>2.5895631852422749E-2</v>
      </c>
      <c r="Z38" t="s">
        <v>278</v>
      </c>
      <c r="AA38" t="s">
        <v>25</v>
      </c>
      <c r="AC38" t="s">
        <v>22</v>
      </c>
      <c r="AD38" t="s">
        <v>278</v>
      </c>
      <c r="AE38">
        <v>2.1776342412938632E-2</v>
      </c>
      <c r="AG38" t="s">
        <v>99</v>
      </c>
      <c r="AH38" t="s">
        <v>278</v>
      </c>
      <c r="AI38">
        <v>6.7959091165817664E-2</v>
      </c>
    </row>
    <row r="39" spans="9:35" x14ac:dyDescent="0.45">
      <c r="I39" t="s">
        <v>249</v>
      </c>
      <c r="J39" t="s">
        <v>279</v>
      </c>
      <c r="K39">
        <v>2.00173866079956E-2</v>
      </c>
      <c r="L39" t="s">
        <v>251</v>
      </c>
      <c r="N39" t="s">
        <v>419</v>
      </c>
      <c r="O39" t="s">
        <v>279</v>
      </c>
      <c r="P39">
        <v>4.6384492328032031E-3</v>
      </c>
      <c r="Q39" t="s">
        <v>251</v>
      </c>
      <c r="S39" t="s">
        <v>420</v>
      </c>
      <c r="T39" t="s">
        <v>279</v>
      </c>
      <c r="U39">
        <v>9.3006190060524845E-3</v>
      </c>
      <c r="V39" t="s">
        <v>251</v>
      </c>
      <c r="X39">
        <v>1.0273972602739725E-2</v>
      </c>
      <c r="Y39">
        <v>1.6348855132635558E-2</v>
      </c>
      <c r="Z39" t="s">
        <v>279</v>
      </c>
      <c r="AA39" t="s">
        <v>25</v>
      </c>
      <c r="AC39" t="s">
        <v>22</v>
      </c>
      <c r="AD39" t="s">
        <v>279</v>
      </c>
      <c r="AE39">
        <v>8.0391169002698298E-3</v>
      </c>
      <c r="AG39" t="s">
        <v>99</v>
      </c>
      <c r="AH39" t="s">
        <v>279</v>
      </c>
      <c r="AI39">
        <v>0.10474634976168629</v>
      </c>
    </row>
    <row r="40" spans="9:35" x14ac:dyDescent="0.45">
      <c r="I40" t="s">
        <v>249</v>
      </c>
      <c r="J40" t="s">
        <v>280</v>
      </c>
      <c r="K40">
        <v>4.9464738077248001E-3</v>
      </c>
      <c r="L40" t="s">
        <v>251</v>
      </c>
      <c r="N40" t="s">
        <v>419</v>
      </c>
      <c r="O40" t="s">
        <v>280</v>
      </c>
      <c r="P40">
        <v>1.7672870015609293E-3</v>
      </c>
      <c r="Q40" t="s">
        <v>251</v>
      </c>
      <c r="S40" t="s">
        <v>420</v>
      </c>
      <c r="T40" t="s">
        <v>280</v>
      </c>
      <c r="U40">
        <v>3.1644740752954916E-3</v>
      </c>
      <c r="V40" t="s">
        <v>251</v>
      </c>
      <c r="X40">
        <v>3.4246575342465752E-3</v>
      </c>
      <c r="Y40">
        <v>6.662854585684809E-3</v>
      </c>
      <c r="Z40" t="s">
        <v>280</v>
      </c>
      <c r="AA40" t="s">
        <v>25</v>
      </c>
      <c r="AC40" t="s">
        <v>22</v>
      </c>
      <c r="AD40" t="s">
        <v>280</v>
      </c>
      <c r="AE40">
        <v>2.3604012853309128E-3</v>
      </c>
      <c r="AG40" t="s">
        <v>99</v>
      </c>
      <c r="AH40" t="s">
        <v>280</v>
      </c>
      <c r="AI40">
        <v>1.3512367730849295E-2</v>
      </c>
    </row>
    <row r="41" spans="9:35" x14ac:dyDescent="0.45">
      <c r="I41" t="s">
        <v>249</v>
      </c>
      <c r="J41" t="s">
        <v>281</v>
      </c>
      <c r="K41">
        <v>2.0025868097443083E-3</v>
      </c>
      <c r="L41" t="s">
        <v>251</v>
      </c>
      <c r="N41" t="s">
        <v>419</v>
      </c>
      <c r="O41" t="s">
        <v>281</v>
      </c>
      <c r="P41">
        <v>2.0148571403143531E-3</v>
      </c>
      <c r="Q41" t="s">
        <v>251</v>
      </c>
      <c r="S41" t="s">
        <v>420</v>
      </c>
      <c r="T41" t="s">
        <v>281</v>
      </c>
      <c r="U41">
        <v>3.1611429117214063E-3</v>
      </c>
      <c r="V41" t="s">
        <v>251</v>
      </c>
      <c r="X41">
        <v>3.4246575342465752E-3</v>
      </c>
      <c r="Y41">
        <v>5.1711707232180593E-3</v>
      </c>
      <c r="Z41" t="s">
        <v>281</v>
      </c>
      <c r="AA41" t="s">
        <v>25</v>
      </c>
      <c r="AC41" t="s">
        <v>22</v>
      </c>
      <c r="AD41" t="s">
        <v>281</v>
      </c>
      <c r="AE41">
        <v>2.3763594538990973E-3</v>
      </c>
      <c r="AG41" t="s">
        <v>99</v>
      </c>
      <c r="AH41" t="s">
        <v>281</v>
      </c>
      <c r="AI41">
        <v>1.7165333712501507E-2</v>
      </c>
    </row>
    <row r="42" spans="9:35" x14ac:dyDescent="0.45">
      <c r="I42" t="s">
        <v>249</v>
      </c>
      <c r="J42" t="s">
        <v>282</v>
      </c>
      <c r="K42">
        <v>0</v>
      </c>
      <c r="L42" t="s">
        <v>251</v>
      </c>
      <c r="N42" t="s">
        <v>419</v>
      </c>
      <c r="O42" t="s">
        <v>282</v>
      </c>
      <c r="P42">
        <v>1.4925971407484051E-2</v>
      </c>
      <c r="Q42" t="s">
        <v>251</v>
      </c>
      <c r="S42" t="s">
        <v>420</v>
      </c>
      <c r="T42" t="s">
        <v>282</v>
      </c>
      <c r="U42">
        <v>1.5948499659726105E-2</v>
      </c>
      <c r="V42" t="s">
        <v>251</v>
      </c>
      <c r="X42">
        <v>1.7123287671232876E-2</v>
      </c>
      <c r="Y42">
        <v>1.2927926808045149E-2</v>
      </c>
      <c r="Z42" t="s">
        <v>282</v>
      </c>
      <c r="AA42" t="s">
        <v>25</v>
      </c>
      <c r="AC42" t="s">
        <v>22</v>
      </c>
      <c r="AD42" t="s">
        <v>282</v>
      </c>
      <c r="AE42">
        <v>1.5578099873551859E-2</v>
      </c>
      <c r="AG42" t="s">
        <v>99</v>
      </c>
      <c r="AH42" t="s">
        <v>282</v>
      </c>
      <c r="AI42">
        <v>0.17748445228691057</v>
      </c>
    </row>
    <row r="43" spans="9:35" x14ac:dyDescent="0.45">
      <c r="I43" t="s">
        <v>249</v>
      </c>
      <c r="J43" t="s">
        <v>283</v>
      </c>
      <c r="K43">
        <v>0</v>
      </c>
      <c r="L43" t="s">
        <v>251</v>
      </c>
      <c r="N43" t="s">
        <v>419</v>
      </c>
      <c r="O43" t="s">
        <v>283</v>
      </c>
      <c r="P43">
        <v>2.2617567734358284E-2</v>
      </c>
      <c r="Q43" t="s">
        <v>251</v>
      </c>
      <c r="S43" t="s">
        <v>420</v>
      </c>
      <c r="T43" t="s">
        <v>283</v>
      </c>
      <c r="U43">
        <v>1.8121919888916246E-2</v>
      </c>
      <c r="V43" t="s">
        <v>251</v>
      </c>
      <c r="X43">
        <v>2.1232876712328767E-2</v>
      </c>
      <c r="Y43">
        <v>4.5420116185598634E-3</v>
      </c>
      <c r="Z43" t="s">
        <v>283</v>
      </c>
      <c r="AA43" t="s">
        <v>25</v>
      </c>
      <c r="AC43" t="s">
        <v>22</v>
      </c>
      <c r="AD43" t="s">
        <v>283</v>
      </c>
      <c r="AE43">
        <v>2.3166614754246737E-2</v>
      </c>
      <c r="AG43" t="s">
        <v>99</v>
      </c>
      <c r="AH43" t="s">
        <v>283</v>
      </c>
      <c r="AI43">
        <v>7.3161642999288068E-2</v>
      </c>
    </row>
    <row r="44" spans="9:35" x14ac:dyDescent="0.45">
      <c r="I44" t="s">
        <v>249</v>
      </c>
      <c r="J44" t="s">
        <v>284</v>
      </c>
      <c r="K44">
        <v>0</v>
      </c>
      <c r="L44" t="s">
        <v>251</v>
      </c>
      <c r="N44" t="s">
        <v>419</v>
      </c>
      <c r="O44" t="s">
        <v>284</v>
      </c>
      <c r="P44">
        <v>3.6344881186090496E-3</v>
      </c>
      <c r="Q44" t="s">
        <v>251</v>
      </c>
      <c r="S44" t="s">
        <v>420</v>
      </c>
      <c r="T44" t="s">
        <v>284</v>
      </c>
      <c r="U44">
        <v>2.8399858353747587E-3</v>
      </c>
      <c r="V44" t="s">
        <v>251</v>
      </c>
      <c r="X44">
        <v>3.5388127853881279E-3</v>
      </c>
      <c r="Y44">
        <v>5.240782636799844E-3</v>
      </c>
      <c r="Z44" t="s">
        <v>284</v>
      </c>
      <c r="AA44" t="s">
        <v>25</v>
      </c>
      <c r="AC44" t="s">
        <v>22</v>
      </c>
      <c r="AD44" t="s">
        <v>284</v>
      </c>
      <c r="AE44">
        <v>3.8560471526861892E-3</v>
      </c>
      <c r="AG44" t="s">
        <v>99</v>
      </c>
      <c r="AH44" t="s">
        <v>284</v>
      </c>
      <c r="AI44">
        <v>6.2550512635513256E-2</v>
      </c>
    </row>
    <row r="45" spans="9:35" x14ac:dyDescent="0.45">
      <c r="I45" t="s">
        <v>249</v>
      </c>
      <c r="J45" t="s">
        <v>285</v>
      </c>
      <c r="K45">
        <v>1.9086333504159257E-3</v>
      </c>
      <c r="L45" t="s">
        <v>251</v>
      </c>
      <c r="N45" t="s">
        <v>419</v>
      </c>
      <c r="O45" t="s">
        <v>285</v>
      </c>
      <c r="P45">
        <v>3.547331549681293E-3</v>
      </c>
      <c r="Q45" t="s">
        <v>251</v>
      </c>
      <c r="S45" t="s">
        <v>420</v>
      </c>
      <c r="T45" t="s">
        <v>285</v>
      </c>
      <c r="U45">
        <v>2.7677732040331075E-3</v>
      </c>
      <c r="V45" t="s">
        <v>251</v>
      </c>
      <c r="X45">
        <v>3.5388127853881279E-3</v>
      </c>
      <c r="Y45">
        <v>5.9087255218821738E-3</v>
      </c>
      <c r="Z45" t="s">
        <v>285</v>
      </c>
      <c r="AA45" t="s">
        <v>25</v>
      </c>
      <c r="AC45" t="s">
        <v>22</v>
      </c>
      <c r="AD45" t="s">
        <v>285</v>
      </c>
      <c r="AE45">
        <v>3.9229475599983511E-3</v>
      </c>
      <c r="AG45" t="s">
        <v>99</v>
      </c>
      <c r="AH45" t="s">
        <v>285</v>
      </c>
      <c r="AI45">
        <v>4.9077188056095178E-2</v>
      </c>
    </row>
    <row r="46" spans="9:35" x14ac:dyDescent="0.45">
      <c r="I46" t="s">
        <v>249</v>
      </c>
      <c r="J46" t="s">
        <v>286</v>
      </c>
      <c r="K46">
        <v>3.5104076765239058E-2</v>
      </c>
      <c r="L46" t="s">
        <v>251</v>
      </c>
      <c r="N46" t="s">
        <v>419</v>
      </c>
      <c r="O46" t="s">
        <v>286</v>
      </c>
      <c r="P46">
        <v>1.6002628865701567E-2</v>
      </c>
      <c r="Q46" t="s">
        <v>251</v>
      </c>
      <c r="S46" t="s">
        <v>420</v>
      </c>
      <c r="T46" t="s">
        <v>286</v>
      </c>
      <c r="U46">
        <v>1.6256338503658655E-2</v>
      </c>
      <c r="V46" t="s">
        <v>251</v>
      </c>
      <c r="X46">
        <v>2.1232876712328767E-2</v>
      </c>
      <c r="Y46">
        <v>2.6758819580836844E-2</v>
      </c>
      <c r="Z46" t="s">
        <v>286</v>
      </c>
      <c r="AA46" t="s">
        <v>25</v>
      </c>
      <c r="AC46" t="s">
        <v>22</v>
      </c>
      <c r="AD46" t="s">
        <v>286</v>
      </c>
      <c r="AE46">
        <v>2.3201187807762876E-2</v>
      </c>
      <c r="AG46" t="s">
        <v>99</v>
      </c>
      <c r="AH46" t="s">
        <v>286</v>
      </c>
      <c r="AI46">
        <v>0.10990662794279604</v>
      </c>
    </row>
    <row r="47" spans="9:35" x14ac:dyDescent="0.45">
      <c r="I47" t="s">
        <v>249</v>
      </c>
      <c r="J47" t="s">
        <v>287</v>
      </c>
      <c r="K47">
        <v>1.5174667746667668E-2</v>
      </c>
      <c r="L47" t="s">
        <v>251</v>
      </c>
      <c r="N47" t="s">
        <v>419</v>
      </c>
      <c r="O47" t="s">
        <v>287</v>
      </c>
      <c r="P47">
        <v>7.0880973707008509E-3</v>
      </c>
      <c r="Q47" t="s">
        <v>251</v>
      </c>
      <c r="S47" t="s">
        <v>420</v>
      </c>
      <c r="T47" t="s">
        <v>287</v>
      </c>
      <c r="U47">
        <v>8.252896410342582E-3</v>
      </c>
      <c r="V47" t="s">
        <v>251</v>
      </c>
      <c r="X47">
        <v>1.0616438356164383E-2</v>
      </c>
      <c r="Y47">
        <v>1.6893816970390073E-2</v>
      </c>
      <c r="Z47" t="s">
        <v>287</v>
      </c>
      <c r="AA47" t="s">
        <v>25</v>
      </c>
      <c r="AC47" t="s">
        <v>22</v>
      </c>
      <c r="AD47" t="s">
        <v>287</v>
      </c>
      <c r="AE47">
        <v>8.5348682936509154E-3</v>
      </c>
      <c r="AG47" t="s">
        <v>99</v>
      </c>
      <c r="AH47" t="s">
        <v>287</v>
      </c>
      <c r="AI47">
        <v>9.1876227455286008E-2</v>
      </c>
    </row>
    <row r="48" spans="9:35" x14ac:dyDescent="0.45">
      <c r="I48" t="s">
        <v>249</v>
      </c>
      <c r="J48" t="s">
        <v>288</v>
      </c>
      <c r="K48">
        <v>3.5448947224891443E-3</v>
      </c>
      <c r="L48" t="s">
        <v>251</v>
      </c>
      <c r="N48" t="s">
        <v>419</v>
      </c>
      <c r="O48" t="s">
        <v>288</v>
      </c>
      <c r="P48">
        <v>2.4027081750016607E-3</v>
      </c>
      <c r="Q48" t="s">
        <v>251</v>
      </c>
      <c r="S48" t="s">
        <v>420</v>
      </c>
      <c r="T48" t="s">
        <v>288</v>
      </c>
      <c r="U48">
        <v>2.9068127754390887E-3</v>
      </c>
      <c r="V48" t="s">
        <v>251</v>
      </c>
      <c r="X48">
        <v>3.5388127853881279E-3</v>
      </c>
      <c r="Y48">
        <v>6.8849497385409693E-3</v>
      </c>
      <c r="Z48" t="s">
        <v>288</v>
      </c>
      <c r="AA48" t="s">
        <v>25</v>
      </c>
      <c r="AC48" t="s">
        <v>22</v>
      </c>
      <c r="AD48" t="s">
        <v>288</v>
      </c>
      <c r="AE48">
        <v>2.4583760663985628E-3</v>
      </c>
      <c r="AG48" t="s">
        <v>99</v>
      </c>
      <c r="AH48" t="s">
        <v>288</v>
      </c>
      <c r="AI48">
        <v>1.0080620446456745E-2</v>
      </c>
    </row>
    <row r="49" spans="9:35" x14ac:dyDescent="0.45">
      <c r="I49" t="s">
        <v>249</v>
      </c>
      <c r="J49" t="s">
        <v>289</v>
      </c>
      <c r="K49">
        <v>5.2343147353180468E-4</v>
      </c>
      <c r="L49" t="s">
        <v>251</v>
      </c>
      <c r="N49" t="s">
        <v>419</v>
      </c>
      <c r="O49" t="s">
        <v>289</v>
      </c>
      <c r="P49">
        <v>2.6989413513743396E-3</v>
      </c>
      <c r="Q49" t="s">
        <v>251</v>
      </c>
      <c r="S49" t="s">
        <v>420</v>
      </c>
      <c r="T49" t="s">
        <v>289</v>
      </c>
      <c r="U49">
        <v>2.9667193514552386E-3</v>
      </c>
      <c r="V49" t="s">
        <v>251</v>
      </c>
      <c r="X49">
        <v>3.5388127853881279E-3</v>
      </c>
      <c r="Y49">
        <v>5.3435430806586613E-3</v>
      </c>
      <c r="Z49" t="s">
        <v>289</v>
      </c>
      <c r="AA49" t="s">
        <v>25</v>
      </c>
      <c r="AC49" t="s">
        <v>22</v>
      </c>
      <c r="AD49" t="s">
        <v>289</v>
      </c>
      <c r="AE49">
        <v>2.4833229906104171E-3</v>
      </c>
      <c r="AG49" t="s">
        <v>99</v>
      </c>
      <c r="AH49" t="s">
        <v>289</v>
      </c>
      <c r="AI49">
        <v>1.2916306074604922E-2</v>
      </c>
    </row>
    <row r="50" spans="9:35" x14ac:dyDescent="0.45">
      <c r="I50" t="s">
        <v>249</v>
      </c>
      <c r="J50" t="s">
        <v>290</v>
      </c>
      <c r="K50">
        <v>0</v>
      </c>
      <c r="L50" t="s">
        <v>251</v>
      </c>
      <c r="N50" t="s">
        <v>419</v>
      </c>
      <c r="O50" t="s">
        <v>290</v>
      </c>
      <c r="P50">
        <v>1.7466729395622826E-2</v>
      </c>
      <c r="Q50" t="s">
        <v>251</v>
      </c>
      <c r="S50" t="s">
        <v>420</v>
      </c>
      <c r="T50" t="s">
        <v>290</v>
      </c>
      <c r="U50">
        <v>1.5286969146846846E-2</v>
      </c>
      <c r="V50" t="s">
        <v>251</v>
      </c>
      <c r="X50">
        <v>1.7694063926940638E-2</v>
      </c>
      <c r="Y50">
        <v>1.3358857701646654E-2</v>
      </c>
      <c r="Z50" t="s">
        <v>290</v>
      </c>
      <c r="AA50" t="s">
        <v>25</v>
      </c>
      <c r="AC50" t="s">
        <v>22</v>
      </c>
      <c r="AD50" t="s">
        <v>290</v>
      </c>
      <c r="AE50">
        <v>1.6214694812859108E-2</v>
      </c>
      <c r="AG50" t="s">
        <v>99</v>
      </c>
      <c r="AH50" t="s">
        <v>290</v>
      </c>
      <c r="AI50">
        <v>0.2208955727201567</v>
      </c>
    </row>
    <row r="51" spans="9:35" x14ac:dyDescent="0.45">
      <c r="I51" t="s">
        <v>249</v>
      </c>
      <c r="J51" t="s">
        <v>291</v>
      </c>
      <c r="K51">
        <v>0</v>
      </c>
      <c r="L51" t="s">
        <v>251</v>
      </c>
      <c r="N51" t="s">
        <v>419</v>
      </c>
      <c r="O51" t="s">
        <v>291</v>
      </c>
      <c r="P51">
        <v>1.7340868915542245E-2</v>
      </c>
      <c r="Q51" t="s">
        <v>251</v>
      </c>
      <c r="S51" t="s">
        <v>420</v>
      </c>
      <c r="T51" t="s">
        <v>291</v>
      </c>
      <c r="U51">
        <v>1.8864943552373975E-2</v>
      </c>
      <c r="V51" t="s">
        <v>251</v>
      </c>
      <c r="X51">
        <v>2.0547945205479451E-2</v>
      </c>
      <c r="Y51">
        <v>4.3954951147353507E-3</v>
      </c>
      <c r="Z51" t="s">
        <v>291</v>
      </c>
      <c r="AA51" t="s">
        <v>25</v>
      </c>
      <c r="AC51" t="s">
        <v>22</v>
      </c>
      <c r="AD51" t="s">
        <v>291</v>
      </c>
      <c r="AE51">
        <v>2.2955528520385966E-2</v>
      </c>
      <c r="AG51" t="s">
        <v>99</v>
      </c>
      <c r="AH51" t="s">
        <v>291</v>
      </c>
      <c r="AI51">
        <v>0.1368158424699597</v>
      </c>
    </row>
    <row r="52" spans="9:35" x14ac:dyDescent="0.45">
      <c r="I52" t="s">
        <v>249</v>
      </c>
      <c r="J52" t="s">
        <v>292</v>
      </c>
      <c r="K52">
        <v>0</v>
      </c>
      <c r="L52" t="s">
        <v>251</v>
      </c>
      <c r="N52" t="s">
        <v>419</v>
      </c>
      <c r="O52" t="s">
        <v>292</v>
      </c>
      <c r="P52">
        <v>2.7552928987548846E-3</v>
      </c>
      <c r="Q52" t="s">
        <v>251</v>
      </c>
      <c r="S52" t="s">
        <v>420</v>
      </c>
      <c r="T52" t="s">
        <v>292</v>
      </c>
      <c r="U52">
        <v>3.1101829685349714E-3</v>
      </c>
      <c r="V52" t="s">
        <v>251</v>
      </c>
      <c r="X52">
        <v>3.4246575342465752E-3</v>
      </c>
      <c r="Y52">
        <v>5.0717251323869452E-3</v>
      </c>
      <c r="Z52" t="s">
        <v>292</v>
      </c>
      <c r="AA52" t="s">
        <v>25</v>
      </c>
      <c r="AC52" t="s">
        <v>22</v>
      </c>
      <c r="AD52" t="s">
        <v>292</v>
      </c>
      <c r="AE52">
        <v>3.8203230554658455E-3</v>
      </c>
      <c r="AG52" t="s">
        <v>99</v>
      </c>
      <c r="AH52" t="s">
        <v>292</v>
      </c>
      <c r="AI52">
        <v>8.4963074613875866E-2</v>
      </c>
    </row>
    <row r="53" spans="9:35" x14ac:dyDescent="0.45">
      <c r="I53" t="s">
        <v>249</v>
      </c>
      <c r="J53" t="s">
        <v>293</v>
      </c>
      <c r="K53">
        <v>5.1664096297965019E-4</v>
      </c>
      <c r="L53" t="s">
        <v>251</v>
      </c>
      <c r="N53" t="s">
        <v>419</v>
      </c>
      <c r="O53" t="s">
        <v>293</v>
      </c>
      <c r="P53">
        <v>2.7180358188899733E-3</v>
      </c>
      <c r="Q53" t="s">
        <v>251</v>
      </c>
      <c r="S53" t="s">
        <v>420</v>
      </c>
      <c r="T53" t="s">
        <v>293</v>
      </c>
      <c r="U53">
        <v>3.0544010204013551E-3</v>
      </c>
      <c r="V53" t="s">
        <v>251</v>
      </c>
      <c r="X53">
        <v>3.4246575342465752E-3</v>
      </c>
      <c r="Y53">
        <v>5.7181214727892006E-3</v>
      </c>
      <c r="Z53" t="s">
        <v>293</v>
      </c>
      <c r="AA53" t="s">
        <v>25</v>
      </c>
      <c r="AC53" t="s">
        <v>22</v>
      </c>
      <c r="AD53" t="s">
        <v>293</v>
      </c>
      <c r="AE53">
        <v>4.0761958180064832E-3</v>
      </c>
      <c r="AG53" t="s">
        <v>99</v>
      </c>
      <c r="AH53" t="s">
        <v>293</v>
      </c>
      <c r="AI53">
        <v>0.10211568961303708</v>
      </c>
    </row>
    <row r="54" spans="9:35" x14ac:dyDescent="0.45">
      <c r="I54" t="s">
        <v>249</v>
      </c>
      <c r="J54" t="s">
        <v>294</v>
      </c>
      <c r="K54">
        <v>2.5313402061503336E-2</v>
      </c>
      <c r="L54" t="s">
        <v>251</v>
      </c>
      <c r="N54" t="s">
        <v>419</v>
      </c>
      <c r="O54" t="s">
        <v>294</v>
      </c>
      <c r="P54">
        <v>1.3001790071911381E-2</v>
      </c>
      <c r="Q54" t="s">
        <v>251</v>
      </c>
      <c r="S54" t="s">
        <v>420</v>
      </c>
      <c r="T54" t="s">
        <v>294</v>
      </c>
      <c r="U54">
        <v>1.8822276218912571E-2</v>
      </c>
      <c r="V54" t="s">
        <v>251</v>
      </c>
      <c r="X54">
        <v>2.0547945205479451E-2</v>
      </c>
      <c r="Y54">
        <v>2.5895631852422749E-2</v>
      </c>
      <c r="Z54" t="s">
        <v>294</v>
      </c>
      <c r="AA54" t="s">
        <v>25</v>
      </c>
      <c r="AC54" t="s">
        <v>22</v>
      </c>
      <c r="AD54" t="s">
        <v>294</v>
      </c>
      <c r="AE54">
        <v>2.440190210246063E-2</v>
      </c>
      <c r="AG54" t="s">
        <v>99</v>
      </c>
      <c r="AH54" t="s">
        <v>294</v>
      </c>
      <c r="AI54">
        <v>0.16085381902352625</v>
      </c>
    </row>
    <row r="55" spans="9:35" x14ac:dyDescent="0.45">
      <c r="I55" t="s">
        <v>249</v>
      </c>
      <c r="J55" t="s">
        <v>295</v>
      </c>
      <c r="K55">
        <v>1.0915804255623635E-2</v>
      </c>
      <c r="L55" t="s">
        <v>251</v>
      </c>
      <c r="N55" t="s">
        <v>419</v>
      </c>
      <c r="O55" t="s">
        <v>295</v>
      </c>
      <c r="P55">
        <v>5.7318627451893979E-3</v>
      </c>
      <c r="Q55" t="s">
        <v>251</v>
      </c>
      <c r="S55" t="s">
        <v>420</v>
      </c>
      <c r="T55" t="s">
        <v>295</v>
      </c>
      <c r="U55">
        <v>9.0860524469073053E-3</v>
      </c>
      <c r="V55" t="s">
        <v>251</v>
      </c>
      <c r="X55">
        <v>1.0273972602739725E-2</v>
      </c>
      <c r="Y55">
        <v>1.6348855132635558E-2</v>
      </c>
      <c r="Z55" t="s">
        <v>295</v>
      </c>
      <c r="AA55" t="s">
        <v>25</v>
      </c>
      <c r="AC55" t="s">
        <v>22</v>
      </c>
      <c r="AD55" t="s">
        <v>295</v>
      </c>
      <c r="AE55">
        <v>8.6070660549668089E-3</v>
      </c>
      <c r="AG55" t="s">
        <v>99</v>
      </c>
      <c r="AH55" t="s">
        <v>295</v>
      </c>
      <c r="AI55">
        <v>0.12151799281777786</v>
      </c>
    </row>
    <row r="56" spans="9:35" x14ac:dyDescent="0.45">
      <c r="I56" t="s">
        <v>249</v>
      </c>
      <c r="J56" t="s">
        <v>296</v>
      </c>
      <c r="K56">
        <v>2.1904667473554716E-3</v>
      </c>
      <c r="L56" t="s">
        <v>251</v>
      </c>
      <c r="N56" t="s">
        <v>419</v>
      </c>
      <c r="O56" t="s">
        <v>296</v>
      </c>
      <c r="P56">
        <v>2.0131938008820637E-3</v>
      </c>
      <c r="Q56" t="s">
        <v>251</v>
      </c>
      <c r="S56" t="s">
        <v>420</v>
      </c>
      <c r="T56" t="s">
        <v>296</v>
      </c>
      <c r="U56">
        <v>3.0559456703755242E-3</v>
      </c>
      <c r="V56" t="s">
        <v>251</v>
      </c>
      <c r="X56">
        <v>3.4246575342465752E-3</v>
      </c>
      <c r="Y56">
        <v>6.662854585684809E-3</v>
      </c>
      <c r="Z56" t="s">
        <v>296</v>
      </c>
      <c r="AA56" t="s">
        <v>25</v>
      </c>
      <c r="AC56" t="s">
        <v>22</v>
      </c>
      <c r="AD56" t="s">
        <v>296</v>
      </c>
      <c r="AE56">
        <v>2.4739813975291143E-3</v>
      </c>
      <c r="AG56" t="s">
        <v>99</v>
      </c>
      <c r="AH56" t="s">
        <v>296</v>
      </c>
      <c r="AI56">
        <v>2.421008080136855E-2</v>
      </c>
    </row>
    <row r="57" spans="9:35" x14ac:dyDescent="0.45">
      <c r="I57" t="s">
        <v>249</v>
      </c>
      <c r="J57" t="s">
        <v>297</v>
      </c>
      <c r="K57">
        <v>1.783929352176636E-4</v>
      </c>
      <c r="L57" t="s">
        <v>251</v>
      </c>
      <c r="N57" t="s">
        <v>419</v>
      </c>
      <c r="O57" t="s">
        <v>297</v>
      </c>
      <c r="P57">
        <v>2.3135969986204778E-3</v>
      </c>
      <c r="Q57" t="s">
        <v>251</v>
      </c>
      <c r="S57" t="s">
        <v>420</v>
      </c>
      <c r="T57" t="s">
        <v>297</v>
      </c>
      <c r="U57">
        <v>3.1215446196545945E-3</v>
      </c>
      <c r="V57" t="s">
        <v>251</v>
      </c>
      <c r="X57">
        <v>3.4246575342465752E-3</v>
      </c>
      <c r="Y57">
        <v>5.1711707232180593E-3</v>
      </c>
      <c r="Z57" t="s">
        <v>297</v>
      </c>
      <c r="AA57" t="s">
        <v>25</v>
      </c>
      <c r="AC57" t="s">
        <v>22</v>
      </c>
      <c r="AD57" t="s">
        <v>297</v>
      </c>
      <c r="AE57">
        <v>2.4983207318962672E-3</v>
      </c>
      <c r="AG57" t="s">
        <v>99</v>
      </c>
      <c r="AH57" t="s">
        <v>297</v>
      </c>
      <c r="AI57">
        <v>3.4142395931153091E-2</v>
      </c>
    </row>
    <row r="58" spans="9:35" x14ac:dyDescent="0.45">
      <c r="I58" t="s">
        <v>249</v>
      </c>
      <c r="J58" t="s">
        <v>298</v>
      </c>
      <c r="K58">
        <v>0</v>
      </c>
      <c r="L58" t="s">
        <v>251</v>
      </c>
      <c r="N58" t="s">
        <v>419</v>
      </c>
      <c r="O58" t="s">
        <v>298</v>
      </c>
      <c r="P58">
        <v>1.4668225626252696E-2</v>
      </c>
      <c r="Q58" t="s">
        <v>251</v>
      </c>
      <c r="S58" t="s">
        <v>420</v>
      </c>
      <c r="T58" t="s">
        <v>298</v>
      </c>
      <c r="U58">
        <v>1.5638166370706395E-2</v>
      </c>
      <c r="V58" t="s">
        <v>251</v>
      </c>
      <c r="X58">
        <v>1.7123287671232876E-2</v>
      </c>
      <c r="Y58">
        <v>1.2927926808045149E-2</v>
      </c>
      <c r="Z58" t="s">
        <v>298</v>
      </c>
      <c r="AA58" t="s">
        <v>25</v>
      </c>
      <c r="AC58" t="s">
        <v>22</v>
      </c>
      <c r="AD58" t="s">
        <v>298</v>
      </c>
      <c r="AE58">
        <v>1.681848921412674E-2</v>
      </c>
      <c r="AG58" t="s">
        <v>99</v>
      </c>
      <c r="AH58" t="s">
        <v>298</v>
      </c>
      <c r="AI58">
        <v>0.23954895810254562</v>
      </c>
    </row>
    <row r="59" spans="9:35" x14ac:dyDescent="0.45">
      <c r="I59" t="s">
        <v>249</v>
      </c>
      <c r="J59" t="s">
        <v>323</v>
      </c>
      <c r="K59">
        <v>0</v>
      </c>
      <c r="L59" t="s">
        <v>251</v>
      </c>
      <c r="N59" t="s">
        <v>419</v>
      </c>
      <c r="O59" t="s">
        <v>323</v>
      </c>
      <c r="P59">
        <v>2.4141775459495713E-2</v>
      </c>
      <c r="Q59" t="s">
        <v>251</v>
      </c>
      <c r="S59" t="s">
        <v>420</v>
      </c>
      <c r="T59" t="s">
        <v>323</v>
      </c>
      <c r="U59">
        <v>2.2693313561102026E-2</v>
      </c>
      <c r="V59" t="s">
        <v>251</v>
      </c>
      <c r="X59">
        <v>2.1232876712328767E-2</v>
      </c>
      <c r="Y59">
        <v>4.5420116185598634E-3</v>
      </c>
      <c r="Z59" t="s">
        <v>323</v>
      </c>
      <c r="AA59" t="s">
        <v>25</v>
      </c>
      <c r="AC59" t="s">
        <v>22</v>
      </c>
      <c r="AD59" t="s">
        <v>323</v>
      </c>
      <c r="AE59">
        <v>2.3979920575086799E-2</v>
      </c>
      <c r="AG59" t="s">
        <v>99</v>
      </c>
      <c r="AH59" t="s">
        <v>323</v>
      </c>
      <c r="AI59">
        <v>0.1032275574828907</v>
      </c>
    </row>
    <row r="60" spans="9:35" x14ac:dyDescent="0.45">
      <c r="I60" t="s">
        <v>249</v>
      </c>
      <c r="J60" t="s">
        <v>324</v>
      </c>
      <c r="K60">
        <v>0</v>
      </c>
      <c r="L60" t="s">
        <v>251</v>
      </c>
      <c r="N60" t="s">
        <v>419</v>
      </c>
      <c r="O60" t="s">
        <v>324</v>
      </c>
      <c r="P60">
        <v>3.8362604124315223E-3</v>
      </c>
      <c r="Q60" t="s">
        <v>251</v>
      </c>
      <c r="S60" t="s">
        <v>420</v>
      </c>
      <c r="T60" t="s">
        <v>324</v>
      </c>
      <c r="U60">
        <v>3.686837046252508E-3</v>
      </c>
      <c r="V60" t="s">
        <v>251</v>
      </c>
      <c r="X60">
        <v>3.5388127853881279E-3</v>
      </c>
      <c r="Y60">
        <v>5.240782636799844E-3</v>
      </c>
      <c r="Z60" t="s">
        <v>324</v>
      </c>
      <c r="AA60" t="s">
        <v>25</v>
      </c>
      <c r="AC60" t="s">
        <v>22</v>
      </c>
      <c r="AD60" t="s">
        <v>324</v>
      </c>
      <c r="AE60">
        <v>3.986693721138578E-3</v>
      </c>
      <c r="AG60" t="s">
        <v>99</v>
      </c>
      <c r="AH60" t="s">
        <v>324</v>
      </c>
      <c r="AI60">
        <v>5.6498111575230325E-2</v>
      </c>
    </row>
    <row r="61" spans="9:35" x14ac:dyDescent="0.45">
      <c r="I61" t="s">
        <v>249</v>
      </c>
      <c r="J61" t="s">
        <v>325</v>
      </c>
      <c r="K61">
        <v>7.8052309015312832E-4</v>
      </c>
      <c r="L61" t="s">
        <v>251</v>
      </c>
      <c r="N61" t="s">
        <v>419</v>
      </c>
      <c r="O61" t="s">
        <v>325</v>
      </c>
      <c r="P61">
        <v>3.7884128657880421E-3</v>
      </c>
      <c r="Q61" t="s">
        <v>251</v>
      </c>
      <c r="S61" t="s">
        <v>420</v>
      </c>
      <c r="T61" t="s">
        <v>325</v>
      </c>
      <c r="U61">
        <v>3.5999580091018047E-3</v>
      </c>
      <c r="V61" t="s">
        <v>251</v>
      </c>
      <c r="X61">
        <v>3.5388127853881279E-3</v>
      </c>
      <c r="Y61">
        <v>5.9087255218821738E-3</v>
      </c>
      <c r="Z61" t="s">
        <v>325</v>
      </c>
      <c r="AA61" t="s">
        <v>25</v>
      </c>
      <c r="AC61" t="s">
        <v>22</v>
      </c>
      <c r="AD61" t="s">
        <v>325</v>
      </c>
      <c r="AE61">
        <v>4.2316119961850413E-3</v>
      </c>
      <c r="AG61" t="s">
        <v>99</v>
      </c>
      <c r="AH61" t="s">
        <v>325</v>
      </c>
      <c r="AI61">
        <v>9.3579735387869789E-2</v>
      </c>
    </row>
    <row r="62" spans="9:35" x14ac:dyDescent="0.45">
      <c r="I62" t="s">
        <v>249</v>
      </c>
      <c r="J62" t="s">
        <v>326</v>
      </c>
      <c r="K62">
        <v>3.598844042367861E-2</v>
      </c>
      <c r="L62" t="s">
        <v>251</v>
      </c>
      <c r="N62" t="s">
        <v>419</v>
      </c>
      <c r="O62" t="s">
        <v>326</v>
      </c>
      <c r="P62">
        <v>1.7718370554977197E-2</v>
      </c>
      <c r="Q62" t="s">
        <v>251</v>
      </c>
      <c r="S62" t="s">
        <v>420</v>
      </c>
      <c r="T62" t="s">
        <v>326</v>
      </c>
      <c r="U62">
        <v>2.1919812724936486E-2</v>
      </c>
      <c r="V62" t="s">
        <v>251</v>
      </c>
      <c r="X62">
        <v>2.1232876712328767E-2</v>
      </c>
      <c r="Y62">
        <v>2.6758819580836844E-2</v>
      </c>
      <c r="Z62" t="s">
        <v>326</v>
      </c>
      <c r="AA62" t="s">
        <v>25</v>
      </c>
      <c r="AC62" t="s">
        <v>22</v>
      </c>
      <c r="AD62" t="s">
        <v>326</v>
      </c>
      <c r="AE62">
        <v>2.52893600851027E-2</v>
      </c>
      <c r="AG62" t="s">
        <v>99</v>
      </c>
      <c r="AH62" t="s">
        <v>326</v>
      </c>
      <c r="AI62">
        <v>0.13028808653136692</v>
      </c>
    </row>
    <row r="63" spans="9:35" x14ac:dyDescent="0.45">
      <c r="I63" t="s">
        <v>249</v>
      </c>
      <c r="J63" t="s">
        <v>327</v>
      </c>
      <c r="K63">
        <v>1.6768638501399199E-2</v>
      </c>
      <c r="L63" t="s">
        <v>251</v>
      </c>
      <c r="N63" t="s">
        <v>419</v>
      </c>
      <c r="O63" t="s">
        <v>327</v>
      </c>
      <c r="P63">
        <v>8.0509621699873263E-3</v>
      </c>
      <c r="Q63" t="s">
        <v>251</v>
      </c>
      <c r="S63" t="s">
        <v>420</v>
      </c>
      <c r="T63" t="s">
        <v>327</v>
      </c>
      <c r="U63">
        <v>1.0995196107660529E-2</v>
      </c>
      <c r="V63" t="s">
        <v>251</v>
      </c>
      <c r="X63">
        <v>1.0616438356164383E-2</v>
      </c>
      <c r="Y63">
        <v>1.6893816970390073E-2</v>
      </c>
      <c r="Z63" t="s">
        <v>327</v>
      </c>
      <c r="AA63" t="s">
        <v>25</v>
      </c>
      <c r="AC63" t="s">
        <v>22</v>
      </c>
      <c r="AD63" t="s">
        <v>327</v>
      </c>
      <c r="AE63">
        <v>8.9752722242677878E-3</v>
      </c>
      <c r="AG63" t="s">
        <v>99</v>
      </c>
      <c r="AH63" t="s">
        <v>327</v>
      </c>
      <c r="AI63">
        <v>0.11180787818753379</v>
      </c>
    </row>
    <row r="64" spans="9:35" x14ac:dyDescent="0.45">
      <c r="I64" t="s">
        <v>249</v>
      </c>
      <c r="J64" t="s">
        <v>328</v>
      </c>
      <c r="K64">
        <v>3.9152964462415398E-3</v>
      </c>
      <c r="L64" t="s">
        <v>251</v>
      </c>
      <c r="N64" t="s">
        <v>419</v>
      </c>
      <c r="O64" t="s">
        <v>328</v>
      </c>
      <c r="P64">
        <v>2.6456635384339232E-3</v>
      </c>
      <c r="Q64" t="s">
        <v>251</v>
      </c>
      <c r="S64" t="s">
        <v>420</v>
      </c>
      <c r="T64" t="s">
        <v>328</v>
      </c>
      <c r="U64">
        <v>3.6218907938387621E-3</v>
      </c>
      <c r="V64" t="s">
        <v>251</v>
      </c>
      <c r="X64">
        <v>3.5388127853881279E-3</v>
      </c>
      <c r="Y64">
        <v>6.8849497385409693E-3</v>
      </c>
      <c r="Z64" t="s">
        <v>328</v>
      </c>
      <c r="AA64" t="s">
        <v>25</v>
      </c>
      <c r="AC64" t="s">
        <v>22</v>
      </c>
      <c r="AD64" t="s">
        <v>328</v>
      </c>
      <c r="AE64">
        <v>2.5747442735004709E-3</v>
      </c>
      <c r="AG64" t="s">
        <v>99</v>
      </c>
      <c r="AH64" t="s">
        <v>328</v>
      </c>
      <c r="AI64">
        <v>2.9026495980946754E-2</v>
      </c>
    </row>
    <row r="65" spans="9:35" x14ac:dyDescent="0.45">
      <c r="I65" t="s">
        <v>249</v>
      </c>
      <c r="J65" t="s">
        <v>329</v>
      </c>
      <c r="K65">
        <v>9.7688216512112434E-4</v>
      </c>
      <c r="L65" t="s">
        <v>251</v>
      </c>
      <c r="N65" t="s">
        <v>419</v>
      </c>
      <c r="O65" t="s">
        <v>329</v>
      </c>
      <c r="P65">
        <v>2.930497437883046E-3</v>
      </c>
      <c r="Q65" t="s">
        <v>251</v>
      </c>
      <c r="S65" t="s">
        <v>420</v>
      </c>
      <c r="T65" t="s">
        <v>329</v>
      </c>
      <c r="U65">
        <v>3.5799806164893669E-3</v>
      </c>
      <c r="V65" t="s">
        <v>251</v>
      </c>
      <c r="X65">
        <v>3.5388127853881279E-3</v>
      </c>
      <c r="Y65">
        <v>5.3435430806586613E-3</v>
      </c>
      <c r="Z65" t="s">
        <v>329</v>
      </c>
      <c r="AA65" t="s">
        <v>25</v>
      </c>
      <c r="AC65" t="s">
        <v>22</v>
      </c>
      <c r="AD65" t="s">
        <v>329</v>
      </c>
      <c r="AE65">
        <v>2.6002451766883763E-3</v>
      </c>
      <c r="AG65" t="s">
        <v>99</v>
      </c>
      <c r="AH65" t="s">
        <v>329</v>
      </c>
      <c r="AI65">
        <v>3.6642143420682283E-2</v>
      </c>
    </row>
    <row r="66" spans="9:35" x14ac:dyDescent="0.45">
      <c r="I66" t="s">
        <v>249</v>
      </c>
      <c r="J66" t="s">
        <v>330</v>
      </c>
      <c r="K66">
        <v>0</v>
      </c>
      <c r="L66" t="s">
        <v>251</v>
      </c>
      <c r="N66" t="s">
        <v>419</v>
      </c>
      <c r="O66" t="s">
        <v>330</v>
      </c>
      <c r="P66">
        <v>1.9050993178450711E-2</v>
      </c>
      <c r="Q66" t="s">
        <v>251</v>
      </c>
      <c r="S66" t="s">
        <v>420</v>
      </c>
      <c r="T66" t="s">
        <v>330</v>
      </c>
      <c r="U66">
        <v>1.8281068833678568E-2</v>
      </c>
      <c r="V66" t="s">
        <v>251</v>
      </c>
      <c r="X66">
        <v>1.7694063926940638E-2</v>
      </c>
      <c r="Y66">
        <v>1.3358857701646654E-2</v>
      </c>
      <c r="Z66" t="s">
        <v>330</v>
      </c>
      <c r="AA66" t="s">
        <v>25</v>
      </c>
      <c r="AC66" t="s">
        <v>22</v>
      </c>
      <c r="AD66" t="s">
        <v>330</v>
      </c>
      <c r="AE66">
        <v>1.7683837421870352E-2</v>
      </c>
      <c r="AG66" t="s">
        <v>99</v>
      </c>
      <c r="AH66" t="s">
        <v>330</v>
      </c>
      <c r="AI66">
        <v>0.20480196779357418</v>
      </c>
    </row>
    <row r="67" spans="9:35" x14ac:dyDescent="0.45">
      <c r="I67" t="s">
        <v>249</v>
      </c>
      <c r="J67" t="s">
        <v>331</v>
      </c>
      <c r="K67">
        <v>0</v>
      </c>
      <c r="L67" t="s">
        <v>251</v>
      </c>
      <c r="N67" t="s">
        <v>419</v>
      </c>
      <c r="O67" t="s">
        <v>331</v>
      </c>
      <c r="P67">
        <v>2.1974063560462369E-2</v>
      </c>
      <c r="Q67" t="s">
        <v>251</v>
      </c>
      <c r="S67" t="s">
        <v>420</v>
      </c>
      <c r="T67" t="s">
        <v>331</v>
      </c>
      <c r="U67">
        <v>2.7283751510667056E-2</v>
      </c>
      <c r="V67" t="s">
        <v>251</v>
      </c>
      <c r="X67">
        <v>2.1232876712328767E-2</v>
      </c>
      <c r="Y67">
        <v>4.5420116185598634E-3</v>
      </c>
      <c r="Z67" t="s">
        <v>331</v>
      </c>
      <c r="AA67" t="s">
        <v>25</v>
      </c>
      <c r="AC67" t="s">
        <v>22</v>
      </c>
      <c r="AD67" t="s">
        <v>331</v>
      </c>
      <c r="AE67">
        <v>2.3404298694738292E-2</v>
      </c>
      <c r="AG67" t="s">
        <v>99</v>
      </c>
      <c r="AH67" t="s">
        <v>331</v>
      </c>
      <c r="AI67">
        <v>8.6770478469463619E-2</v>
      </c>
    </row>
    <row r="68" spans="9:35" x14ac:dyDescent="0.45">
      <c r="I68" t="s">
        <v>249</v>
      </c>
      <c r="J68" t="s">
        <v>332</v>
      </c>
      <c r="K68">
        <v>0</v>
      </c>
      <c r="L68" t="s">
        <v>251</v>
      </c>
      <c r="N68" t="s">
        <v>419</v>
      </c>
      <c r="O68" t="s">
        <v>332</v>
      </c>
      <c r="P68">
        <v>3.450239365884766E-3</v>
      </c>
      <c r="Q68" t="s">
        <v>251</v>
      </c>
      <c r="S68" t="s">
        <v>420</v>
      </c>
      <c r="T68" t="s">
        <v>332</v>
      </c>
      <c r="U68">
        <v>4.4860067785218154E-3</v>
      </c>
      <c r="V68" t="s">
        <v>251</v>
      </c>
      <c r="X68">
        <v>3.5388127853881279E-3</v>
      </c>
      <c r="Y68">
        <v>5.240782636799844E-3</v>
      </c>
      <c r="Z68" t="s">
        <v>332</v>
      </c>
      <c r="AA68" t="s">
        <v>25</v>
      </c>
      <c r="AC68" t="s">
        <v>22</v>
      </c>
      <c r="AD68" t="s">
        <v>332</v>
      </c>
      <c r="AE68">
        <v>3.9208830708802678E-3</v>
      </c>
      <c r="AG68" t="s">
        <v>99</v>
      </c>
      <c r="AH68" t="s">
        <v>332</v>
      </c>
      <c r="AI68">
        <v>6.1004223848656558E-2</v>
      </c>
    </row>
    <row r="69" spans="9:35" x14ac:dyDescent="0.45">
      <c r="I69" t="s">
        <v>249</v>
      </c>
      <c r="J69" t="s">
        <v>333</v>
      </c>
      <c r="K69">
        <v>2.5517161056882406E-3</v>
      </c>
      <c r="L69" t="s">
        <v>251</v>
      </c>
      <c r="N69" t="s">
        <v>419</v>
      </c>
      <c r="O69" t="s">
        <v>333</v>
      </c>
      <c r="P69">
        <v>3.3543672645367697E-3</v>
      </c>
      <c r="Q69" t="s">
        <v>251</v>
      </c>
      <c r="S69" t="s">
        <v>420</v>
      </c>
      <c r="T69" t="s">
        <v>333</v>
      </c>
      <c r="U69">
        <v>4.4835930943530672E-3</v>
      </c>
      <c r="V69" t="s">
        <v>251</v>
      </c>
      <c r="X69">
        <v>3.5388127853881279E-3</v>
      </c>
      <c r="Y69">
        <v>5.9087255218821738E-3</v>
      </c>
      <c r="Z69" t="s">
        <v>333</v>
      </c>
      <c r="AA69" t="s">
        <v>25</v>
      </c>
      <c r="AC69" t="s">
        <v>22</v>
      </c>
      <c r="AD69" t="s">
        <v>333</v>
      </c>
      <c r="AE69">
        <v>4.0787194249493931E-3</v>
      </c>
      <c r="AG69" t="s">
        <v>99</v>
      </c>
      <c r="AH69" t="s">
        <v>333</v>
      </c>
      <c r="AI69">
        <v>8.3453178737734612E-2</v>
      </c>
    </row>
    <row r="70" spans="9:35" x14ac:dyDescent="0.45">
      <c r="I70" t="s">
        <v>249</v>
      </c>
      <c r="J70" t="s">
        <v>334</v>
      </c>
      <c r="K70">
        <v>4.4592288830543898E-2</v>
      </c>
      <c r="L70" t="s">
        <v>251</v>
      </c>
      <c r="N70" t="s">
        <v>419</v>
      </c>
      <c r="O70" t="s">
        <v>334</v>
      </c>
      <c r="P70">
        <v>1.6331437927914888E-2</v>
      </c>
      <c r="Q70" t="s">
        <v>251</v>
      </c>
      <c r="S70" t="s">
        <v>420</v>
      </c>
      <c r="T70" t="s">
        <v>334</v>
      </c>
      <c r="U70">
        <v>2.7716967703179399E-2</v>
      </c>
      <c r="V70" t="s">
        <v>251</v>
      </c>
      <c r="X70">
        <v>2.1232876712328767E-2</v>
      </c>
      <c r="Y70">
        <v>2.6758819580836844E-2</v>
      </c>
      <c r="Z70" t="s">
        <v>334</v>
      </c>
      <c r="AA70" t="s">
        <v>25</v>
      </c>
      <c r="AC70" t="s">
        <v>22</v>
      </c>
      <c r="AD70" t="s">
        <v>334</v>
      </c>
      <c r="AE70">
        <v>2.4660008200840411E-2</v>
      </c>
      <c r="AG70" t="s">
        <v>99</v>
      </c>
      <c r="AH70" t="s">
        <v>334</v>
      </c>
      <c r="AI70">
        <v>0.16204740512519122</v>
      </c>
    </row>
    <row r="71" spans="9:35" x14ac:dyDescent="0.45">
      <c r="I71" t="s">
        <v>249</v>
      </c>
      <c r="J71" t="s">
        <v>335</v>
      </c>
      <c r="K71">
        <v>2.09831215758269E-2</v>
      </c>
      <c r="L71" t="s">
        <v>251</v>
      </c>
      <c r="N71" t="s">
        <v>419</v>
      </c>
      <c r="O71" t="s">
        <v>335</v>
      </c>
      <c r="P71">
        <v>8.535814500486065E-3</v>
      </c>
      <c r="Q71" t="s">
        <v>251</v>
      </c>
      <c r="S71" t="s">
        <v>420</v>
      </c>
      <c r="T71" t="s">
        <v>335</v>
      </c>
      <c r="U71">
        <v>1.4122223160482752E-2</v>
      </c>
      <c r="V71" t="s">
        <v>251</v>
      </c>
      <c r="X71">
        <v>1.0616438356164383E-2</v>
      </c>
      <c r="Y71">
        <v>1.6893816970390073E-2</v>
      </c>
      <c r="Z71" t="s">
        <v>335</v>
      </c>
      <c r="AA71" t="s">
        <v>25</v>
      </c>
      <c r="AC71" t="s">
        <v>22</v>
      </c>
      <c r="AD71" t="s">
        <v>335</v>
      </c>
      <c r="AE71">
        <v>8.7792639398936757E-3</v>
      </c>
      <c r="AG71" t="s">
        <v>99</v>
      </c>
      <c r="AH71" t="s">
        <v>335</v>
      </c>
      <c r="AI71">
        <v>0.11093550843474387</v>
      </c>
    </row>
    <row r="72" spans="9:35" x14ac:dyDescent="0.45">
      <c r="I72" t="s">
        <v>249</v>
      </c>
      <c r="J72" t="s">
        <v>336</v>
      </c>
      <c r="K72">
        <v>5.2084514300123003E-3</v>
      </c>
      <c r="L72" t="s">
        <v>251</v>
      </c>
      <c r="N72" t="s">
        <v>419</v>
      </c>
      <c r="O72" t="s">
        <v>336</v>
      </c>
      <c r="P72">
        <v>2.7610342416565597E-3</v>
      </c>
      <c r="Q72" t="s">
        <v>251</v>
      </c>
      <c r="S72" t="s">
        <v>420</v>
      </c>
      <c r="T72" t="s">
        <v>336</v>
      </c>
      <c r="U72">
        <v>4.6884794009072516E-3</v>
      </c>
      <c r="V72" t="s">
        <v>251</v>
      </c>
      <c r="X72">
        <v>3.5388127853881279E-3</v>
      </c>
      <c r="Y72">
        <v>6.8849497385409693E-3</v>
      </c>
      <c r="Z72" t="s">
        <v>336</v>
      </c>
      <c r="AA72" t="s">
        <v>25</v>
      </c>
      <c r="AC72" t="s">
        <v>22</v>
      </c>
      <c r="AD72" t="s">
        <v>336</v>
      </c>
      <c r="AE72">
        <v>2.5171539564351779E-3</v>
      </c>
      <c r="AG72" t="s">
        <v>99</v>
      </c>
      <c r="AH72" t="s">
        <v>336</v>
      </c>
      <c r="AI72">
        <v>4.4173913511419194E-2</v>
      </c>
    </row>
    <row r="73" spans="9:35" x14ac:dyDescent="0.45">
      <c r="I73" t="s">
        <v>249</v>
      </c>
      <c r="J73" t="s">
        <v>337</v>
      </c>
      <c r="K73">
        <v>2.2047296132105187E-3</v>
      </c>
      <c r="L73" t="s">
        <v>251</v>
      </c>
      <c r="N73" t="s">
        <v>419</v>
      </c>
      <c r="O73" t="s">
        <v>337</v>
      </c>
      <c r="P73">
        <v>2.9540571089904824E-3</v>
      </c>
      <c r="Q73" t="s">
        <v>251</v>
      </c>
      <c r="S73" t="s">
        <v>420</v>
      </c>
      <c r="T73" t="s">
        <v>337</v>
      </c>
      <c r="U73">
        <v>4.6654493652520607E-3</v>
      </c>
      <c r="V73" t="s">
        <v>251</v>
      </c>
      <c r="X73">
        <v>3.5388127853881279E-3</v>
      </c>
      <c r="Y73">
        <v>5.3435430806586613E-3</v>
      </c>
      <c r="Z73" t="s">
        <v>337</v>
      </c>
      <c r="AA73" t="s">
        <v>25</v>
      </c>
      <c r="AC73" t="s">
        <v>22</v>
      </c>
      <c r="AD73" t="s">
        <v>337</v>
      </c>
      <c r="AE73">
        <v>2.5420591833047487E-3</v>
      </c>
      <c r="AG73" t="s">
        <v>99</v>
      </c>
      <c r="AH73" t="s">
        <v>337</v>
      </c>
      <c r="AI73">
        <v>4.5756950232309856E-2</v>
      </c>
    </row>
    <row r="74" spans="9:35" x14ac:dyDescent="0.45">
      <c r="I74" t="s">
        <v>249</v>
      </c>
      <c r="J74" t="s">
        <v>338</v>
      </c>
      <c r="K74">
        <v>0</v>
      </c>
      <c r="L74" t="s">
        <v>251</v>
      </c>
      <c r="N74" t="s">
        <v>419</v>
      </c>
      <c r="O74" t="s">
        <v>338</v>
      </c>
      <c r="P74">
        <v>1.8126116386870957E-2</v>
      </c>
      <c r="Q74" t="s">
        <v>251</v>
      </c>
      <c r="S74" t="s">
        <v>420</v>
      </c>
      <c r="T74" t="s">
        <v>338</v>
      </c>
      <c r="U74">
        <v>2.3326524318008243E-2</v>
      </c>
      <c r="V74" t="s">
        <v>251</v>
      </c>
      <c r="X74">
        <v>1.7694063926940638E-2</v>
      </c>
      <c r="Y74">
        <v>1.3358857701646654E-2</v>
      </c>
      <c r="Z74" t="s">
        <v>338</v>
      </c>
      <c r="AA74" t="s">
        <v>25</v>
      </c>
      <c r="AC74" t="s">
        <v>22</v>
      </c>
      <c r="AD74" t="s">
        <v>338</v>
      </c>
      <c r="AE74">
        <v>1.7040886577869188E-2</v>
      </c>
      <c r="AG74" t="s">
        <v>99</v>
      </c>
      <c r="AH74" t="s">
        <v>338</v>
      </c>
      <c r="AI74">
        <v>0.20820639587821077</v>
      </c>
    </row>
    <row r="75" spans="9:35" x14ac:dyDescent="0.45">
      <c r="I75" t="s">
        <v>249</v>
      </c>
      <c r="J75" t="s">
        <v>339</v>
      </c>
      <c r="K75">
        <v>0</v>
      </c>
      <c r="L75" t="s">
        <v>251</v>
      </c>
      <c r="N75" t="s">
        <v>419</v>
      </c>
      <c r="O75" t="s">
        <v>339</v>
      </c>
      <c r="P75">
        <v>2.329022222508044E-2</v>
      </c>
      <c r="Q75" t="s">
        <v>251</v>
      </c>
      <c r="S75" t="s">
        <v>420</v>
      </c>
      <c r="T75" t="s">
        <v>339</v>
      </c>
      <c r="U75">
        <v>2.4686265198238914E-2</v>
      </c>
      <c r="V75" t="s">
        <v>251</v>
      </c>
      <c r="X75">
        <v>2.0547945205479451E-2</v>
      </c>
      <c r="Y75">
        <v>4.3954951147353507E-3</v>
      </c>
      <c r="Z75" t="s">
        <v>339</v>
      </c>
      <c r="AA75" t="s">
        <v>25</v>
      </c>
      <c r="AC75" t="s">
        <v>22</v>
      </c>
      <c r="AD75" t="s">
        <v>339</v>
      </c>
      <c r="AE75">
        <v>2.20635094262423E-2</v>
      </c>
      <c r="AG75" t="s">
        <v>99</v>
      </c>
      <c r="AH75" t="s">
        <v>339</v>
      </c>
      <c r="AI75">
        <v>6.2509567223236084E-2</v>
      </c>
    </row>
    <row r="76" spans="9:35" x14ac:dyDescent="0.45">
      <c r="I76" t="s">
        <v>249</v>
      </c>
      <c r="J76" t="s">
        <v>340</v>
      </c>
      <c r="K76">
        <v>8.4965085546145338E-4</v>
      </c>
      <c r="L76" t="s">
        <v>251</v>
      </c>
      <c r="N76" t="s">
        <v>419</v>
      </c>
      <c r="O76" t="s">
        <v>340</v>
      </c>
      <c r="P76">
        <v>3.7341867783883508E-3</v>
      </c>
      <c r="Q76" t="s">
        <v>251</v>
      </c>
      <c r="S76" t="s">
        <v>420</v>
      </c>
      <c r="T76" t="s">
        <v>340</v>
      </c>
      <c r="U76">
        <v>4.0109180918799668E-3</v>
      </c>
      <c r="V76" t="s">
        <v>251</v>
      </c>
      <c r="X76">
        <v>3.4246575342465752E-3</v>
      </c>
      <c r="Y76">
        <v>5.0717251323869452E-3</v>
      </c>
      <c r="Z76" t="s">
        <v>340</v>
      </c>
      <c r="AA76" t="s">
        <v>25</v>
      </c>
      <c r="AC76" t="s">
        <v>22</v>
      </c>
      <c r="AD76" t="s">
        <v>340</v>
      </c>
      <c r="AE76">
        <v>3.688723304137644E-3</v>
      </c>
      <c r="AG76" t="s">
        <v>99</v>
      </c>
      <c r="AH76" t="s">
        <v>340</v>
      </c>
      <c r="AI76">
        <v>4.6965543844643687E-2</v>
      </c>
    </row>
    <row r="77" spans="9:35" x14ac:dyDescent="0.45">
      <c r="I77" t="s">
        <v>249</v>
      </c>
      <c r="J77" t="s">
        <v>341</v>
      </c>
      <c r="K77">
        <v>5.1823086694548996E-3</v>
      </c>
      <c r="L77" t="s">
        <v>251</v>
      </c>
      <c r="N77" t="s">
        <v>419</v>
      </c>
      <c r="O77" t="s">
        <v>341</v>
      </c>
      <c r="P77">
        <v>3.4574431563598775E-3</v>
      </c>
      <c r="Q77" t="s">
        <v>251</v>
      </c>
      <c r="S77" t="s">
        <v>420</v>
      </c>
      <c r="T77" t="s">
        <v>341</v>
      </c>
      <c r="U77">
        <v>3.9937662730240471E-3</v>
      </c>
      <c r="V77" t="s">
        <v>251</v>
      </c>
      <c r="X77">
        <v>3.4246575342465752E-3</v>
      </c>
      <c r="Y77">
        <v>5.7181214727892006E-3</v>
      </c>
      <c r="Z77" t="s">
        <v>341</v>
      </c>
      <c r="AA77" t="s">
        <v>25</v>
      </c>
      <c r="AC77" t="s">
        <v>22</v>
      </c>
      <c r="AD77" t="s">
        <v>341</v>
      </c>
      <c r="AE77">
        <v>3.7333990280127411E-3</v>
      </c>
      <c r="AG77" t="s">
        <v>99</v>
      </c>
      <c r="AH77" t="s">
        <v>341</v>
      </c>
      <c r="AI77">
        <v>4.706974602440317E-2</v>
      </c>
    </row>
    <row r="78" spans="9:35" x14ac:dyDescent="0.45">
      <c r="I78" t="s">
        <v>249</v>
      </c>
      <c r="J78" t="s">
        <v>342</v>
      </c>
      <c r="K78">
        <v>5.1828580337839499E-2</v>
      </c>
      <c r="L78" t="s">
        <v>251</v>
      </c>
      <c r="N78" t="s">
        <v>419</v>
      </c>
      <c r="O78" t="s">
        <v>342</v>
      </c>
      <c r="P78">
        <v>1.8684578790780063E-2</v>
      </c>
      <c r="Q78" t="s">
        <v>251</v>
      </c>
      <c r="S78" t="s">
        <v>420</v>
      </c>
      <c r="T78" t="s">
        <v>342</v>
      </c>
      <c r="U78">
        <v>2.314559558806557E-2</v>
      </c>
      <c r="V78" t="s">
        <v>251</v>
      </c>
      <c r="X78">
        <v>2.0547945205479451E-2</v>
      </c>
      <c r="Y78">
        <v>2.5895631852422749E-2</v>
      </c>
      <c r="Z78" t="s">
        <v>342</v>
      </c>
      <c r="AA78" t="s">
        <v>25</v>
      </c>
      <c r="AC78" t="s">
        <v>22</v>
      </c>
      <c r="AD78" t="s">
        <v>342</v>
      </c>
      <c r="AE78">
        <v>2.1863320485939582E-2</v>
      </c>
      <c r="AG78" t="s">
        <v>99</v>
      </c>
      <c r="AH78" t="s">
        <v>342</v>
      </c>
      <c r="AI78">
        <v>7.1588740096237391E-2</v>
      </c>
    </row>
    <row r="79" spans="9:35" x14ac:dyDescent="0.45">
      <c r="I79" t="s">
        <v>249</v>
      </c>
      <c r="J79" t="s">
        <v>343</v>
      </c>
      <c r="K79">
        <v>2.4336565811274802E-2</v>
      </c>
      <c r="L79" t="s">
        <v>251</v>
      </c>
      <c r="N79" t="s">
        <v>419</v>
      </c>
      <c r="O79" t="s">
        <v>343</v>
      </c>
      <c r="P79">
        <v>9.6451885135019188E-3</v>
      </c>
      <c r="Q79" t="s">
        <v>251</v>
      </c>
      <c r="S79" t="s">
        <v>420</v>
      </c>
      <c r="T79" t="s">
        <v>343</v>
      </c>
      <c r="U79">
        <v>1.183577085086864E-2</v>
      </c>
      <c r="V79" t="s">
        <v>251</v>
      </c>
      <c r="X79">
        <v>1.0273972602739725E-2</v>
      </c>
      <c r="Y79">
        <v>1.6348855132635558E-2</v>
      </c>
      <c r="Z79" t="s">
        <v>343</v>
      </c>
      <c r="AA79" t="s">
        <v>25</v>
      </c>
      <c r="AC79" t="s">
        <v>22</v>
      </c>
      <c r="AD79" t="s">
        <v>343</v>
      </c>
      <c r="AE79">
        <v>8.2152273122843272E-3</v>
      </c>
      <c r="AG79" t="s">
        <v>99</v>
      </c>
      <c r="AH79" t="s">
        <v>343</v>
      </c>
      <c r="AI79">
        <v>9.5268950975132771E-2</v>
      </c>
    </row>
    <row r="80" spans="9:35" x14ac:dyDescent="0.45">
      <c r="I80" t="s">
        <v>249</v>
      </c>
      <c r="J80" t="s">
        <v>344</v>
      </c>
      <c r="K80">
        <v>6.0926075915095999E-3</v>
      </c>
      <c r="L80" t="s">
        <v>251</v>
      </c>
      <c r="N80" t="s">
        <v>419</v>
      </c>
      <c r="O80" t="s">
        <v>344</v>
      </c>
      <c r="P80">
        <v>3.1249845854401711E-3</v>
      </c>
      <c r="Q80" t="s">
        <v>251</v>
      </c>
      <c r="S80" t="s">
        <v>420</v>
      </c>
      <c r="T80" t="s">
        <v>344</v>
      </c>
      <c r="U80">
        <v>4.0227461349593117E-3</v>
      </c>
      <c r="V80" t="s">
        <v>251</v>
      </c>
      <c r="X80">
        <v>3.4246575342465752E-3</v>
      </c>
      <c r="Y80">
        <v>6.662854585684809E-3</v>
      </c>
      <c r="Z80" t="s">
        <v>344</v>
      </c>
      <c r="AA80" t="s">
        <v>25</v>
      </c>
      <c r="AC80" t="s">
        <v>22</v>
      </c>
      <c r="AD80" t="s">
        <v>344</v>
      </c>
      <c r="AE80">
        <v>2.3685973609708193E-3</v>
      </c>
      <c r="AG80" t="s">
        <v>99</v>
      </c>
      <c r="AH80" t="s">
        <v>344</v>
      </c>
      <c r="AI80">
        <v>1.1095236819205656E-2</v>
      </c>
    </row>
    <row r="81" spans="9:35" x14ac:dyDescent="0.45">
      <c r="I81" t="s">
        <v>249</v>
      </c>
      <c r="J81" t="s">
        <v>345</v>
      </c>
      <c r="K81">
        <v>2.5215444166334132E-3</v>
      </c>
      <c r="L81" t="s">
        <v>251</v>
      </c>
      <c r="N81" t="s">
        <v>419</v>
      </c>
      <c r="O81" t="s">
        <v>345</v>
      </c>
      <c r="P81">
        <v>3.0927396577172706E-3</v>
      </c>
      <c r="Q81" t="s">
        <v>251</v>
      </c>
      <c r="S81" t="s">
        <v>420</v>
      </c>
      <c r="T81" t="s">
        <v>345</v>
      </c>
      <c r="U81">
        <v>4.0028744817976938E-3</v>
      </c>
      <c r="V81" t="s">
        <v>251</v>
      </c>
      <c r="X81">
        <v>3.4246575342465752E-3</v>
      </c>
      <c r="Y81">
        <v>5.1711707232180593E-3</v>
      </c>
      <c r="Z81" t="s">
        <v>345</v>
      </c>
      <c r="AA81" t="s">
        <v>25</v>
      </c>
      <c r="AC81" t="s">
        <v>22</v>
      </c>
      <c r="AD81" t="s">
        <v>345</v>
      </c>
      <c r="AE81">
        <v>2.3947832919248091E-3</v>
      </c>
      <c r="AG81" t="s">
        <v>99</v>
      </c>
      <c r="AH81" t="s">
        <v>345</v>
      </c>
      <c r="AI81">
        <v>1.3401285884287351E-2</v>
      </c>
    </row>
    <row r="82" spans="9:35" x14ac:dyDescent="0.45">
      <c r="I82" t="s">
        <v>249</v>
      </c>
      <c r="J82" t="s">
        <v>346</v>
      </c>
      <c r="K82">
        <v>0</v>
      </c>
      <c r="L82" t="s">
        <v>251</v>
      </c>
      <c r="N82" t="s">
        <v>419</v>
      </c>
      <c r="O82" t="s">
        <v>346</v>
      </c>
      <c r="P82">
        <v>1.8290350526645408E-2</v>
      </c>
      <c r="Q82" t="s">
        <v>251</v>
      </c>
      <c r="S82" t="s">
        <v>420</v>
      </c>
      <c r="T82" t="s">
        <v>346</v>
      </c>
      <c r="U82">
        <v>1.9714015292777096E-2</v>
      </c>
      <c r="V82" t="s">
        <v>251</v>
      </c>
      <c r="X82">
        <v>1.7123287671232876E-2</v>
      </c>
      <c r="Y82">
        <v>1.2927926808045149E-2</v>
      </c>
      <c r="Z82" t="s">
        <v>346</v>
      </c>
      <c r="AA82" t="s">
        <v>25</v>
      </c>
      <c r="AC82" t="s">
        <v>22</v>
      </c>
      <c r="AD82" t="s">
        <v>346</v>
      </c>
      <c r="AE82">
        <v>1.5524302192741167E-2</v>
      </c>
      <c r="AG82" t="s">
        <v>99</v>
      </c>
      <c r="AH82" t="s">
        <v>346</v>
      </c>
      <c r="AI82">
        <v>0.18602879837510433</v>
      </c>
    </row>
    <row r="83" spans="9:35" x14ac:dyDescent="0.45">
      <c r="I83" t="s">
        <v>249</v>
      </c>
      <c r="J83" t="s">
        <v>395</v>
      </c>
      <c r="K83">
        <v>0</v>
      </c>
      <c r="L83" t="s">
        <v>251</v>
      </c>
      <c r="N83" t="s">
        <v>419</v>
      </c>
      <c r="O83" t="s">
        <v>395</v>
      </c>
      <c r="P83">
        <v>3.1604979644208234E-2</v>
      </c>
      <c r="Q83" t="s">
        <v>251</v>
      </c>
      <c r="S83" t="s">
        <v>420</v>
      </c>
      <c r="T83" t="s">
        <v>395</v>
      </c>
      <c r="U83">
        <v>2.6334333439879402E-2</v>
      </c>
      <c r="V83" t="s">
        <v>251</v>
      </c>
      <c r="X83">
        <v>2.1232876712328767E-2</v>
      </c>
      <c r="Y83">
        <v>4.5420116185598634E-3</v>
      </c>
      <c r="Z83" t="s">
        <v>395</v>
      </c>
      <c r="AA83" t="s">
        <v>25</v>
      </c>
      <c r="AC83" t="s">
        <v>22</v>
      </c>
      <c r="AD83" t="s">
        <v>395</v>
      </c>
      <c r="AE83">
        <v>2.3158382109251394E-2</v>
      </c>
      <c r="AG83" t="s">
        <v>99</v>
      </c>
      <c r="AH83" t="s">
        <v>395</v>
      </c>
      <c r="AI83">
        <v>4.9670348256209529E-2</v>
      </c>
    </row>
    <row r="84" spans="9:35" x14ac:dyDescent="0.45">
      <c r="I84" t="s">
        <v>249</v>
      </c>
      <c r="J84" t="s">
        <v>396</v>
      </c>
      <c r="K84">
        <v>2.7469659482650798E-3</v>
      </c>
      <c r="L84" t="s">
        <v>251</v>
      </c>
      <c r="N84" t="s">
        <v>419</v>
      </c>
      <c r="O84" t="s">
        <v>396</v>
      </c>
      <c r="P84">
        <v>4.8897833570646634E-3</v>
      </c>
      <c r="Q84" t="s">
        <v>251</v>
      </c>
      <c r="S84" t="s">
        <v>420</v>
      </c>
      <c r="T84" t="s">
        <v>396</v>
      </c>
      <c r="U84">
        <v>4.2693770340923535E-3</v>
      </c>
      <c r="V84" t="s">
        <v>251</v>
      </c>
      <c r="X84">
        <v>3.5388127853881279E-3</v>
      </c>
      <c r="Y84">
        <v>5.240782636799844E-3</v>
      </c>
      <c r="Z84" t="s">
        <v>396</v>
      </c>
      <c r="AA84" t="s">
        <v>25</v>
      </c>
      <c r="AC84" t="s">
        <v>22</v>
      </c>
      <c r="AD84" t="s">
        <v>396</v>
      </c>
      <c r="AE84">
        <v>3.8998094398271796E-3</v>
      </c>
      <c r="AG84" t="s">
        <v>99</v>
      </c>
      <c r="AH84" t="s">
        <v>396</v>
      </c>
      <c r="AI84">
        <v>4.3802258938045124E-2</v>
      </c>
    </row>
    <row r="85" spans="9:35" x14ac:dyDescent="0.45">
      <c r="I85" t="s">
        <v>249</v>
      </c>
      <c r="J85" t="s">
        <v>397</v>
      </c>
      <c r="K85">
        <v>6.9655571424994001E-3</v>
      </c>
      <c r="L85" t="s">
        <v>251</v>
      </c>
      <c r="N85" t="s">
        <v>419</v>
      </c>
      <c r="O85" t="s">
        <v>397</v>
      </c>
      <c r="P85">
        <v>4.3399142751513794E-3</v>
      </c>
      <c r="Q85" t="s">
        <v>251</v>
      </c>
      <c r="S85" t="s">
        <v>420</v>
      </c>
      <c r="T85" t="s">
        <v>397</v>
      </c>
      <c r="U85">
        <v>4.3285178914231033E-3</v>
      </c>
      <c r="V85" t="s">
        <v>251</v>
      </c>
      <c r="X85">
        <v>3.5388127853881279E-3</v>
      </c>
      <c r="Y85">
        <v>5.9087255218821738E-3</v>
      </c>
      <c r="Z85" t="s">
        <v>397</v>
      </c>
      <c r="AA85" t="s">
        <v>25</v>
      </c>
      <c r="AC85" t="s">
        <v>22</v>
      </c>
      <c r="AD85" t="s">
        <v>397</v>
      </c>
      <c r="AE85">
        <v>3.9164347658718996E-3</v>
      </c>
      <c r="AG85" t="s">
        <v>99</v>
      </c>
      <c r="AH85" t="s">
        <v>397</v>
      </c>
      <c r="AI85">
        <v>3.8104371110900148E-2</v>
      </c>
    </row>
    <row r="86" spans="9:35" x14ac:dyDescent="0.45">
      <c r="I86" t="s">
        <v>249</v>
      </c>
      <c r="J86" t="s">
        <v>398</v>
      </c>
      <c r="K86">
        <v>5.9164672408411202E-2</v>
      </c>
      <c r="L86" t="s">
        <v>251</v>
      </c>
      <c r="N86" t="s">
        <v>419</v>
      </c>
      <c r="O86" t="s">
        <v>398</v>
      </c>
      <c r="P86">
        <v>2.1258464383924217E-2</v>
      </c>
      <c r="Q86" t="s">
        <v>251</v>
      </c>
      <c r="S86" t="s">
        <v>420</v>
      </c>
      <c r="T86" t="s">
        <v>398</v>
      </c>
      <c r="U86">
        <v>2.6684394480533041E-2</v>
      </c>
      <c r="V86" t="s">
        <v>251</v>
      </c>
      <c r="X86">
        <v>2.1232876712328767E-2</v>
      </c>
      <c r="Y86">
        <v>2.6758819580836844E-2</v>
      </c>
      <c r="Z86" t="s">
        <v>398</v>
      </c>
      <c r="AA86" t="s">
        <v>25</v>
      </c>
      <c r="AC86" t="s">
        <v>22</v>
      </c>
      <c r="AD86" t="s">
        <v>398</v>
      </c>
      <c r="AE86">
        <v>2.2062206634725651E-2</v>
      </c>
      <c r="AG86" t="s">
        <v>99</v>
      </c>
      <c r="AH86" t="s">
        <v>398</v>
      </c>
      <c r="AI86">
        <v>8.9535273386137204E-2</v>
      </c>
    </row>
    <row r="87" spans="9:35" x14ac:dyDescent="0.45">
      <c r="I87" t="s">
        <v>249</v>
      </c>
      <c r="J87" t="s">
        <v>399</v>
      </c>
      <c r="K87">
        <v>2.7107973361631101E-2</v>
      </c>
      <c r="L87" t="s">
        <v>251</v>
      </c>
      <c r="N87" t="s">
        <v>419</v>
      </c>
      <c r="O87" t="s">
        <v>399</v>
      </c>
      <c r="P87">
        <v>9.9256230520117783E-3</v>
      </c>
      <c r="Q87" t="s">
        <v>251</v>
      </c>
      <c r="S87" t="s">
        <v>420</v>
      </c>
      <c r="T87" t="s">
        <v>399</v>
      </c>
      <c r="U87">
        <v>1.3824183433971035E-2</v>
      </c>
      <c r="V87" t="s">
        <v>251</v>
      </c>
      <c r="X87">
        <v>1.0616438356164383E-2</v>
      </c>
      <c r="Y87">
        <v>1.6893816970390073E-2</v>
      </c>
      <c r="Z87" t="s">
        <v>399</v>
      </c>
      <c r="AA87" t="s">
        <v>25</v>
      </c>
      <c r="AC87" t="s">
        <v>22</v>
      </c>
      <c r="AD87" t="s">
        <v>399</v>
      </c>
      <c r="AE87">
        <v>7.8424718123703205E-3</v>
      </c>
      <c r="AG87" t="s">
        <v>99</v>
      </c>
      <c r="AH87" t="s">
        <v>399</v>
      </c>
      <c r="AI87">
        <v>0.14130909263031666</v>
      </c>
    </row>
    <row r="88" spans="9:35" x14ac:dyDescent="0.45">
      <c r="I88" t="s">
        <v>249</v>
      </c>
      <c r="J88" t="s">
        <v>400</v>
      </c>
      <c r="K88">
        <v>6.7472037228036002E-3</v>
      </c>
      <c r="L88" t="s">
        <v>251</v>
      </c>
      <c r="N88" t="s">
        <v>419</v>
      </c>
      <c r="O88" t="s">
        <v>400</v>
      </c>
      <c r="P88">
        <v>3.3854228657409341E-3</v>
      </c>
      <c r="Q88" t="s">
        <v>251</v>
      </c>
      <c r="S88" t="s">
        <v>420</v>
      </c>
      <c r="T88" t="s">
        <v>400</v>
      </c>
      <c r="U88">
        <v>4.5468101976986492E-3</v>
      </c>
      <c r="V88" t="s">
        <v>251</v>
      </c>
      <c r="X88">
        <v>3.5388127853881279E-3</v>
      </c>
      <c r="Y88">
        <v>6.8849497385409693E-3</v>
      </c>
      <c r="Z88" t="s">
        <v>400</v>
      </c>
      <c r="AA88" t="s">
        <v>25</v>
      </c>
      <c r="AC88" t="s">
        <v>22</v>
      </c>
      <c r="AD88" t="s">
        <v>400</v>
      </c>
      <c r="AE88">
        <v>2.4504336491081081E-3</v>
      </c>
      <c r="AG88" t="s">
        <v>99</v>
      </c>
      <c r="AH88" t="s">
        <v>400</v>
      </c>
      <c r="AI88">
        <v>1.275045288866572E-2</v>
      </c>
    </row>
    <row r="89" spans="9:35" x14ac:dyDescent="0.45">
      <c r="I89" t="s">
        <v>249</v>
      </c>
      <c r="J89" t="s">
        <v>401</v>
      </c>
      <c r="K89">
        <v>3.33787801656058E-3</v>
      </c>
      <c r="L89" t="s">
        <v>251</v>
      </c>
      <c r="N89" t="s">
        <v>419</v>
      </c>
      <c r="O89" t="s">
        <v>401</v>
      </c>
      <c r="P89">
        <v>3.3555196844821181E-3</v>
      </c>
      <c r="Q89" t="s">
        <v>251</v>
      </c>
      <c r="S89" t="s">
        <v>420</v>
      </c>
      <c r="T89" t="s">
        <v>401</v>
      </c>
      <c r="U89">
        <v>4.4926407508333321E-3</v>
      </c>
      <c r="V89" t="s">
        <v>251</v>
      </c>
      <c r="X89">
        <v>3.5388127853881279E-3</v>
      </c>
      <c r="Y89">
        <v>5.3435430806586613E-3</v>
      </c>
      <c r="Z89" t="s">
        <v>401</v>
      </c>
      <c r="AA89" t="s">
        <v>25</v>
      </c>
      <c r="AC89" t="s">
        <v>22</v>
      </c>
      <c r="AD89" t="s">
        <v>401</v>
      </c>
      <c r="AE89">
        <v>2.4725451540446898E-3</v>
      </c>
      <c r="AG89" t="s">
        <v>99</v>
      </c>
      <c r="AH89" t="s">
        <v>401</v>
      </c>
      <c r="AI89">
        <v>1.2781222176377227E-2</v>
      </c>
    </row>
    <row r="90" spans="9:35" x14ac:dyDescent="0.45">
      <c r="I90" t="s">
        <v>249</v>
      </c>
      <c r="J90" t="s">
        <v>402</v>
      </c>
      <c r="K90">
        <v>0</v>
      </c>
      <c r="L90" t="s">
        <v>251</v>
      </c>
      <c r="N90" t="s">
        <v>419</v>
      </c>
      <c r="O90" t="s">
        <v>402</v>
      </c>
      <c r="P90">
        <v>2.2334848560211083E-2</v>
      </c>
      <c r="Q90" t="s">
        <v>251</v>
      </c>
      <c r="S90" t="s">
        <v>420</v>
      </c>
      <c r="T90" t="s">
        <v>402</v>
      </c>
      <c r="U90">
        <v>2.2138222080821418E-2</v>
      </c>
      <c r="V90" t="s">
        <v>251</v>
      </c>
      <c r="X90">
        <v>1.7694063926940638E-2</v>
      </c>
      <c r="Y90">
        <v>1.3358857701646654E-2</v>
      </c>
      <c r="Z90" t="s">
        <v>402</v>
      </c>
      <c r="AA90" t="s">
        <v>25</v>
      </c>
      <c r="AC90" t="s">
        <v>22</v>
      </c>
      <c r="AD90" t="s">
        <v>402</v>
      </c>
      <c r="AE90">
        <v>1.7089798589052418E-2</v>
      </c>
      <c r="AG90" t="s">
        <v>99</v>
      </c>
      <c r="AH90" t="s">
        <v>402</v>
      </c>
      <c r="AI90">
        <v>0.1337282277278935</v>
      </c>
    </row>
    <row r="91" spans="9:35" x14ac:dyDescent="0.45">
      <c r="I91" t="s">
        <v>249</v>
      </c>
      <c r="J91" t="s">
        <v>403</v>
      </c>
      <c r="K91">
        <v>3.8090221314169098E-6</v>
      </c>
      <c r="L91" t="s">
        <v>251</v>
      </c>
      <c r="N91" t="s">
        <v>419</v>
      </c>
      <c r="O91" t="s">
        <v>403</v>
      </c>
      <c r="P91">
        <v>3.009277985070876E-2</v>
      </c>
      <c r="Q91" t="s">
        <v>251</v>
      </c>
      <c r="S91" t="s">
        <v>420</v>
      </c>
      <c r="T91" t="s">
        <v>403</v>
      </c>
      <c r="U91">
        <v>1.8828910873338951E-2</v>
      </c>
      <c r="V91" t="s">
        <v>251</v>
      </c>
      <c r="X91">
        <v>2.0547945205479451E-2</v>
      </c>
      <c r="Y91">
        <v>4.3954951147353507E-3</v>
      </c>
      <c r="Z91" t="s">
        <v>403</v>
      </c>
      <c r="AA91" t="s">
        <v>25</v>
      </c>
      <c r="AC91" t="s">
        <v>22</v>
      </c>
      <c r="AD91" t="s">
        <v>403</v>
      </c>
      <c r="AE91">
        <v>2.2260433007780876E-2</v>
      </c>
      <c r="AG91" t="s">
        <v>99</v>
      </c>
      <c r="AH91" t="s">
        <v>403</v>
      </c>
      <c r="AI91">
        <v>6.8438377491133906E-2</v>
      </c>
    </row>
    <row r="92" spans="9:35" x14ac:dyDescent="0.45">
      <c r="I92" t="s">
        <v>249</v>
      </c>
      <c r="J92" t="s">
        <v>404</v>
      </c>
      <c r="K92">
        <v>4.2174220768100264E-3</v>
      </c>
      <c r="L92" t="s">
        <v>251</v>
      </c>
      <c r="N92" t="s">
        <v>419</v>
      </c>
      <c r="O92" t="s">
        <v>404</v>
      </c>
      <c r="P92">
        <v>4.2806558018010097E-3</v>
      </c>
      <c r="Q92" t="s">
        <v>251</v>
      </c>
      <c r="S92" t="s">
        <v>420</v>
      </c>
      <c r="T92" t="s">
        <v>404</v>
      </c>
      <c r="U92">
        <v>3.0236851410871714E-3</v>
      </c>
      <c r="V92" t="s">
        <v>251</v>
      </c>
      <c r="X92">
        <v>3.4246575342465752E-3</v>
      </c>
      <c r="Y92">
        <v>5.0717251323869452E-3</v>
      </c>
      <c r="Z92" t="s">
        <v>404</v>
      </c>
      <c r="AA92" t="s">
        <v>25</v>
      </c>
      <c r="AC92" t="s">
        <v>22</v>
      </c>
      <c r="AD92" t="s">
        <v>404</v>
      </c>
      <c r="AE92">
        <v>3.7478698159495389E-3</v>
      </c>
      <c r="AG92" t="s">
        <v>99</v>
      </c>
      <c r="AH92" t="s">
        <v>404</v>
      </c>
      <c r="AI92">
        <v>5.810617310985644E-2</v>
      </c>
    </row>
    <row r="93" spans="9:35" x14ac:dyDescent="0.45">
      <c r="I93" t="s">
        <v>249</v>
      </c>
      <c r="J93" t="s">
        <v>405</v>
      </c>
      <c r="K93">
        <v>7.2308135574651999E-3</v>
      </c>
      <c r="L93" t="s">
        <v>251</v>
      </c>
      <c r="N93" t="s">
        <v>419</v>
      </c>
      <c r="O93" t="s">
        <v>405</v>
      </c>
      <c r="P93">
        <v>3.8538588286688457E-3</v>
      </c>
      <c r="Q93" t="s">
        <v>251</v>
      </c>
      <c r="S93" t="s">
        <v>420</v>
      </c>
      <c r="T93" t="s">
        <v>405</v>
      </c>
      <c r="U93">
        <v>2.9603012804413288E-3</v>
      </c>
      <c r="V93" t="s">
        <v>251</v>
      </c>
      <c r="X93">
        <v>3.4246575342465752E-3</v>
      </c>
      <c r="Y93">
        <v>5.7181214727892006E-3</v>
      </c>
      <c r="Z93" t="s">
        <v>405</v>
      </c>
      <c r="AA93" t="s">
        <v>25</v>
      </c>
      <c r="AC93" t="s">
        <v>22</v>
      </c>
      <c r="AD93" t="s">
        <v>405</v>
      </c>
      <c r="AE93">
        <v>3.7621481773000192E-3</v>
      </c>
      <c r="AG93" t="s">
        <v>99</v>
      </c>
      <c r="AH93" t="s">
        <v>405</v>
      </c>
      <c r="AI93">
        <v>5.5035171020012763E-2</v>
      </c>
    </row>
    <row r="94" spans="9:35" x14ac:dyDescent="0.45">
      <c r="I94" t="s">
        <v>249</v>
      </c>
      <c r="J94" t="s">
        <v>406</v>
      </c>
      <c r="K94">
        <v>6.0288203719271301E-2</v>
      </c>
      <c r="L94" t="s">
        <v>251</v>
      </c>
      <c r="N94" t="s">
        <v>419</v>
      </c>
      <c r="O94" t="s">
        <v>406</v>
      </c>
      <c r="P94">
        <v>1.7014136309921917E-2</v>
      </c>
      <c r="Q94" t="s">
        <v>251</v>
      </c>
      <c r="S94" t="s">
        <v>420</v>
      </c>
      <c r="T94" t="s">
        <v>406</v>
      </c>
      <c r="U94">
        <v>1.8352404363144538E-2</v>
      </c>
      <c r="V94" t="s">
        <v>251</v>
      </c>
      <c r="X94">
        <v>2.0547945205479451E-2</v>
      </c>
      <c r="Y94">
        <v>2.5895631852422749E-2</v>
      </c>
      <c r="Z94" t="s">
        <v>406</v>
      </c>
      <c r="AA94" t="s">
        <v>25</v>
      </c>
      <c r="AC94" t="s">
        <v>22</v>
      </c>
      <c r="AD94" t="s">
        <v>406</v>
      </c>
      <c r="AE94">
        <v>2.1069580739219031E-2</v>
      </c>
      <c r="AG94" t="s">
        <v>99</v>
      </c>
      <c r="AH94" t="s">
        <v>406</v>
      </c>
      <c r="AI94">
        <v>0.10874677642572528</v>
      </c>
    </row>
    <row r="95" spans="9:35" x14ac:dyDescent="0.45">
      <c r="I95" t="s">
        <v>249</v>
      </c>
      <c r="J95" t="s">
        <v>407</v>
      </c>
      <c r="K95">
        <v>2.7882090840113501E-2</v>
      </c>
      <c r="L95" t="s">
        <v>251</v>
      </c>
      <c r="N95" t="s">
        <v>419</v>
      </c>
      <c r="O95" t="s">
        <v>407</v>
      </c>
      <c r="P95">
        <v>7.5583101296307093E-3</v>
      </c>
      <c r="Q95" t="s">
        <v>251</v>
      </c>
      <c r="S95" t="s">
        <v>420</v>
      </c>
      <c r="T95" t="s">
        <v>407</v>
      </c>
      <c r="U95">
        <v>9.7236148432749466E-3</v>
      </c>
      <c r="V95" t="s">
        <v>251</v>
      </c>
      <c r="X95">
        <v>1.0273972602739725E-2</v>
      </c>
      <c r="Y95">
        <v>1.6348855132635558E-2</v>
      </c>
      <c r="Z95" t="s">
        <v>407</v>
      </c>
      <c r="AA95" t="s">
        <v>25</v>
      </c>
      <c r="AC95" t="s">
        <v>22</v>
      </c>
      <c r="AD95" t="s">
        <v>407</v>
      </c>
      <c r="AE95">
        <v>7.4430039204518537E-3</v>
      </c>
      <c r="AG95" t="s">
        <v>99</v>
      </c>
      <c r="AH95" t="s">
        <v>407</v>
      </c>
      <c r="AI95">
        <v>5.4528305774245167E-2</v>
      </c>
    </row>
    <row r="96" spans="9:35" x14ac:dyDescent="0.45">
      <c r="I96" t="s">
        <v>249</v>
      </c>
      <c r="J96" t="s">
        <v>408</v>
      </c>
      <c r="K96">
        <v>7.0415792442286998E-3</v>
      </c>
      <c r="L96" t="s">
        <v>251</v>
      </c>
      <c r="N96" t="s">
        <v>419</v>
      </c>
      <c r="O96" t="s">
        <v>408</v>
      </c>
      <c r="P96">
        <v>2.9598672303039887E-3</v>
      </c>
      <c r="Q96" t="s">
        <v>251</v>
      </c>
      <c r="S96" t="s">
        <v>420</v>
      </c>
      <c r="T96" t="s">
        <v>408</v>
      </c>
      <c r="U96">
        <v>3.2563955971113821E-3</v>
      </c>
      <c r="V96" t="s">
        <v>251</v>
      </c>
      <c r="X96">
        <v>3.4246575342465752E-3</v>
      </c>
      <c r="Y96">
        <v>6.662854585684809E-3</v>
      </c>
      <c r="Z96" t="s">
        <v>408</v>
      </c>
      <c r="AA96" t="s">
        <v>25</v>
      </c>
      <c r="AC96" t="s">
        <v>22</v>
      </c>
      <c r="AD96" t="s">
        <v>408</v>
      </c>
      <c r="AE96">
        <v>2.3591696150160315E-3</v>
      </c>
      <c r="AG96" t="s">
        <v>99</v>
      </c>
      <c r="AH96" t="s">
        <v>408</v>
      </c>
      <c r="AI96">
        <v>2.5864249786949456E-2</v>
      </c>
    </row>
    <row r="97" spans="9:35" x14ac:dyDescent="0.45">
      <c r="I97" t="s">
        <v>249</v>
      </c>
      <c r="J97" t="s">
        <v>409</v>
      </c>
      <c r="K97">
        <v>4.1807614240014232E-3</v>
      </c>
      <c r="L97" t="s">
        <v>251</v>
      </c>
      <c r="N97" t="s">
        <v>419</v>
      </c>
      <c r="O97" t="s">
        <v>409</v>
      </c>
      <c r="P97">
        <v>3.3455294891401029E-3</v>
      </c>
      <c r="Q97" t="s">
        <v>251</v>
      </c>
      <c r="S97" t="s">
        <v>420</v>
      </c>
      <c r="T97" t="s">
        <v>409</v>
      </c>
      <c r="U97">
        <v>3.238425197695286E-3</v>
      </c>
      <c r="V97" t="s">
        <v>251</v>
      </c>
      <c r="X97">
        <v>3.4246575342465752E-3</v>
      </c>
      <c r="Y97">
        <v>5.1711707232180593E-3</v>
      </c>
      <c r="Z97" t="s">
        <v>409</v>
      </c>
      <c r="AA97" t="s">
        <v>25</v>
      </c>
      <c r="AC97" t="s">
        <v>22</v>
      </c>
      <c r="AD97" t="s">
        <v>409</v>
      </c>
      <c r="AE97">
        <v>2.3797859723935933E-3</v>
      </c>
      <c r="AG97" t="s">
        <v>99</v>
      </c>
      <c r="AH97" t="s">
        <v>409</v>
      </c>
      <c r="AI97">
        <v>2.7494936993699426E-2</v>
      </c>
    </row>
    <row r="98" spans="9:35" x14ac:dyDescent="0.45">
      <c r="I98" t="s">
        <v>249</v>
      </c>
      <c r="J98" t="s">
        <v>410</v>
      </c>
      <c r="K98">
        <v>5.9271588075933296E-5</v>
      </c>
      <c r="L98" t="s">
        <v>251</v>
      </c>
      <c r="N98" t="s">
        <v>419</v>
      </c>
      <c r="O98" t="s">
        <v>410</v>
      </c>
      <c r="P98">
        <v>2.3746828472602736E-2</v>
      </c>
      <c r="Q98" t="s">
        <v>251</v>
      </c>
      <c r="S98" t="s">
        <v>420</v>
      </c>
      <c r="T98" t="s">
        <v>410</v>
      </c>
      <c r="U98">
        <v>1.5881674826197154E-2</v>
      </c>
      <c r="V98" t="s">
        <v>251</v>
      </c>
      <c r="X98">
        <v>1.7123287671232876E-2</v>
      </c>
      <c r="Y98">
        <v>1.2927926808045149E-2</v>
      </c>
      <c r="Z98" t="s">
        <v>410</v>
      </c>
      <c r="AA98" t="s">
        <v>25</v>
      </c>
      <c r="AC98" t="s">
        <v>22</v>
      </c>
      <c r="AD98" t="s">
        <v>410</v>
      </c>
      <c r="AE98">
        <v>1.6329373744555842E-2</v>
      </c>
      <c r="AG98" t="s">
        <v>99</v>
      </c>
      <c r="AH98" t="s">
        <v>410</v>
      </c>
      <c r="AI98">
        <v>0.14805486992572869</v>
      </c>
    </row>
    <row r="99" spans="9:35" x14ac:dyDescent="0.45">
      <c r="I99" t="s">
        <v>249</v>
      </c>
      <c r="J99" t="s">
        <v>411</v>
      </c>
      <c r="K99">
        <v>7.8154013398572715E-6</v>
      </c>
      <c r="L99" t="s">
        <v>251</v>
      </c>
      <c r="N99" t="s">
        <v>419</v>
      </c>
      <c r="O99" t="s">
        <v>411</v>
      </c>
      <c r="P99">
        <v>2.9783315040227628E-2</v>
      </c>
      <c r="Q99" t="s">
        <v>251</v>
      </c>
      <c r="S99" t="s">
        <v>420</v>
      </c>
      <c r="T99" t="s">
        <v>411</v>
      </c>
      <c r="U99">
        <v>2.0587673359039552E-2</v>
      </c>
      <c r="V99" t="s">
        <v>251</v>
      </c>
      <c r="X99">
        <v>2.1232876712328767E-2</v>
      </c>
      <c r="Y99">
        <v>4.5420116185598634E-3</v>
      </c>
      <c r="Z99" t="s">
        <v>411</v>
      </c>
      <c r="AA99" t="s">
        <v>25</v>
      </c>
      <c r="AC99" t="s">
        <v>22</v>
      </c>
      <c r="AD99" t="s">
        <v>411</v>
      </c>
      <c r="AE99">
        <v>2.3543483033091887E-2</v>
      </c>
      <c r="AG99" t="s">
        <v>99</v>
      </c>
      <c r="AH99" t="s">
        <v>411</v>
      </c>
      <c r="AI99">
        <v>0.11023422030113306</v>
      </c>
    </row>
    <row r="100" spans="9:35" x14ac:dyDescent="0.45">
      <c r="I100" t="s">
        <v>249</v>
      </c>
      <c r="J100" t="s">
        <v>412</v>
      </c>
      <c r="K100">
        <v>3.3569483176486771E-3</v>
      </c>
      <c r="L100" t="s">
        <v>251</v>
      </c>
      <c r="N100" t="s">
        <v>419</v>
      </c>
      <c r="O100" t="s">
        <v>412</v>
      </c>
      <c r="P100">
        <v>4.3790628797977845E-3</v>
      </c>
      <c r="Q100" t="s">
        <v>251</v>
      </c>
      <c r="S100" t="s">
        <v>420</v>
      </c>
      <c r="T100" t="s">
        <v>412</v>
      </c>
      <c r="U100">
        <v>3.4986673592877107E-3</v>
      </c>
      <c r="V100" t="s">
        <v>251</v>
      </c>
      <c r="X100">
        <v>3.5388127853881279E-3</v>
      </c>
      <c r="Y100">
        <v>5.240782636799844E-3</v>
      </c>
      <c r="Z100" t="s">
        <v>412</v>
      </c>
      <c r="AA100" t="s">
        <v>25</v>
      </c>
      <c r="AC100" t="s">
        <v>22</v>
      </c>
      <c r="AD100" t="s">
        <v>412</v>
      </c>
      <c r="AE100">
        <v>3.9673982100870749E-3</v>
      </c>
      <c r="AG100" t="s">
        <v>99</v>
      </c>
      <c r="AH100" t="s">
        <v>412</v>
      </c>
      <c r="AI100">
        <v>0.10400483630387303</v>
      </c>
    </row>
    <row r="101" spans="9:35" x14ac:dyDescent="0.45">
      <c r="I101" t="s">
        <v>249</v>
      </c>
      <c r="J101" t="s">
        <v>413</v>
      </c>
      <c r="K101">
        <v>6.4302276041504E-3</v>
      </c>
      <c r="L101" t="s">
        <v>251</v>
      </c>
      <c r="N101" t="s">
        <v>419</v>
      </c>
      <c r="O101" t="s">
        <v>413</v>
      </c>
      <c r="P101">
        <v>3.7729951204138229E-3</v>
      </c>
      <c r="Q101" t="s">
        <v>251</v>
      </c>
      <c r="S101" t="s">
        <v>420</v>
      </c>
      <c r="T101" t="s">
        <v>413</v>
      </c>
      <c r="U101">
        <v>3.4928716870599335E-3</v>
      </c>
      <c r="V101" t="s">
        <v>251</v>
      </c>
      <c r="X101">
        <v>3.5388127853881279E-3</v>
      </c>
      <c r="Y101">
        <v>5.9087255218821738E-3</v>
      </c>
      <c r="Z101" t="s">
        <v>413</v>
      </c>
      <c r="AA101" t="s">
        <v>25</v>
      </c>
      <c r="AC101" t="s">
        <v>22</v>
      </c>
      <c r="AD101" t="s">
        <v>413</v>
      </c>
      <c r="AE101">
        <v>3.9633952652278663E-3</v>
      </c>
      <c r="AG101" t="s">
        <v>99</v>
      </c>
      <c r="AH101" t="s">
        <v>413</v>
      </c>
      <c r="AI101">
        <v>7.4066305318186254E-2</v>
      </c>
    </row>
    <row r="102" spans="9:35" x14ac:dyDescent="0.45">
      <c r="I102" t="s">
        <v>249</v>
      </c>
      <c r="J102" t="s">
        <v>414</v>
      </c>
      <c r="K102">
        <v>5.8339775957822602E-2</v>
      </c>
      <c r="L102" t="s">
        <v>251</v>
      </c>
      <c r="N102" t="s">
        <v>419</v>
      </c>
      <c r="O102" t="s">
        <v>414</v>
      </c>
      <c r="P102">
        <v>1.7468390542046991E-2</v>
      </c>
      <c r="Q102" t="s">
        <v>251</v>
      </c>
      <c r="S102" t="s">
        <v>420</v>
      </c>
      <c r="T102" t="s">
        <v>414</v>
      </c>
      <c r="U102">
        <v>2.1873171101000038E-2</v>
      </c>
      <c r="V102" t="s">
        <v>251</v>
      </c>
      <c r="X102">
        <v>2.1232876712328767E-2</v>
      </c>
      <c r="Y102">
        <v>2.6758819580836844E-2</v>
      </c>
      <c r="Z102" t="s">
        <v>414</v>
      </c>
      <c r="AA102" t="s">
        <v>25</v>
      </c>
      <c r="AC102" t="s">
        <v>22</v>
      </c>
      <c r="AD102" t="s">
        <v>414</v>
      </c>
      <c r="AE102">
        <v>2.2049068155943537E-2</v>
      </c>
      <c r="AG102" t="s">
        <v>99</v>
      </c>
      <c r="AH102" t="s">
        <v>414</v>
      </c>
      <c r="AI102">
        <v>0.12911283864389511</v>
      </c>
    </row>
    <row r="103" spans="9:35" x14ac:dyDescent="0.45">
      <c r="I103" t="s">
        <v>249</v>
      </c>
      <c r="J103" t="s">
        <v>415</v>
      </c>
      <c r="K103">
        <v>2.6819735968727498E-2</v>
      </c>
      <c r="L103" t="s">
        <v>251</v>
      </c>
      <c r="N103" t="s">
        <v>419</v>
      </c>
      <c r="O103" t="s">
        <v>415</v>
      </c>
      <c r="P103">
        <v>7.5630787877283816E-3</v>
      </c>
      <c r="Q103" t="s">
        <v>251</v>
      </c>
      <c r="S103" t="s">
        <v>420</v>
      </c>
      <c r="T103" t="s">
        <v>415</v>
      </c>
      <c r="U103">
        <v>1.1295279616735264E-2</v>
      </c>
      <c r="V103" t="s">
        <v>251</v>
      </c>
      <c r="X103">
        <v>1.0616438356164383E-2</v>
      </c>
      <c r="Y103">
        <v>1.6893816970390073E-2</v>
      </c>
      <c r="Z103" t="s">
        <v>415</v>
      </c>
      <c r="AA103" t="s">
        <v>25</v>
      </c>
      <c r="AC103" t="s">
        <v>22</v>
      </c>
      <c r="AD103" t="s">
        <v>415</v>
      </c>
      <c r="AE103">
        <v>7.9396068416197289E-3</v>
      </c>
      <c r="AG103" t="s">
        <v>99</v>
      </c>
      <c r="AH103" t="s">
        <v>415</v>
      </c>
      <c r="AI103">
        <v>6.2183768556017149E-2</v>
      </c>
    </row>
    <row r="104" spans="9:35" x14ac:dyDescent="0.45">
      <c r="I104" t="s">
        <v>249</v>
      </c>
      <c r="J104" t="s">
        <v>416</v>
      </c>
      <c r="K104">
        <v>6.7134710151176002E-3</v>
      </c>
      <c r="L104" t="s">
        <v>251</v>
      </c>
      <c r="N104" t="s">
        <v>419</v>
      </c>
      <c r="O104" t="s">
        <v>416</v>
      </c>
      <c r="P104">
        <v>2.8396267792552905E-3</v>
      </c>
      <c r="Q104" t="s">
        <v>251</v>
      </c>
      <c r="S104" t="s">
        <v>420</v>
      </c>
      <c r="T104" t="s">
        <v>416</v>
      </c>
      <c r="U104">
        <v>3.800250958987022E-3</v>
      </c>
      <c r="V104" t="s">
        <v>251</v>
      </c>
      <c r="X104">
        <v>3.5388127853881279E-3</v>
      </c>
      <c r="Y104">
        <v>6.8849497385409693E-3</v>
      </c>
      <c r="Z104" t="s">
        <v>416</v>
      </c>
      <c r="AA104" t="s">
        <v>25</v>
      </c>
      <c r="AC104" t="s">
        <v>22</v>
      </c>
      <c r="AD104" t="s">
        <v>416</v>
      </c>
      <c r="AE104">
        <v>2.5116069854195398E-3</v>
      </c>
      <c r="AG104" t="s">
        <v>99</v>
      </c>
      <c r="AH104" t="s">
        <v>416</v>
      </c>
      <c r="AI104">
        <v>2.6522664700230569E-2</v>
      </c>
    </row>
    <row r="105" spans="9:35" x14ac:dyDescent="0.45">
      <c r="I105" t="s">
        <v>249</v>
      </c>
      <c r="J105" t="s">
        <v>417</v>
      </c>
      <c r="K105">
        <v>4.3636159800594957E-3</v>
      </c>
      <c r="L105" t="s">
        <v>251</v>
      </c>
      <c r="N105" t="s">
        <v>419</v>
      </c>
      <c r="O105" t="s">
        <v>417</v>
      </c>
      <c r="P105">
        <v>2.9791966895662955E-3</v>
      </c>
      <c r="Q105" t="s">
        <v>251</v>
      </c>
      <c r="S105" t="s">
        <v>420</v>
      </c>
      <c r="T105" t="s">
        <v>417</v>
      </c>
      <c r="U105">
        <v>3.7640084620224664E-3</v>
      </c>
      <c r="V105" t="s">
        <v>251</v>
      </c>
      <c r="X105">
        <v>3.5388127853881279E-3</v>
      </c>
      <c r="Y105">
        <v>5.3435430806586613E-3</v>
      </c>
      <c r="Z105" t="s">
        <v>417</v>
      </c>
      <c r="AA105" t="s">
        <v>25</v>
      </c>
      <c r="AC105" t="s">
        <v>22</v>
      </c>
      <c r="AD105" t="s">
        <v>417</v>
      </c>
      <c r="AE105">
        <v>2.5292032638631447E-3</v>
      </c>
      <c r="AG105" t="s">
        <v>99</v>
      </c>
      <c r="AH105" t="s">
        <v>417</v>
      </c>
      <c r="AI105">
        <v>2.5865442867635702E-2</v>
      </c>
    </row>
    <row r="106" spans="9:35" x14ac:dyDescent="0.45">
      <c r="I106" t="s">
        <v>249</v>
      </c>
      <c r="J106" t="s">
        <v>418</v>
      </c>
      <c r="K106">
        <v>9.7873174655531696E-4</v>
      </c>
      <c r="L106" t="s">
        <v>251</v>
      </c>
      <c r="N106" t="s">
        <v>419</v>
      </c>
      <c r="O106" t="s">
        <v>418</v>
      </c>
      <c r="P106">
        <v>2.1583413457200773E-2</v>
      </c>
      <c r="Q106" t="s">
        <v>251</v>
      </c>
      <c r="S106" t="s">
        <v>420</v>
      </c>
      <c r="T106" t="s">
        <v>418</v>
      </c>
      <c r="U106">
        <v>1.7666422501777586E-2</v>
      </c>
      <c r="V106" t="s">
        <v>251</v>
      </c>
      <c r="X106">
        <v>1.7694063926940638E-2</v>
      </c>
      <c r="Y106">
        <v>1.3358857701646654E-2</v>
      </c>
      <c r="Z106" t="s">
        <v>418</v>
      </c>
      <c r="AA106" t="s">
        <v>25</v>
      </c>
      <c r="AC106" t="s">
        <v>22</v>
      </c>
      <c r="AD106" t="s">
        <v>418</v>
      </c>
      <c r="AE106">
        <v>1.7246656839578167E-2</v>
      </c>
      <c r="AG106" t="s">
        <v>99</v>
      </c>
      <c r="AH106" t="s">
        <v>418</v>
      </c>
      <c r="AI106">
        <v>0.15733680317509191</v>
      </c>
    </row>
    <row r="107" spans="9:35" x14ac:dyDescent="0.45">
      <c r="AC107" t="s">
        <v>19</v>
      </c>
      <c r="AD107" t="s">
        <v>250</v>
      </c>
      <c r="AE107">
        <v>2.1456565378467178E-2</v>
      </c>
    </row>
    <row r="108" spans="9:35" x14ac:dyDescent="0.45">
      <c r="AC108" t="s">
        <v>19</v>
      </c>
      <c r="AD108" t="s">
        <v>252</v>
      </c>
      <c r="AE108">
        <v>3.576040295125745E-3</v>
      </c>
    </row>
    <row r="109" spans="9:35" x14ac:dyDescent="0.45">
      <c r="AC109" t="s">
        <v>19</v>
      </c>
      <c r="AD109" t="s">
        <v>253</v>
      </c>
      <c r="AE109">
        <v>3.5736532532879115E-3</v>
      </c>
    </row>
    <row r="110" spans="9:35" x14ac:dyDescent="0.45">
      <c r="AC110" t="s">
        <v>19</v>
      </c>
      <c r="AD110" t="s">
        <v>254</v>
      </c>
      <c r="AE110">
        <v>2.1308912110266864E-2</v>
      </c>
    </row>
    <row r="111" spans="9:35" x14ac:dyDescent="0.45">
      <c r="AC111" t="s">
        <v>19</v>
      </c>
      <c r="AD111" t="s">
        <v>255</v>
      </c>
      <c r="AE111">
        <v>1.044333875225935E-2</v>
      </c>
    </row>
    <row r="112" spans="9:35" x14ac:dyDescent="0.45">
      <c r="AC112" t="s">
        <v>19</v>
      </c>
      <c r="AD112" t="s">
        <v>256</v>
      </c>
      <c r="AE112">
        <v>3.4710603292848782E-3</v>
      </c>
    </row>
    <row r="113" spans="29:31" x14ac:dyDescent="0.45">
      <c r="AC113" t="s">
        <v>19</v>
      </c>
      <c r="AD113" t="s">
        <v>257</v>
      </c>
      <c r="AE113">
        <v>3.4720253530016311E-3</v>
      </c>
    </row>
    <row r="114" spans="29:31" x14ac:dyDescent="0.45">
      <c r="AC114" t="s">
        <v>19</v>
      </c>
      <c r="AD114" t="s">
        <v>258</v>
      </c>
      <c r="AE114">
        <v>1.7648070356031446E-2</v>
      </c>
    </row>
    <row r="115" spans="29:31" x14ac:dyDescent="0.45">
      <c r="AC115" t="s">
        <v>19</v>
      </c>
      <c r="AD115" t="s">
        <v>259</v>
      </c>
      <c r="AE115">
        <v>1.9338882885437635E-2</v>
      </c>
    </row>
    <row r="116" spans="29:31" x14ac:dyDescent="0.45">
      <c r="AC116" t="s">
        <v>19</v>
      </c>
      <c r="AD116" t="s">
        <v>260</v>
      </c>
      <c r="AE116">
        <v>3.2252687047878417E-3</v>
      </c>
    </row>
    <row r="117" spans="29:31" x14ac:dyDescent="0.45">
      <c r="AC117" t="s">
        <v>19</v>
      </c>
      <c r="AD117" t="s">
        <v>261</v>
      </c>
      <c r="AE117">
        <v>3.2251801669548538E-3</v>
      </c>
    </row>
    <row r="118" spans="29:31" x14ac:dyDescent="0.45">
      <c r="AC118" t="s">
        <v>19</v>
      </c>
      <c r="AD118" t="s">
        <v>262</v>
      </c>
      <c r="AE118">
        <v>1.9240831294999098E-2</v>
      </c>
    </row>
    <row r="119" spans="29:31" x14ac:dyDescent="0.45">
      <c r="AC119" t="s">
        <v>19</v>
      </c>
      <c r="AD119" t="s">
        <v>263</v>
      </c>
      <c r="AE119">
        <v>9.4468789817617298E-3</v>
      </c>
    </row>
    <row r="120" spans="29:31" x14ac:dyDescent="0.45">
      <c r="AC120" t="s">
        <v>19</v>
      </c>
      <c r="AD120" t="s">
        <v>264</v>
      </c>
      <c r="AE120">
        <v>3.1401567833205745E-3</v>
      </c>
    </row>
    <row r="121" spans="29:31" x14ac:dyDescent="0.45">
      <c r="AC121" t="s">
        <v>19</v>
      </c>
      <c r="AD121" t="s">
        <v>265</v>
      </c>
      <c r="AE121">
        <v>3.1404962427850408E-3</v>
      </c>
    </row>
    <row r="122" spans="29:31" x14ac:dyDescent="0.45">
      <c r="AC122" t="s">
        <v>19</v>
      </c>
      <c r="AD122" t="s">
        <v>266</v>
      </c>
      <c r="AE122">
        <v>1.5953616264111251E-2</v>
      </c>
    </row>
    <row r="123" spans="29:31" x14ac:dyDescent="0.45">
      <c r="AC123" t="s">
        <v>19</v>
      </c>
      <c r="AD123" t="s">
        <v>267</v>
      </c>
      <c r="AE123">
        <v>2.1406099770568909E-2</v>
      </c>
    </row>
    <row r="124" spans="29:31" x14ac:dyDescent="0.45">
      <c r="AC124" t="s">
        <v>19</v>
      </c>
      <c r="AD124" t="s">
        <v>268</v>
      </c>
      <c r="AE124">
        <v>3.5705543953033956E-3</v>
      </c>
    </row>
    <row r="125" spans="29:31" x14ac:dyDescent="0.45">
      <c r="AC125" t="s">
        <v>19</v>
      </c>
      <c r="AD125" t="s">
        <v>269</v>
      </c>
      <c r="AE125">
        <v>3.5700579648337196E-3</v>
      </c>
    </row>
    <row r="126" spans="29:31" x14ac:dyDescent="0.45">
      <c r="AC126" t="s">
        <v>19</v>
      </c>
      <c r="AD126" t="s">
        <v>270</v>
      </c>
      <c r="AE126">
        <v>2.1303818855435835E-2</v>
      </c>
    </row>
    <row r="127" spans="29:31" x14ac:dyDescent="0.45">
      <c r="AC127" t="s">
        <v>19</v>
      </c>
      <c r="AD127" t="s">
        <v>271</v>
      </c>
      <c r="AE127">
        <v>1.0459243370575593E-2</v>
      </c>
    </row>
    <row r="128" spans="29:31" x14ac:dyDescent="0.45">
      <c r="AC128" t="s">
        <v>19</v>
      </c>
      <c r="AD128" t="s">
        <v>272</v>
      </c>
      <c r="AE128">
        <v>3.4767112516424447E-3</v>
      </c>
    </row>
    <row r="129" spans="29:31" x14ac:dyDescent="0.45">
      <c r="AC129" t="s">
        <v>19</v>
      </c>
      <c r="AD129" t="s">
        <v>273</v>
      </c>
      <c r="AE129">
        <v>3.4773333362419063E-3</v>
      </c>
    </row>
    <row r="130" spans="29:31" x14ac:dyDescent="0.45">
      <c r="AC130" t="s">
        <v>19</v>
      </c>
      <c r="AD130" t="s">
        <v>274</v>
      </c>
      <c r="AE130">
        <v>1.7662409062916596E-2</v>
      </c>
    </row>
    <row r="131" spans="29:31" x14ac:dyDescent="0.45">
      <c r="AC131" t="s">
        <v>19</v>
      </c>
      <c r="AD131" t="s">
        <v>275</v>
      </c>
      <c r="AE131">
        <v>2.0694850968251445E-2</v>
      </c>
    </row>
    <row r="132" spans="29:31" x14ac:dyDescent="0.45">
      <c r="AC132" t="s">
        <v>19</v>
      </c>
      <c r="AD132" t="s">
        <v>276</v>
      </c>
      <c r="AE132">
        <v>3.4504237579177808E-3</v>
      </c>
    </row>
    <row r="133" spans="29:31" x14ac:dyDescent="0.45">
      <c r="AC133" t="s">
        <v>19</v>
      </c>
      <c r="AD133" t="s">
        <v>277</v>
      </c>
      <c r="AE133">
        <v>3.4522266047091348E-3</v>
      </c>
    </row>
    <row r="134" spans="29:31" x14ac:dyDescent="0.45">
      <c r="AC134" t="s">
        <v>19</v>
      </c>
      <c r="AD134" t="s">
        <v>278</v>
      </c>
      <c r="AE134">
        <v>2.0660796765939099E-2</v>
      </c>
    </row>
    <row r="135" spans="29:31" x14ac:dyDescent="0.45">
      <c r="AC135" t="s">
        <v>19</v>
      </c>
      <c r="AD135" t="s">
        <v>279</v>
      </c>
      <c r="AE135">
        <v>1.0145478419643389E-2</v>
      </c>
    </row>
    <row r="136" spans="29:31" x14ac:dyDescent="0.45">
      <c r="AC136" t="s">
        <v>19</v>
      </c>
      <c r="AD136" t="s">
        <v>280</v>
      </c>
      <c r="AE136">
        <v>3.361101456532469E-3</v>
      </c>
    </row>
    <row r="137" spans="29:31" x14ac:dyDescent="0.45">
      <c r="AC137" t="s">
        <v>19</v>
      </c>
      <c r="AD137" t="s">
        <v>281</v>
      </c>
      <c r="AE137">
        <v>3.3621372331899936E-3</v>
      </c>
    </row>
    <row r="138" spans="29:31" x14ac:dyDescent="0.45">
      <c r="AC138" t="s">
        <v>19</v>
      </c>
      <c r="AD138" t="s">
        <v>282</v>
      </c>
      <c r="AE138">
        <v>1.7050597402635478E-2</v>
      </c>
    </row>
    <row r="139" spans="29:31" x14ac:dyDescent="0.45">
      <c r="AC139" t="s">
        <v>19</v>
      </c>
      <c r="AD139" t="s">
        <v>283</v>
      </c>
      <c r="AE139">
        <v>2.1374416033414972E-2</v>
      </c>
    </row>
    <row r="140" spans="29:31" x14ac:dyDescent="0.45">
      <c r="AC140" t="s">
        <v>19</v>
      </c>
      <c r="AD140" t="s">
        <v>284</v>
      </c>
      <c r="AE140">
        <v>3.5620745538620506E-3</v>
      </c>
    </row>
    <row r="141" spans="29:31" x14ac:dyDescent="0.45">
      <c r="AC141" t="s">
        <v>19</v>
      </c>
      <c r="AD141" t="s">
        <v>285</v>
      </c>
      <c r="AE141">
        <v>3.5664167739593473E-3</v>
      </c>
    </row>
    <row r="142" spans="29:31" x14ac:dyDescent="0.45">
      <c r="AC142" t="s">
        <v>19</v>
      </c>
      <c r="AD142" t="s">
        <v>286</v>
      </c>
      <c r="AE142">
        <v>2.1376660022858898E-2</v>
      </c>
    </row>
    <row r="143" spans="29:31" x14ac:dyDescent="0.45">
      <c r="AC143" t="s">
        <v>19</v>
      </c>
      <c r="AD143" t="s">
        <v>287</v>
      </c>
      <c r="AE143">
        <v>1.0489346837897689E-2</v>
      </c>
    </row>
    <row r="144" spans="29:31" x14ac:dyDescent="0.45">
      <c r="AC144" t="s">
        <v>19</v>
      </c>
      <c r="AD144" t="s">
        <v>288</v>
      </c>
      <c r="AE144">
        <v>3.4713576849501643E-3</v>
      </c>
    </row>
    <row r="145" spans="29:31" x14ac:dyDescent="0.45">
      <c r="AC145" t="s">
        <v>19</v>
      </c>
      <c r="AD145" t="s">
        <v>289</v>
      </c>
      <c r="AE145">
        <v>3.4729768833979854E-3</v>
      </c>
    </row>
    <row r="146" spans="29:31" x14ac:dyDescent="0.45">
      <c r="AC146" t="s">
        <v>19</v>
      </c>
      <c r="AD146" t="s">
        <v>290</v>
      </c>
      <c r="AE146">
        <v>1.7611401581249332E-2</v>
      </c>
    </row>
    <row r="147" spans="29:31" x14ac:dyDescent="0.45">
      <c r="AC147" t="s">
        <v>19</v>
      </c>
      <c r="AD147" t="s">
        <v>291</v>
      </c>
      <c r="AE147">
        <v>2.0653491321824691E-2</v>
      </c>
    </row>
    <row r="148" spans="29:31" x14ac:dyDescent="0.45">
      <c r="AC148" t="s">
        <v>19</v>
      </c>
      <c r="AD148" t="s">
        <v>292</v>
      </c>
      <c r="AE148">
        <v>3.441885187669315E-3</v>
      </c>
    </row>
    <row r="149" spans="29:31" x14ac:dyDescent="0.45">
      <c r="AC149" t="s">
        <v>19</v>
      </c>
      <c r="AD149" t="s">
        <v>293</v>
      </c>
      <c r="AE149">
        <v>3.4584927973460482E-3</v>
      </c>
    </row>
    <row r="150" spans="29:31" x14ac:dyDescent="0.45">
      <c r="AC150" t="s">
        <v>19</v>
      </c>
      <c r="AD150" t="s">
        <v>294</v>
      </c>
      <c r="AE150">
        <v>2.0747369262013888E-2</v>
      </c>
    </row>
    <row r="151" spans="29:31" x14ac:dyDescent="0.45">
      <c r="AC151" t="s">
        <v>19</v>
      </c>
      <c r="AD151" t="s">
        <v>295</v>
      </c>
      <c r="AE151">
        <v>1.0140420884415182E-2</v>
      </c>
    </row>
    <row r="152" spans="29:31" x14ac:dyDescent="0.45">
      <c r="AC152" t="s">
        <v>19</v>
      </c>
      <c r="AD152" t="s">
        <v>296</v>
      </c>
      <c r="AE152">
        <v>3.3544998930231588E-3</v>
      </c>
    </row>
    <row r="153" spans="29:31" x14ac:dyDescent="0.45">
      <c r="AC153" t="s">
        <v>19</v>
      </c>
      <c r="AD153" t="s">
        <v>297</v>
      </c>
      <c r="AE153">
        <v>3.3560796554056318E-3</v>
      </c>
    </row>
    <row r="154" spans="29:31" x14ac:dyDescent="0.45">
      <c r="AC154" t="s">
        <v>19</v>
      </c>
      <c r="AD154" t="s">
        <v>298</v>
      </c>
      <c r="AE154">
        <v>1.7061237963495509E-2</v>
      </c>
    </row>
    <row r="155" spans="29:31" x14ac:dyDescent="0.45">
      <c r="AC155" t="s">
        <v>19</v>
      </c>
      <c r="AD155" t="s">
        <v>323</v>
      </c>
      <c r="AE155">
        <v>2.1346820840001699E-2</v>
      </c>
    </row>
    <row r="156" spans="29:31" x14ac:dyDescent="0.45">
      <c r="AC156" t="s">
        <v>19</v>
      </c>
      <c r="AD156" t="s">
        <v>324</v>
      </c>
      <c r="AE156">
        <v>3.557157031164381E-3</v>
      </c>
    </row>
    <row r="157" spans="29:31" x14ac:dyDescent="0.45">
      <c r="AC157" t="s">
        <v>19</v>
      </c>
      <c r="AD157" t="s">
        <v>325</v>
      </c>
      <c r="AE157">
        <v>3.5730536317805741E-3</v>
      </c>
    </row>
    <row r="158" spans="29:31" x14ac:dyDescent="0.45">
      <c r="AC158" t="s">
        <v>19</v>
      </c>
      <c r="AD158" t="s">
        <v>326</v>
      </c>
      <c r="AE158">
        <v>2.1431810973620097E-2</v>
      </c>
    </row>
    <row r="159" spans="29:31" x14ac:dyDescent="0.45">
      <c r="AC159" t="s">
        <v>19</v>
      </c>
      <c r="AD159" t="s">
        <v>327</v>
      </c>
      <c r="AE159">
        <v>1.0477739875958328E-2</v>
      </c>
    </row>
    <row r="160" spans="29:31" x14ac:dyDescent="0.45">
      <c r="AC160" t="s">
        <v>19</v>
      </c>
      <c r="AD160" t="s">
        <v>328</v>
      </c>
      <c r="AE160">
        <v>3.4655134147168151E-3</v>
      </c>
    </row>
    <row r="161" spans="29:31" x14ac:dyDescent="0.45">
      <c r="AC161" t="s">
        <v>19</v>
      </c>
      <c r="AD161" t="s">
        <v>329</v>
      </c>
      <c r="AE161">
        <v>3.4671685695771598E-3</v>
      </c>
    </row>
    <row r="162" spans="29:31" x14ac:dyDescent="0.45">
      <c r="AC162" t="s">
        <v>19</v>
      </c>
      <c r="AD162" t="s">
        <v>330</v>
      </c>
      <c r="AE162">
        <v>1.7639771190730177E-2</v>
      </c>
    </row>
    <row r="163" spans="29:31" x14ac:dyDescent="0.45">
      <c r="AC163" t="s">
        <v>19</v>
      </c>
      <c r="AD163" t="s">
        <v>331</v>
      </c>
      <c r="AE163">
        <v>2.134432436308252E-2</v>
      </c>
    </row>
    <row r="164" spans="29:31" x14ac:dyDescent="0.45">
      <c r="AC164" t="s">
        <v>19</v>
      </c>
      <c r="AD164" t="s">
        <v>332</v>
      </c>
      <c r="AE164">
        <v>3.5586963232513611E-3</v>
      </c>
    </row>
    <row r="165" spans="29:31" x14ac:dyDescent="0.45">
      <c r="AC165" t="s">
        <v>19</v>
      </c>
      <c r="AD165" t="s">
        <v>333</v>
      </c>
      <c r="AE165">
        <v>3.5689408077957539E-3</v>
      </c>
    </row>
    <row r="166" spans="29:31" x14ac:dyDescent="0.45">
      <c r="AC166" t="s">
        <v>19</v>
      </c>
      <c r="AD166" t="s">
        <v>334</v>
      </c>
      <c r="AE166">
        <v>2.1425827111314258E-2</v>
      </c>
    </row>
    <row r="167" spans="29:31" x14ac:dyDescent="0.45">
      <c r="AC167" t="s">
        <v>19</v>
      </c>
      <c r="AD167" t="s">
        <v>335</v>
      </c>
      <c r="AE167">
        <v>1.0482450156333171E-2</v>
      </c>
    </row>
    <row r="168" spans="29:31" x14ac:dyDescent="0.45">
      <c r="AC168" t="s">
        <v>19</v>
      </c>
      <c r="AD168" t="s">
        <v>336</v>
      </c>
      <c r="AE168">
        <v>3.4675862535702693E-3</v>
      </c>
    </row>
    <row r="169" spans="29:31" x14ac:dyDescent="0.45">
      <c r="AC169" t="s">
        <v>19</v>
      </c>
      <c r="AD169" t="s">
        <v>337</v>
      </c>
      <c r="AE169">
        <v>3.4692027456214489E-3</v>
      </c>
    </row>
    <row r="170" spans="29:31" x14ac:dyDescent="0.45">
      <c r="AC170" t="s">
        <v>19</v>
      </c>
      <c r="AD170" t="s">
        <v>338</v>
      </c>
      <c r="AE170">
        <v>1.7627093897247603E-2</v>
      </c>
    </row>
    <row r="171" spans="29:31" x14ac:dyDescent="0.45">
      <c r="AC171" t="s">
        <v>19</v>
      </c>
      <c r="AD171" t="s">
        <v>339</v>
      </c>
      <c r="AE171">
        <v>2.0680614423006657E-2</v>
      </c>
    </row>
    <row r="172" spans="29:31" x14ac:dyDescent="0.45">
      <c r="AC172" t="s">
        <v>19</v>
      </c>
      <c r="AD172" t="s">
        <v>340</v>
      </c>
      <c r="AE172">
        <v>3.4475136517676079E-3</v>
      </c>
    </row>
    <row r="173" spans="29:31" x14ac:dyDescent="0.45">
      <c r="AC173" t="s">
        <v>19</v>
      </c>
      <c r="AD173" t="s">
        <v>341</v>
      </c>
      <c r="AE173">
        <v>3.4504133624549669E-3</v>
      </c>
    </row>
    <row r="174" spans="29:31" x14ac:dyDescent="0.45">
      <c r="AC174" t="s">
        <v>19</v>
      </c>
      <c r="AD174" t="s">
        <v>342</v>
      </c>
      <c r="AE174">
        <v>2.066762101273065E-2</v>
      </c>
    </row>
    <row r="175" spans="29:31" x14ac:dyDescent="0.45">
      <c r="AC175" t="s">
        <v>19</v>
      </c>
      <c r="AD175" t="s">
        <v>343</v>
      </c>
      <c r="AE175">
        <v>1.0157498430871612E-2</v>
      </c>
    </row>
    <row r="176" spans="29:31" x14ac:dyDescent="0.45">
      <c r="AC176" t="s">
        <v>19</v>
      </c>
      <c r="AD176" t="s">
        <v>344</v>
      </c>
      <c r="AE176">
        <v>3.3618299073527938E-3</v>
      </c>
    </row>
    <row r="177" spans="29:31" x14ac:dyDescent="0.45">
      <c r="AC177" t="s">
        <v>19</v>
      </c>
      <c r="AD177" t="s">
        <v>345</v>
      </c>
      <c r="AE177">
        <v>3.3635295244436782E-3</v>
      </c>
    </row>
    <row r="178" spans="29:31" x14ac:dyDescent="0.45">
      <c r="AC178" t="s">
        <v>19</v>
      </c>
      <c r="AD178" t="s">
        <v>346</v>
      </c>
      <c r="AE178">
        <v>1.7048088017170896E-2</v>
      </c>
    </row>
    <row r="179" spans="29:31" x14ac:dyDescent="0.45">
      <c r="AC179" t="s">
        <v>19</v>
      </c>
      <c r="AD179" t="s">
        <v>395</v>
      </c>
      <c r="AE179">
        <v>2.1387748584187277E-2</v>
      </c>
    </row>
    <row r="180" spans="29:31" x14ac:dyDescent="0.45">
      <c r="AC180" t="s">
        <v>19</v>
      </c>
      <c r="AD180" t="s">
        <v>396</v>
      </c>
      <c r="AE180">
        <v>3.5672261267078497E-3</v>
      </c>
    </row>
    <row r="181" spans="29:31" x14ac:dyDescent="0.45">
      <c r="AC181" t="s">
        <v>19</v>
      </c>
      <c r="AD181" t="s">
        <v>397</v>
      </c>
      <c r="AE181">
        <v>3.568305205711639E-3</v>
      </c>
    </row>
    <row r="182" spans="29:31" x14ac:dyDescent="0.45">
      <c r="AC182" t="s">
        <v>19</v>
      </c>
      <c r="AD182" t="s">
        <v>398</v>
      </c>
      <c r="AE182">
        <v>2.1316600509506053E-2</v>
      </c>
    </row>
    <row r="183" spans="29:31" x14ac:dyDescent="0.45">
      <c r="AC183" t="s">
        <v>19</v>
      </c>
      <c r="AD183" t="s">
        <v>399</v>
      </c>
      <c r="AE183">
        <v>1.0451339783806296E-2</v>
      </c>
    </row>
    <row r="184" spans="29:31" x14ac:dyDescent="0.45">
      <c r="AC184" t="s">
        <v>19</v>
      </c>
      <c r="AD184" t="s">
        <v>400</v>
      </c>
      <c r="AE184">
        <v>3.4731533259604605E-3</v>
      </c>
    </row>
    <row r="185" spans="29:31" x14ac:dyDescent="0.45">
      <c r="AC185" t="s">
        <v>19</v>
      </c>
      <c r="AD185" t="s">
        <v>401</v>
      </c>
      <c r="AE185">
        <v>3.4745884894366572E-3</v>
      </c>
    </row>
    <row r="186" spans="29:31" x14ac:dyDescent="0.45">
      <c r="AC186" t="s">
        <v>19</v>
      </c>
      <c r="AD186" t="s">
        <v>402</v>
      </c>
      <c r="AE186">
        <v>1.7679756582103724E-2</v>
      </c>
    </row>
    <row r="187" spans="29:31" x14ac:dyDescent="0.45">
      <c r="AC187" t="s">
        <v>19</v>
      </c>
      <c r="AD187" t="s">
        <v>403</v>
      </c>
      <c r="AE187">
        <v>2.0700732586758447E-2</v>
      </c>
    </row>
    <row r="188" spans="29:31" x14ac:dyDescent="0.45">
      <c r="AC188" t="s">
        <v>19</v>
      </c>
      <c r="AD188" t="s">
        <v>404</v>
      </c>
      <c r="AE188">
        <v>3.452575381910611E-3</v>
      </c>
    </row>
    <row r="189" spans="29:31" x14ac:dyDescent="0.45">
      <c r="AC189" t="s">
        <v>19</v>
      </c>
      <c r="AD189" t="s">
        <v>405</v>
      </c>
      <c r="AE189">
        <v>3.4535021294462907E-3</v>
      </c>
    </row>
    <row r="190" spans="29:31" x14ac:dyDescent="0.45">
      <c r="AC190" t="s">
        <v>19</v>
      </c>
      <c r="AD190" t="s">
        <v>406</v>
      </c>
      <c r="AE190">
        <v>2.0623439445188577E-2</v>
      </c>
    </row>
    <row r="191" spans="29:31" x14ac:dyDescent="0.45">
      <c r="AC191" t="s">
        <v>19</v>
      </c>
      <c r="AD191" t="s">
        <v>407</v>
      </c>
      <c r="AE191">
        <v>1.0111045051161569E-2</v>
      </c>
    </row>
    <row r="192" spans="29:31" x14ac:dyDescent="0.45">
      <c r="AC192" t="s">
        <v>19</v>
      </c>
      <c r="AD192" t="s">
        <v>408</v>
      </c>
      <c r="AE192">
        <v>3.3624407749047467E-3</v>
      </c>
    </row>
    <row r="193" spans="29:31" x14ac:dyDescent="0.45">
      <c r="AC193" t="s">
        <v>19</v>
      </c>
      <c r="AD193" t="s">
        <v>409</v>
      </c>
      <c r="AE193">
        <v>3.3637788947299399E-3</v>
      </c>
    </row>
    <row r="194" spans="29:31" x14ac:dyDescent="0.45">
      <c r="AC194" t="s">
        <v>19</v>
      </c>
      <c r="AD194" t="s">
        <v>410</v>
      </c>
      <c r="AE194">
        <v>1.7106455689490346E-2</v>
      </c>
    </row>
    <row r="195" spans="29:31" x14ac:dyDescent="0.45">
      <c r="AC195" t="s">
        <v>19</v>
      </c>
      <c r="AD195" t="s">
        <v>411</v>
      </c>
      <c r="AE195">
        <v>2.1400161656032014E-2</v>
      </c>
    </row>
    <row r="196" spans="29:31" x14ac:dyDescent="0.45">
      <c r="AC196" t="s">
        <v>19</v>
      </c>
      <c r="AD196" t="s">
        <v>412</v>
      </c>
      <c r="AE196">
        <v>3.5695159944076986E-3</v>
      </c>
    </row>
    <row r="197" spans="29:31" x14ac:dyDescent="0.45">
      <c r="AC197" t="s">
        <v>19</v>
      </c>
      <c r="AD197" t="s">
        <v>413</v>
      </c>
      <c r="AE197">
        <v>3.5692561803301113E-3</v>
      </c>
    </row>
    <row r="198" spans="29:31" x14ac:dyDescent="0.45">
      <c r="AC198" t="s">
        <v>19</v>
      </c>
      <c r="AD198" t="s">
        <v>414</v>
      </c>
      <c r="AE198">
        <v>2.1303165560283676E-2</v>
      </c>
    </row>
    <row r="199" spans="29:31" x14ac:dyDescent="0.45">
      <c r="AC199" t="s">
        <v>19</v>
      </c>
      <c r="AD199" t="s">
        <v>415</v>
      </c>
      <c r="AE199">
        <v>1.0451353310956653E-2</v>
      </c>
    </row>
    <row r="200" spans="29:31" x14ac:dyDescent="0.45">
      <c r="AC200" t="s">
        <v>19</v>
      </c>
      <c r="AD200" t="s">
        <v>416</v>
      </c>
      <c r="AE200">
        <v>3.4750267952056049E-3</v>
      </c>
    </row>
    <row r="201" spans="29:31" x14ac:dyDescent="0.45">
      <c r="AC201" t="s">
        <v>19</v>
      </c>
      <c r="AD201" t="s">
        <v>417</v>
      </c>
      <c r="AE201">
        <v>3.4761688945883326E-3</v>
      </c>
    </row>
    <row r="202" spans="29:31" x14ac:dyDescent="0.45">
      <c r="AC202" t="s">
        <v>19</v>
      </c>
      <c r="AD202" t="s">
        <v>418</v>
      </c>
      <c r="AE202">
        <v>1.7679452426616876E-2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9C57-B2AA-4E08-8CDC-9D923FAAAF25}">
  <dimension ref="A9:AN20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133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124</v>
      </c>
      <c r="K10" t="s">
        <v>248</v>
      </c>
      <c r="L10" t="s">
        <v>30</v>
      </c>
      <c r="N10" t="s">
        <v>13</v>
      </c>
      <c r="O10" t="s">
        <v>124</v>
      </c>
      <c r="P10" t="s">
        <v>248</v>
      </c>
      <c r="Q10" t="s">
        <v>30</v>
      </c>
      <c r="S10" t="s">
        <v>13</v>
      </c>
      <c r="T10" t="s">
        <v>124</v>
      </c>
      <c r="U10" t="s">
        <v>248</v>
      </c>
      <c r="V10" t="s">
        <v>30</v>
      </c>
      <c r="X10" t="s">
        <v>421</v>
      </c>
      <c r="Y10" t="s">
        <v>248</v>
      </c>
      <c r="Z10" t="s">
        <v>124</v>
      </c>
      <c r="AA10" t="s">
        <v>13</v>
      </c>
      <c r="AC10" t="s">
        <v>13</v>
      </c>
      <c r="AD10" t="s">
        <v>124</v>
      </c>
      <c r="AE10" t="s">
        <v>248</v>
      </c>
      <c r="AG10" t="s">
        <v>13</v>
      </c>
      <c r="AH10" t="s">
        <v>124</v>
      </c>
      <c r="AI10" t="s">
        <v>427</v>
      </c>
      <c r="AK10" t="s">
        <v>47</v>
      </c>
      <c r="AL10" t="s">
        <v>124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240</v>
      </c>
      <c r="F11" t="s">
        <v>154</v>
      </c>
      <c r="G11" t="s">
        <v>152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3.2023983738383797E-2</v>
      </c>
      <c r="Q11" t="s">
        <v>251</v>
      </c>
      <c r="S11" t="s">
        <v>420</v>
      </c>
      <c r="T11" t="s">
        <v>250</v>
      </c>
      <c r="U11">
        <v>1.7877727916413823E-2</v>
      </c>
      <c r="V11" t="s">
        <v>251</v>
      </c>
      <c r="X11">
        <v>2.1232876712328767E-2</v>
      </c>
      <c r="Y11">
        <v>4.5420116185598634E-3</v>
      </c>
      <c r="Z11" t="s">
        <v>250</v>
      </c>
      <c r="AA11" t="s">
        <v>25</v>
      </c>
      <c r="AC11" t="s">
        <v>22</v>
      </c>
      <c r="AD11" t="s">
        <v>250</v>
      </c>
      <c r="AE11">
        <v>2.5333277982719261E-2</v>
      </c>
      <c r="AG11" t="s">
        <v>99</v>
      </c>
      <c r="AH11" t="s">
        <v>250</v>
      </c>
      <c r="AI11">
        <v>0.14041549864646474</v>
      </c>
    </row>
    <row r="12" spans="1:40" x14ac:dyDescent="0.45">
      <c r="C12" t="s">
        <v>156</v>
      </c>
      <c r="E12" t="s">
        <v>241</v>
      </c>
      <c r="G12" t="s">
        <v>152</v>
      </c>
      <c r="I12" t="s">
        <v>249</v>
      </c>
      <c r="J12" t="s">
        <v>252</v>
      </c>
      <c r="K12">
        <v>2.1566995796228287E-3</v>
      </c>
      <c r="L12" t="s">
        <v>251</v>
      </c>
      <c r="N12" t="s">
        <v>419</v>
      </c>
      <c r="O12" t="s">
        <v>252</v>
      </c>
      <c r="P12">
        <v>4.6753520212145542E-3</v>
      </c>
      <c r="Q12" t="s">
        <v>251</v>
      </c>
      <c r="S12" t="s">
        <v>420</v>
      </c>
      <c r="T12" t="s">
        <v>252</v>
      </c>
      <c r="U12">
        <v>2.9400777924750939E-3</v>
      </c>
      <c r="V12" t="s">
        <v>251</v>
      </c>
      <c r="X12">
        <v>3.5388127853881279E-3</v>
      </c>
      <c r="Y12">
        <v>5.240782636799844E-3</v>
      </c>
      <c r="Z12" t="s">
        <v>252</v>
      </c>
      <c r="AA12" t="s">
        <v>25</v>
      </c>
      <c r="AC12" t="s">
        <v>22</v>
      </c>
      <c r="AD12" t="s">
        <v>252</v>
      </c>
      <c r="AE12">
        <v>4.2213820286558E-3</v>
      </c>
      <c r="AG12" t="s">
        <v>99</v>
      </c>
      <c r="AH12" t="s">
        <v>252</v>
      </c>
      <c r="AI12">
        <v>0.10695568022603918</v>
      </c>
    </row>
    <row r="13" spans="1:40" x14ac:dyDescent="0.45">
      <c r="C13" t="s">
        <v>159</v>
      </c>
      <c r="E13" t="s">
        <v>242</v>
      </c>
      <c r="G13" t="s">
        <v>152</v>
      </c>
      <c r="I13" t="s">
        <v>249</v>
      </c>
      <c r="J13" t="s">
        <v>253</v>
      </c>
      <c r="K13">
        <v>5.7351265280208997E-3</v>
      </c>
      <c r="L13" t="s">
        <v>251</v>
      </c>
      <c r="N13" t="s">
        <v>419</v>
      </c>
      <c r="O13" t="s">
        <v>253</v>
      </c>
      <c r="P13">
        <v>4.1117343163884672E-3</v>
      </c>
      <c r="Q13" t="s">
        <v>251</v>
      </c>
      <c r="S13" t="s">
        <v>420</v>
      </c>
      <c r="T13" t="s">
        <v>253</v>
      </c>
      <c r="U13">
        <v>2.9873619792351001E-3</v>
      </c>
      <c r="V13" t="s">
        <v>251</v>
      </c>
      <c r="X13">
        <v>3.5388127853881279E-3</v>
      </c>
      <c r="Y13">
        <v>5.9087255218821738E-3</v>
      </c>
      <c r="Z13" t="s">
        <v>253</v>
      </c>
      <c r="AA13" t="s">
        <v>25</v>
      </c>
      <c r="AC13" t="s">
        <v>22</v>
      </c>
      <c r="AD13" t="s">
        <v>253</v>
      </c>
      <c r="AE13">
        <v>4.1846049727618205E-3</v>
      </c>
      <c r="AG13" t="s">
        <v>99</v>
      </c>
      <c r="AH13" t="s">
        <v>253</v>
      </c>
      <c r="AI13">
        <v>0.10918176237600519</v>
      </c>
    </row>
    <row r="14" spans="1:40" x14ac:dyDescent="0.45">
      <c r="C14" t="s">
        <v>163</v>
      </c>
      <c r="E14" t="s">
        <v>243</v>
      </c>
      <c r="G14" t="s">
        <v>152</v>
      </c>
      <c r="I14" t="s">
        <v>249</v>
      </c>
      <c r="J14" t="s">
        <v>254</v>
      </c>
      <c r="K14">
        <v>5.6741174349457101E-2</v>
      </c>
      <c r="L14" t="s">
        <v>251</v>
      </c>
      <c r="N14" t="s">
        <v>419</v>
      </c>
      <c r="O14" t="s">
        <v>254</v>
      </c>
      <c r="P14">
        <v>1.8148492540508484E-2</v>
      </c>
      <c r="Q14" t="s">
        <v>251</v>
      </c>
      <c r="S14" t="s">
        <v>420</v>
      </c>
      <c r="T14" t="s">
        <v>254</v>
      </c>
      <c r="U14">
        <v>1.9091430054603994E-2</v>
      </c>
      <c r="V14" t="s">
        <v>251</v>
      </c>
      <c r="X14">
        <v>2.1232876712328767E-2</v>
      </c>
      <c r="Y14">
        <v>2.6758819580836844E-2</v>
      </c>
      <c r="Z14" t="s">
        <v>254</v>
      </c>
      <c r="AA14" t="s">
        <v>25</v>
      </c>
      <c r="AC14" t="s">
        <v>22</v>
      </c>
      <c r="AD14" t="s">
        <v>254</v>
      </c>
      <c r="AE14">
        <v>2.3058390122999334E-2</v>
      </c>
      <c r="AG14" t="s">
        <v>99</v>
      </c>
      <c r="AH14" t="s">
        <v>254</v>
      </c>
      <c r="AI14">
        <v>0.17850472951247887</v>
      </c>
    </row>
    <row r="15" spans="1:40" x14ac:dyDescent="0.45">
      <c r="C15" t="s">
        <v>166</v>
      </c>
      <c r="E15" t="s">
        <v>244</v>
      </c>
      <c r="G15" t="s">
        <v>152</v>
      </c>
      <c r="I15" t="s">
        <v>249</v>
      </c>
      <c r="J15" t="s">
        <v>255</v>
      </c>
      <c r="K15">
        <v>2.6611029620498401E-2</v>
      </c>
      <c r="L15" t="s">
        <v>251</v>
      </c>
      <c r="N15" t="s">
        <v>419</v>
      </c>
      <c r="O15" t="s">
        <v>255</v>
      </c>
      <c r="P15">
        <v>8.3608854468542309E-3</v>
      </c>
      <c r="Q15" t="s">
        <v>251</v>
      </c>
      <c r="S15" t="s">
        <v>420</v>
      </c>
      <c r="T15" t="s">
        <v>255</v>
      </c>
      <c r="U15">
        <v>1.057631646936439E-2</v>
      </c>
      <c r="V15" t="s">
        <v>251</v>
      </c>
      <c r="X15">
        <v>1.0616438356164383E-2</v>
      </c>
      <c r="Y15">
        <v>1.6893816970390073E-2</v>
      </c>
      <c r="Z15" t="s">
        <v>255</v>
      </c>
      <c r="AA15" t="s">
        <v>25</v>
      </c>
      <c r="AC15" t="s">
        <v>22</v>
      </c>
      <c r="AD15" t="s">
        <v>255</v>
      </c>
      <c r="AE15">
        <v>8.2765194171414147E-3</v>
      </c>
      <c r="AG15" t="s">
        <v>99</v>
      </c>
      <c r="AH15" t="s">
        <v>255</v>
      </c>
      <c r="AI15">
        <v>0.11116120742126734</v>
      </c>
    </row>
    <row r="16" spans="1:40" x14ac:dyDescent="0.45">
      <c r="C16" t="s">
        <v>158</v>
      </c>
      <c r="E16" t="s">
        <v>245</v>
      </c>
      <c r="G16" t="s">
        <v>152</v>
      </c>
      <c r="I16" t="s">
        <v>249</v>
      </c>
      <c r="J16" t="s">
        <v>256</v>
      </c>
      <c r="K16">
        <v>6.8186755141492004E-3</v>
      </c>
      <c r="L16" t="s">
        <v>251</v>
      </c>
      <c r="N16" t="s">
        <v>419</v>
      </c>
      <c r="O16" t="s">
        <v>256</v>
      </c>
      <c r="P16">
        <v>3.4758049043377842E-3</v>
      </c>
      <c r="Q16" t="s">
        <v>251</v>
      </c>
      <c r="S16" t="s">
        <v>420</v>
      </c>
      <c r="T16" t="s">
        <v>256</v>
      </c>
      <c r="U16">
        <v>3.6162519572219168E-3</v>
      </c>
      <c r="V16" t="s">
        <v>251</v>
      </c>
      <c r="X16">
        <v>3.5388127853881279E-3</v>
      </c>
      <c r="Y16">
        <v>6.8849497385409693E-3</v>
      </c>
      <c r="Z16" t="s">
        <v>256</v>
      </c>
      <c r="AA16" t="s">
        <v>25</v>
      </c>
      <c r="AC16" t="s">
        <v>22</v>
      </c>
      <c r="AD16" t="s">
        <v>256</v>
      </c>
      <c r="AE16">
        <v>2.6039599917713476E-3</v>
      </c>
      <c r="AG16" t="s">
        <v>99</v>
      </c>
      <c r="AH16" t="s">
        <v>256</v>
      </c>
      <c r="AI16">
        <v>9.0743392615567409E-2</v>
      </c>
    </row>
    <row r="17" spans="3:35" x14ac:dyDescent="0.45">
      <c r="C17" t="s">
        <v>169</v>
      </c>
      <c r="E17" t="s">
        <v>246</v>
      </c>
      <c r="G17" t="s">
        <v>152</v>
      </c>
      <c r="I17" t="s">
        <v>249</v>
      </c>
      <c r="J17" t="s">
        <v>257</v>
      </c>
      <c r="K17">
        <v>4.8522002634973837E-3</v>
      </c>
      <c r="L17" t="s">
        <v>251</v>
      </c>
      <c r="N17" t="s">
        <v>419</v>
      </c>
      <c r="O17" t="s">
        <v>257</v>
      </c>
      <c r="P17">
        <v>3.7771415098806268E-3</v>
      </c>
      <c r="Q17" t="s">
        <v>251</v>
      </c>
      <c r="S17" t="s">
        <v>420</v>
      </c>
      <c r="T17" t="s">
        <v>257</v>
      </c>
      <c r="U17">
        <v>3.5228871449100416E-3</v>
      </c>
      <c r="V17" t="s">
        <v>251</v>
      </c>
      <c r="X17">
        <v>3.5388127853881279E-3</v>
      </c>
      <c r="Y17">
        <v>5.3435430806586613E-3</v>
      </c>
      <c r="Z17" t="s">
        <v>257</v>
      </c>
      <c r="AA17" t="s">
        <v>25</v>
      </c>
      <c r="AC17" t="s">
        <v>22</v>
      </c>
      <c r="AD17" t="s">
        <v>257</v>
      </c>
      <c r="AE17">
        <v>2.61882807267698E-3</v>
      </c>
      <c r="AG17" t="s">
        <v>99</v>
      </c>
      <c r="AH17" t="s">
        <v>257</v>
      </c>
      <c r="AI17">
        <v>0.1011496097588569</v>
      </c>
    </row>
    <row r="18" spans="3:35" x14ac:dyDescent="0.45">
      <c r="C18" t="s">
        <v>171</v>
      </c>
      <c r="E18" t="s">
        <v>247</v>
      </c>
      <c r="G18" t="s">
        <v>152</v>
      </c>
      <c r="I18" t="s">
        <v>249</v>
      </c>
      <c r="J18" t="s">
        <v>258</v>
      </c>
      <c r="K18">
        <v>1.6361687235408717E-3</v>
      </c>
      <c r="L18" t="s">
        <v>251</v>
      </c>
      <c r="N18" t="s">
        <v>419</v>
      </c>
      <c r="O18" t="s">
        <v>258</v>
      </c>
      <c r="P18">
        <v>2.4660282460977644E-2</v>
      </c>
      <c r="Q18" t="s">
        <v>251</v>
      </c>
      <c r="S18" t="s">
        <v>420</v>
      </c>
      <c r="T18" t="s">
        <v>258</v>
      </c>
      <c r="U18">
        <v>1.5757336683578368E-2</v>
      </c>
      <c r="V18" t="s">
        <v>251</v>
      </c>
      <c r="X18">
        <v>1.7694063926940638E-2</v>
      </c>
      <c r="Y18">
        <v>1.3358857701646654E-2</v>
      </c>
      <c r="Z18" t="s">
        <v>258</v>
      </c>
      <c r="AA18" t="s">
        <v>25</v>
      </c>
      <c r="AC18" t="s">
        <v>22</v>
      </c>
      <c r="AD18" t="s">
        <v>258</v>
      </c>
      <c r="AE18">
        <v>1.7530475484761106E-2</v>
      </c>
      <c r="AG18" t="s">
        <v>99</v>
      </c>
      <c r="AH18" t="s">
        <v>258</v>
      </c>
      <c r="AI18">
        <v>0.18108104719035567</v>
      </c>
    </row>
    <row r="19" spans="3:35" x14ac:dyDescent="0.45">
      <c r="C19" t="s">
        <v>162</v>
      </c>
      <c r="I19" t="s">
        <v>249</v>
      </c>
      <c r="J19" t="s">
        <v>259</v>
      </c>
      <c r="K19">
        <v>0</v>
      </c>
      <c r="L19" t="s">
        <v>251</v>
      </c>
      <c r="N19" t="s">
        <v>419</v>
      </c>
      <c r="O19" t="s">
        <v>259</v>
      </c>
      <c r="P19">
        <v>2.6859085503510967E-2</v>
      </c>
      <c r="Q19" t="s">
        <v>251</v>
      </c>
      <c r="S19" t="s">
        <v>420</v>
      </c>
      <c r="T19" t="s">
        <v>259</v>
      </c>
      <c r="U19">
        <v>1.5570388743208208E-2</v>
      </c>
      <c r="V19" t="s">
        <v>251</v>
      </c>
      <c r="X19">
        <v>1.9178082191780823E-2</v>
      </c>
      <c r="Y19">
        <v>4.1024621070863279E-3</v>
      </c>
      <c r="Z19" t="s">
        <v>259</v>
      </c>
      <c r="AA19" t="s">
        <v>25</v>
      </c>
      <c r="AC19" t="s">
        <v>22</v>
      </c>
      <c r="AD19" t="s">
        <v>259</v>
      </c>
      <c r="AE19">
        <v>2.161888624949352E-2</v>
      </c>
      <c r="AG19" t="s">
        <v>99</v>
      </c>
      <c r="AH19" t="s">
        <v>259</v>
      </c>
      <c r="AI19">
        <v>6.725101334592587E-2</v>
      </c>
    </row>
    <row r="20" spans="3:35" x14ac:dyDescent="0.45">
      <c r="C20" t="s">
        <v>174</v>
      </c>
      <c r="I20" t="s">
        <v>249</v>
      </c>
      <c r="J20" t="s">
        <v>260</v>
      </c>
      <c r="K20">
        <v>1.339658701922193E-3</v>
      </c>
      <c r="L20" t="s">
        <v>251</v>
      </c>
      <c r="N20" t="s">
        <v>419</v>
      </c>
      <c r="O20" t="s">
        <v>260</v>
      </c>
      <c r="P20">
        <v>3.8927029331353872E-3</v>
      </c>
      <c r="Q20" t="s">
        <v>251</v>
      </c>
      <c r="S20" t="s">
        <v>420</v>
      </c>
      <c r="T20" t="s">
        <v>260</v>
      </c>
      <c r="U20">
        <v>2.5524247052464877E-3</v>
      </c>
      <c r="V20" t="s">
        <v>251</v>
      </c>
      <c r="X20">
        <v>3.1963470319634705E-3</v>
      </c>
      <c r="Y20">
        <v>4.7336101235611484E-3</v>
      </c>
      <c r="Z20" t="s">
        <v>260</v>
      </c>
      <c r="AA20" t="s">
        <v>25</v>
      </c>
      <c r="AC20" t="s">
        <v>22</v>
      </c>
      <c r="AD20" t="s">
        <v>260</v>
      </c>
      <c r="AE20">
        <v>3.6358344534236685E-3</v>
      </c>
      <c r="AG20" t="s">
        <v>99</v>
      </c>
      <c r="AH20" t="s">
        <v>260</v>
      </c>
      <c r="AI20">
        <v>6.2737773474196734E-2</v>
      </c>
    </row>
    <row r="21" spans="3:35" x14ac:dyDescent="0.45">
      <c r="C21" t="s">
        <v>176</v>
      </c>
      <c r="I21" t="s">
        <v>249</v>
      </c>
      <c r="J21" t="s">
        <v>261</v>
      </c>
      <c r="K21">
        <v>4.4976164179348485E-3</v>
      </c>
      <c r="L21" t="s">
        <v>251</v>
      </c>
      <c r="N21" t="s">
        <v>419</v>
      </c>
      <c r="O21" t="s">
        <v>261</v>
      </c>
      <c r="P21">
        <v>3.4166545041474372E-3</v>
      </c>
      <c r="Q21" t="s">
        <v>251</v>
      </c>
      <c r="S21" t="s">
        <v>420</v>
      </c>
      <c r="T21" t="s">
        <v>261</v>
      </c>
      <c r="U21">
        <v>2.5094079632623409E-3</v>
      </c>
      <c r="V21" t="s">
        <v>251</v>
      </c>
      <c r="X21">
        <v>3.1963470319634705E-3</v>
      </c>
      <c r="Y21">
        <v>5.3369133746032542E-3</v>
      </c>
      <c r="Z21" t="s">
        <v>261</v>
      </c>
      <c r="AA21" t="s">
        <v>25</v>
      </c>
      <c r="AC21" t="s">
        <v>22</v>
      </c>
      <c r="AD21" t="s">
        <v>261</v>
      </c>
      <c r="AE21">
        <v>3.6344703546546822E-3</v>
      </c>
      <c r="AG21" t="s">
        <v>99</v>
      </c>
      <c r="AH21" t="s">
        <v>261</v>
      </c>
      <c r="AI21">
        <v>5.5388514883157214E-2</v>
      </c>
    </row>
    <row r="22" spans="3:35" x14ac:dyDescent="0.45">
      <c r="C22" t="s">
        <v>178</v>
      </c>
      <c r="I22" t="s">
        <v>249</v>
      </c>
      <c r="J22" t="s">
        <v>262</v>
      </c>
      <c r="K22">
        <v>4.7312849365851707E-2</v>
      </c>
      <c r="L22" t="s">
        <v>251</v>
      </c>
      <c r="N22" t="s">
        <v>419</v>
      </c>
      <c r="O22" t="s">
        <v>262</v>
      </c>
      <c r="P22">
        <v>1.5332261546275745E-2</v>
      </c>
      <c r="Q22" t="s">
        <v>251</v>
      </c>
      <c r="S22" t="s">
        <v>420</v>
      </c>
      <c r="T22" t="s">
        <v>262</v>
      </c>
      <c r="U22">
        <v>1.5549107374137295E-2</v>
      </c>
      <c r="V22" t="s">
        <v>251</v>
      </c>
      <c r="X22">
        <v>1.9178082191780823E-2</v>
      </c>
      <c r="Y22">
        <v>2.4169256395594564E-2</v>
      </c>
      <c r="Z22" t="s">
        <v>262</v>
      </c>
      <c r="AA22" t="s">
        <v>25</v>
      </c>
      <c r="AC22" t="s">
        <v>22</v>
      </c>
      <c r="AD22" t="s">
        <v>262</v>
      </c>
      <c r="AE22">
        <v>2.0108209408854633E-2</v>
      </c>
      <c r="AG22" t="s">
        <v>99</v>
      </c>
      <c r="AH22" t="s">
        <v>262</v>
      </c>
      <c r="AI22">
        <v>0.11604443548905641</v>
      </c>
    </row>
    <row r="23" spans="3:35" x14ac:dyDescent="0.45">
      <c r="I23" t="s">
        <v>249</v>
      </c>
      <c r="J23" t="s">
        <v>263</v>
      </c>
      <c r="K23">
        <v>2.1487248563208199E-2</v>
      </c>
      <c r="L23" t="s">
        <v>251</v>
      </c>
      <c r="N23" t="s">
        <v>419</v>
      </c>
      <c r="O23" t="s">
        <v>263</v>
      </c>
      <c r="P23">
        <v>6.9159360614657866E-3</v>
      </c>
      <c r="Q23" t="s">
        <v>251</v>
      </c>
      <c r="S23" t="s">
        <v>420</v>
      </c>
      <c r="T23" t="s">
        <v>263</v>
      </c>
      <c r="U23">
        <v>8.3281989093384225E-3</v>
      </c>
      <c r="V23" t="s">
        <v>251</v>
      </c>
      <c r="X23">
        <v>9.5890410958904115E-3</v>
      </c>
      <c r="Y23">
        <v>1.5258931457126519E-2</v>
      </c>
      <c r="Z23" t="s">
        <v>263</v>
      </c>
      <c r="AA23" t="s">
        <v>25</v>
      </c>
      <c r="AC23" t="s">
        <v>22</v>
      </c>
      <c r="AD23" t="s">
        <v>263</v>
      </c>
      <c r="AE23">
        <v>7.3804323982535015E-3</v>
      </c>
      <c r="AG23" t="s">
        <v>99</v>
      </c>
      <c r="AH23" t="s">
        <v>263</v>
      </c>
      <c r="AI23">
        <v>0.11196228135959285</v>
      </c>
    </row>
    <row r="24" spans="3:35" x14ac:dyDescent="0.45">
      <c r="I24" t="s">
        <v>249</v>
      </c>
      <c r="J24" t="s">
        <v>264</v>
      </c>
      <c r="K24">
        <v>5.3228780119697807E-3</v>
      </c>
      <c r="L24" t="s">
        <v>251</v>
      </c>
      <c r="N24" t="s">
        <v>419</v>
      </c>
      <c r="O24" t="s">
        <v>264</v>
      </c>
      <c r="P24">
        <v>2.8972208796751299E-3</v>
      </c>
      <c r="Q24" t="s">
        <v>251</v>
      </c>
      <c r="S24" t="s">
        <v>420</v>
      </c>
      <c r="T24" t="s">
        <v>264</v>
      </c>
      <c r="U24">
        <v>2.8530080087175195E-3</v>
      </c>
      <c r="V24" t="s">
        <v>251</v>
      </c>
      <c r="X24">
        <v>3.1963470319634705E-3</v>
      </c>
      <c r="Y24">
        <v>6.2186642799724884E-3</v>
      </c>
      <c r="Z24" t="s">
        <v>264</v>
      </c>
      <c r="AA24" t="s">
        <v>25</v>
      </c>
      <c r="AC24" t="s">
        <v>22</v>
      </c>
      <c r="AD24" t="s">
        <v>264</v>
      </c>
      <c r="AE24">
        <v>2.3245185630050126E-3</v>
      </c>
      <c r="AG24" t="s">
        <v>99</v>
      </c>
      <c r="AH24" t="s">
        <v>264</v>
      </c>
      <c r="AI24">
        <v>6.2711363706509315E-2</v>
      </c>
    </row>
    <row r="25" spans="3:35" x14ac:dyDescent="0.45">
      <c r="I25" t="s">
        <v>249</v>
      </c>
      <c r="J25" t="s">
        <v>265</v>
      </c>
      <c r="K25">
        <v>3.6504304492904721E-3</v>
      </c>
      <c r="L25" t="s">
        <v>251</v>
      </c>
      <c r="N25" t="s">
        <v>419</v>
      </c>
      <c r="O25" t="s">
        <v>265</v>
      </c>
      <c r="P25">
        <v>3.1606032717252232E-3</v>
      </c>
      <c r="Q25" t="s">
        <v>251</v>
      </c>
      <c r="S25" t="s">
        <v>420</v>
      </c>
      <c r="T25" t="s">
        <v>265</v>
      </c>
      <c r="U25">
        <v>2.841370638053637E-3</v>
      </c>
      <c r="V25" t="s">
        <v>251</v>
      </c>
      <c r="X25">
        <v>3.1963470319634705E-3</v>
      </c>
      <c r="Y25">
        <v>4.8264260083368555E-3</v>
      </c>
      <c r="Z25" t="s">
        <v>265</v>
      </c>
      <c r="AA25" t="s">
        <v>25</v>
      </c>
      <c r="AC25" t="s">
        <v>22</v>
      </c>
      <c r="AD25" t="s">
        <v>265</v>
      </c>
      <c r="AE25">
        <v>2.3297486010799904E-3</v>
      </c>
      <c r="AG25" t="s">
        <v>99</v>
      </c>
      <c r="AH25" t="s">
        <v>265</v>
      </c>
      <c r="AI25">
        <v>5.8752555846999899E-2</v>
      </c>
    </row>
    <row r="26" spans="3:35" x14ac:dyDescent="0.45">
      <c r="I26" t="s">
        <v>249</v>
      </c>
      <c r="J26" t="s">
        <v>266</v>
      </c>
      <c r="K26">
        <v>1.0742479766925439E-3</v>
      </c>
      <c r="L26" t="s">
        <v>251</v>
      </c>
      <c r="N26" t="s">
        <v>419</v>
      </c>
      <c r="O26" t="s">
        <v>266</v>
      </c>
      <c r="P26">
        <v>2.1056926725522049E-2</v>
      </c>
      <c r="Q26" t="s">
        <v>251</v>
      </c>
      <c r="S26" t="s">
        <v>420</v>
      </c>
      <c r="T26" t="s">
        <v>266</v>
      </c>
      <c r="U26">
        <v>1.3771904585956271E-2</v>
      </c>
      <c r="V26" t="s">
        <v>251</v>
      </c>
      <c r="X26">
        <v>1.5981735159817351E-2</v>
      </c>
      <c r="Y26">
        <v>1.2066065020842141E-2</v>
      </c>
      <c r="Z26" t="s">
        <v>266</v>
      </c>
      <c r="AA26" t="s">
        <v>25</v>
      </c>
      <c r="AC26" t="s">
        <v>22</v>
      </c>
      <c r="AD26" t="s">
        <v>266</v>
      </c>
      <c r="AE26">
        <v>1.5517970444668863E-2</v>
      </c>
      <c r="AG26" t="s">
        <v>99</v>
      </c>
      <c r="AH26" t="s">
        <v>266</v>
      </c>
      <c r="AI26">
        <v>0.15352800830975277</v>
      </c>
    </row>
    <row r="27" spans="3:35" x14ac:dyDescent="0.45">
      <c r="I27" t="s">
        <v>249</v>
      </c>
      <c r="J27" t="s">
        <v>267</v>
      </c>
      <c r="K27">
        <v>0</v>
      </c>
      <c r="L27" t="s">
        <v>251</v>
      </c>
      <c r="N27" t="s">
        <v>419</v>
      </c>
      <c r="O27" t="s">
        <v>267</v>
      </c>
      <c r="P27">
        <v>2.8256257914633733E-2</v>
      </c>
      <c r="Q27" t="s">
        <v>251</v>
      </c>
      <c r="S27" t="s">
        <v>420</v>
      </c>
      <c r="T27" t="s">
        <v>267</v>
      </c>
      <c r="U27">
        <v>1.9682460027021023E-2</v>
      </c>
      <c r="V27" t="s">
        <v>251</v>
      </c>
      <c r="X27">
        <v>2.1232876712328767E-2</v>
      </c>
      <c r="Y27">
        <v>4.5420116185598634E-3</v>
      </c>
      <c r="Z27" t="s">
        <v>267</v>
      </c>
      <c r="AA27" t="s">
        <v>25</v>
      </c>
      <c r="AC27" t="s">
        <v>22</v>
      </c>
      <c r="AD27" t="s">
        <v>267</v>
      </c>
      <c r="AE27">
        <v>2.3711587136367566E-2</v>
      </c>
      <c r="AG27" t="s">
        <v>99</v>
      </c>
      <c r="AH27" t="s">
        <v>267</v>
      </c>
      <c r="AI27">
        <v>0.11638577900886826</v>
      </c>
    </row>
    <row r="28" spans="3:35" x14ac:dyDescent="0.45">
      <c r="I28" t="s">
        <v>249</v>
      </c>
      <c r="J28" t="s">
        <v>268</v>
      </c>
      <c r="K28">
        <v>3.8870564019590214E-4</v>
      </c>
      <c r="L28" t="s">
        <v>251</v>
      </c>
      <c r="N28" t="s">
        <v>419</v>
      </c>
      <c r="O28" t="s">
        <v>268</v>
      </c>
      <c r="P28">
        <v>4.3642596673502199E-3</v>
      </c>
      <c r="Q28" t="s">
        <v>251</v>
      </c>
      <c r="S28" t="s">
        <v>420</v>
      </c>
      <c r="T28" t="s">
        <v>268</v>
      </c>
      <c r="U28">
        <v>3.2677551220692386E-3</v>
      </c>
      <c r="V28" t="s">
        <v>251</v>
      </c>
      <c r="X28">
        <v>3.5388127853881279E-3</v>
      </c>
      <c r="Y28">
        <v>5.240782636799844E-3</v>
      </c>
      <c r="Z28" t="s">
        <v>268</v>
      </c>
      <c r="AA28" t="s">
        <v>25</v>
      </c>
      <c r="AC28" t="s">
        <v>22</v>
      </c>
      <c r="AD28" t="s">
        <v>268</v>
      </c>
      <c r="AE28">
        <v>3.9961661127941236E-3</v>
      </c>
      <c r="AG28" t="s">
        <v>99</v>
      </c>
      <c r="AH28" t="s">
        <v>268</v>
      </c>
      <c r="AI28">
        <v>9.82212681904302E-2</v>
      </c>
    </row>
    <row r="29" spans="3:35" x14ac:dyDescent="0.45">
      <c r="I29" t="s">
        <v>249</v>
      </c>
      <c r="J29" t="s">
        <v>269</v>
      </c>
      <c r="K29">
        <v>4.9796343443622004E-3</v>
      </c>
      <c r="L29" t="s">
        <v>251</v>
      </c>
      <c r="N29" t="s">
        <v>419</v>
      </c>
      <c r="O29" t="s">
        <v>269</v>
      </c>
      <c r="P29">
        <v>3.9802360242095422E-3</v>
      </c>
      <c r="Q29" t="s">
        <v>251</v>
      </c>
      <c r="S29" t="s">
        <v>420</v>
      </c>
      <c r="T29" t="s">
        <v>269</v>
      </c>
      <c r="U29">
        <v>3.2577080412417832E-3</v>
      </c>
      <c r="V29" t="s">
        <v>251</v>
      </c>
      <c r="X29">
        <v>3.5388127853881279E-3</v>
      </c>
      <c r="Y29">
        <v>5.9087255218821738E-3</v>
      </c>
      <c r="Z29" t="s">
        <v>269</v>
      </c>
      <c r="AA29" t="s">
        <v>25</v>
      </c>
      <c r="AC29" t="s">
        <v>22</v>
      </c>
      <c r="AD29" t="s">
        <v>269</v>
      </c>
      <c r="AE29">
        <v>3.9885176288667074E-3</v>
      </c>
      <c r="AG29" t="s">
        <v>99</v>
      </c>
      <c r="AH29" t="s">
        <v>269</v>
      </c>
      <c r="AI29">
        <v>6.8143564656164113E-2</v>
      </c>
    </row>
    <row r="30" spans="3:35" x14ac:dyDescent="0.45">
      <c r="I30" t="s">
        <v>249</v>
      </c>
      <c r="J30" t="s">
        <v>270</v>
      </c>
      <c r="K30">
        <v>5.1897645322585798E-2</v>
      </c>
      <c r="L30" t="s">
        <v>251</v>
      </c>
      <c r="N30" t="s">
        <v>419</v>
      </c>
      <c r="O30" t="s">
        <v>270</v>
      </c>
      <c r="P30">
        <v>1.8503689500717891E-2</v>
      </c>
      <c r="Q30" t="s">
        <v>251</v>
      </c>
      <c r="S30" t="s">
        <v>420</v>
      </c>
      <c r="T30" t="s">
        <v>270</v>
      </c>
      <c r="U30">
        <v>1.9330486528263999E-2</v>
      </c>
      <c r="V30" t="s">
        <v>251</v>
      </c>
      <c r="X30">
        <v>2.1232876712328767E-2</v>
      </c>
      <c r="Y30">
        <v>2.6758819580836844E-2</v>
      </c>
      <c r="Z30" t="s">
        <v>270</v>
      </c>
      <c r="AA30" t="s">
        <v>25</v>
      </c>
      <c r="AC30" t="s">
        <v>22</v>
      </c>
      <c r="AD30" t="s">
        <v>270</v>
      </c>
      <c r="AE30">
        <v>2.2135749263266054E-2</v>
      </c>
      <c r="AG30" t="s">
        <v>99</v>
      </c>
      <c r="AH30" t="s">
        <v>270</v>
      </c>
      <c r="AI30">
        <v>0.13173562310592568</v>
      </c>
    </row>
    <row r="31" spans="3:35" x14ac:dyDescent="0.45">
      <c r="I31" t="s">
        <v>249</v>
      </c>
      <c r="J31" t="s">
        <v>271</v>
      </c>
      <c r="K31">
        <v>2.3890633137586399E-2</v>
      </c>
      <c r="L31" t="s">
        <v>251</v>
      </c>
      <c r="N31" t="s">
        <v>419</v>
      </c>
      <c r="O31" t="s">
        <v>271</v>
      </c>
      <c r="P31">
        <v>8.4908130991335727E-3</v>
      </c>
      <c r="Q31" t="s">
        <v>251</v>
      </c>
      <c r="S31" t="s">
        <v>420</v>
      </c>
      <c r="T31" t="s">
        <v>271</v>
      </c>
      <c r="U31">
        <v>9.3069590820403277E-3</v>
      </c>
      <c r="V31" t="s">
        <v>251</v>
      </c>
      <c r="X31">
        <v>1.0616438356164383E-2</v>
      </c>
      <c r="Y31">
        <v>1.6893816970390073E-2</v>
      </c>
      <c r="Z31" t="s">
        <v>271</v>
      </c>
      <c r="AA31" t="s">
        <v>25</v>
      </c>
      <c r="AC31" t="s">
        <v>22</v>
      </c>
      <c r="AD31" t="s">
        <v>271</v>
      </c>
      <c r="AE31">
        <v>8.0994765750551992E-3</v>
      </c>
      <c r="AG31" t="s">
        <v>99</v>
      </c>
      <c r="AH31" t="s">
        <v>271</v>
      </c>
      <c r="AI31">
        <v>8.4242662862822781E-2</v>
      </c>
    </row>
    <row r="32" spans="3:35" x14ac:dyDescent="0.45">
      <c r="I32" t="s">
        <v>249</v>
      </c>
      <c r="J32" t="s">
        <v>272</v>
      </c>
      <c r="K32">
        <v>6.1164188379895998E-3</v>
      </c>
      <c r="L32" t="s">
        <v>251</v>
      </c>
      <c r="N32" t="s">
        <v>419</v>
      </c>
      <c r="O32" t="s">
        <v>272</v>
      </c>
      <c r="P32">
        <v>3.2255779984932246E-3</v>
      </c>
      <c r="Q32" t="s">
        <v>251</v>
      </c>
      <c r="S32" t="s">
        <v>420</v>
      </c>
      <c r="T32" t="s">
        <v>272</v>
      </c>
      <c r="U32">
        <v>3.1185031283167E-3</v>
      </c>
      <c r="V32" t="s">
        <v>251</v>
      </c>
      <c r="X32">
        <v>3.5388127853881279E-3</v>
      </c>
      <c r="Y32">
        <v>6.8849497385409693E-3</v>
      </c>
      <c r="Z32" t="s">
        <v>272</v>
      </c>
      <c r="AA32" t="s">
        <v>25</v>
      </c>
      <c r="AC32" t="s">
        <v>22</v>
      </c>
      <c r="AD32" t="s">
        <v>272</v>
      </c>
      <c r="AE32">
        <v>2.5503286394059593E-3</v>
      </c>
      <c r="AG32" t="s">
        <v>99</v>
      </c>
      <c r="AH32" t="s">
        <v>272</v>
      </c>
      <c r="AI32">
        <v>5.8054213283028178E-2</v>
      </c>
    </row>
    <row r="33" spans="9:35" x14ac:dyDescent="0.45">
      <c r="I33" t="s">
        <v>249</v>
      </c>
      <c r="J33" t="s">
        <v>273</v>
      </c>
      <c r="K33">
        <v>3.7733047864497546E-3</v>
      </c>
      <c r="L33" t="s">
        <v>251</v>
      </c>
      <c r="N33" t="s">
        <v>419</v>
      </c>
      <c r="O33" t="s">
        <v>273</v>
      </c>
      <c r="P33">
        <v>3.419858473822849E-3</v>
      </c>
      <c r="Q33" t="s">
        <v>251</v>
      </c>
      <c r="S33" t="s">
        <v>420</v>
      </c>
      <c r="T33" t="s">
        <v>273</v>
      </c>
      <c r="U33">
        <v>3.1769901080109329E-3</v>
      </c>
      <c r="V33" t="s">
        <v>251</v>
      </c>
      <c r="X33">
        <v>3.5388127853881279E-3</v>
      </c>
      <c r="Y33">
        <v>5.3435430806586613E-3</v>
      </c>
      <c r="Z33" t="s">
        <v>273</v>
      </c>
      <c r="AA33" t="s">
        <v>25</v>
      </c>
      <c r="AC33" t="s">
        <v>22</v>
      </c>
      <c r="AD33" t="s">
        <v>273</v>
      </c>
      <c r="AE33">
        <v>2.5599130713679637E-3</v>
      </c>
      <c r="AG33" t="s">
        <v>99</v>
      </c>
      <c r="AH33" t="s">
        <v>273</v>
      </c>
      <c r="AI33">
        <v>4.435631490733738E-2</v>
      </c>
    </row>
    <row r="34" spans="9:35" x14ac:dyDescent="0.45">
      <c r="I34" t="s">
        <v>249</v>
      </c>
      <c r="J34" t="s">
        <v>274</v>
      </c>
      <c r="K34">
        <v>5.3177883933484631E-5</v>
      </c>
      <c r="L34" t="s">
        <v>251</v>
      </c>
      <c r="N34" t="s">
        <v>419</v>
      </c>
      <c r="O34" t="s">
        <v>274</v>
      </c>
      <c r="P34">
        <v>2.3181079674091134E-2</v>
      </c>
      <c r="Q34" t="s">
        <v>251</v>
      </c>
      <c r="S34" t="s">
        <v>420</v>
      </c>
      <c r="T34" t="s">
        <v>274</v>
      </c>
      <c r="U34">
        <v>1.613114842353618E-2</v>
      </c>
      <c r="V34" t="s">
        <v>251</v>
      </c>
      <c r="X34">
        <v>1.7694063926940638E-2</v>
      </c>
      <c r="Y34">
        <v>1.3358857701646654E-2</v>
      </c>
      <c r="Z34" t="s">
        <v>274</v>
      </c>
      <c r="AA34" t="s">
        <v>25</v>
      </c>
      <c r="AC34" t="s">
        <v>22</v>
      </c>
      <c r="AD34" t="s">
        <v>274</v>
      </c>
      <c r="AE34">
        <v>1.7047916945675982E-2</v>
      </c>
      <c r="AG34" t="s">
        <v>99</v>
      </c>
      <c r="AH34" t="s">
        <v>274</v>
      </c>
      <c r="AI34">
        <v>0.15879766383465954</v>
      </c>
    </row>
    <row r="35" spans="9:35" x14ac:dyDescent="0.45">
      <c r="I35" t="s">
        <v>249</v>
      </c>
      <c r="J35" t="s">
        <v>275</v>
      </c>
      <c r="K35">
        <v>0</v>
      </c>
      <c r="L35" t="s">
        <v>251</v>
      </c>
      <c r="N35" t="s">
        <v>419</v>
      </c>
      <c r="O35" t="s">
        <v>275</v>
      </c>
      <c r="P35">
        <v>2.0389424056945722E-2</v>
      </c>
      <c r="Q35" t="s">
        <v>251</v>
      </c>
      <c r="S35" t="s">
        <v>420</v>
      </c>
      <c r="T35" t="s">
        <v>275</v>
      </c>
      <c r="U35">
        <v>1.9415336490079316E-2</v>
      </c>
      <c r="V35" t="s">
        <v>251</v>
      </c>
      <c r="X35">
        <v>2.0547945205479451E-2</v>
      </c>
      <c r="Y35">
        <v>4.3954951147353507E-3</v>
      </c>
      <c r="Z35" t="s">
        <v>275</v>
      </c>
      <c r="AA35" t="s">
        <v>25</v>
      </c>
      <c r="AC35" t="s">
        <v>22</v>
      </c>
      <c r="AD35" t="s">
        <v>275</v>
      </c>
      <c r="AE35">
        <v>2.2301014114127767E-2</v>
      </c>
      <c r="AG35" t="s">
        <v>99</v>
      </c>
      <c r="AH35" t="s">
        <v>275</v>
      </c>
      <c r="AI35">
        <v>4.9626454518111318E-2</v>
      </c>
    </row>
    <row r="36" spans="9:35" x14ac:dyDescent="0.45">
      <c r="I36" t="s">
        <v>249</v>
      </c>
      <c r="J36" t="s">
        <v>276</v>
      </c>
      <c r="K36">
        <v>2.0517109116268366E-6</v>
      </c>
      <c r="L36" t="s">
        <v>251</v>
      </c>
      <c r="N36" t="s">
        <v>419</v>
      </c>
      <c r="O36" t="s">
        <v>276</v>
      </c>
      <c r="P36">
        <v>3.1607267371689613E-3</v>
      </c>
      <c r="Q36" t="s">
        <v>251</v>
      </c>
      <c r="S36" t="s">
        <v>420</v>
      </c>
      <c r="T36" t="s">
        <v>276</v>
      </c>
      <c r="U36">
        <v>3.2289324244967454E-3</v>
      </c>
      <c r="V36" t="s">
        <v>251</v>
      </c>
      <c r="X36">
        <v>3.4246575342465752E-3</v>
      </c>
      <c r="Y36">
        <v>5.0717251323869452E-3</v>
      </c>
      <c r="Z36" t="s">
        <v>276</v>
      </c>
      <c r="AA36" t="s">
        <v>25</v>
      </c>
      <c r="AC36" t="s">
        <v>22</v>
      </c>
      <c r="AD36" t="s">
        <v>276</v>
      </c>
      <c r="AE36">
        <v>3.73658632681621E-3</v>
      </c>
      <c r="AG36" t="s">
        <v>99</v>
      </c>
      <c r="AH36" t="s">
        <v>276</v>
      </c>
      <c r="AI36">
        <v>4.0869223385679998E-2</v>
      </c>
    </row>
    <row r="37" spans="9:35" x14ac:dyDescent="0.45">
      <c r="I37" t="s">
        <v>249</v>
      </c>
      <c r="J37" t="s">
        <v>277</v>
      </c>
      <c r="K37">
        <v>4.2034545150900051E-3</v>
      </c>
      <c r="L37" t="s">
        <v>251</v>
      </c>
      <c r="N37" t="s">
        <v>419</v>
      </c>
      <c r="O37" t="s">
        <v>277</v>
      </c>
      <c r="P37">
        <v>2.976389370092905E-3</v>
      </c>
      <c r="Q37" t="s">
        <v>251</v>
      </c>
      <c r="S37" t="s">
        <v>420</v>
      </c>
      <c r="T37" t="s">
        <v>277</v>
      </c>
      <c r="U37">
        <v>3.1787996386982288E-3</v>
      </c>
      <c r="V37" t="s">
        <v>251</v>
      </c>
      <c r="X37">
        <v>3.4246575342465752E-3</v>
      </c>
      <c r="Y37">
        <v>5.7181214727892006E-3</v>
      </c>
      <c r="Z37" t="s">
        <v>277</v>
      </c>
      <c r="AA37" t="s">
        <v>25</v>
      </c>
      <c r="AC37" t="s">
        <v>22</v>
      </c>
      <c r="AD37" t="s">
        <v>277</v>
      </c>
      <c r="AE37">
        <v>3.764362713540153E-3</v>
      </c>
      <c r="AG37" t="s">
        <v>99</v>
      </c>
      <c r="AH37" t="s">
        <v>277</v>
      </c>
      <c r="AI37">
        <v>3.5724129158097861E-2</v>
      </c>
    </row>
    <row r="38" spans="9:35" x14ac:dyDescent="0.45">
      <c r="I38" t="s">
        <v>249</v>
      </c>
      <c r="J38" t="s">
        <v>278</v>
      </c>
      <c r="K38">
        <v>4.4356241580810703E-2</v>
      </c>
      <c r="L38" t="s">
        <v>251</v>
      </c>
      <c r="N38" t="s">
        <v>419</v>
      </c>
      <c r="O38" t="s">
        <v>278</v>
      </c>
      <c r="P38">
        <v>1.0653333459856721E-2</v>
      </c>
      <c r="Q38" t="s">
        <v>251</v>
      </c>
      <c r="S38" t="s">
        <v>420</v>
      </c>
      <c r="T38" t="s">
        <v>278</v>
      </c>
      <c r="U38">
        <v>1.8406815010020155E-2</v>
      </c>
      <c r="V38" t="s">
        <v>251</v>
      </c>
      <c r="X38">
        <v>2.0547945205479451E-2</v>
      </c>
      <c r="Y38">
        <v>2.5895631852422749E-2</v>
      </c>
      <c r="Z38" t="s">
        <v>278</v>
      </c>
      <c r="AA38" t="s">
        <v>25</v>
      </c>
      <c r="AC38" t="s">
        <v>22</v>
      </c>
      <c r="AD38" t="s">
        <v>278</v>
      </c>
      <c r="AE38">
        <v>2.1776342412938632E-2</v>
      </c>
      <c r="AG38" t="s">
        <v>99</v>
      </c>
      <c r="AH38" t="s">
        <v>278</v>
      </c>
      <c r="AI38">
        <v>6.7959091165817664E-2</v>
      </c>
    </row>
    <row r="39" spans="9:35" x14ac:dyDescent="0.45">
      <c r="I39" t="s">
        <v>249</v>
      </c>
      <c r="J39" t="s">
        <v>279</v>
      </c>
      <c r="K39">
        <v>2.00173866079956E-2</v>
      </c>
      <c r="L39" t="s">
        <v>251</v>
      </c>
      <c r="N39" t="s">
        <v>419</v>
      </c>
      <c r="O39" t="s">
        <v>279</v>
      </c>
      <c r="P39">
        <v>4.6384492328032031E-3</v>
      </c>
      <c r="Q39" t="s">
        <v>251</v>
      </c>
      <c r="S39" t="s">
        <v>420</v>
      </c>
      <c r="T39" t="s">
        <v>279</v>
      </c>
      <c r="U39">
        <v>9.3006190060524845E-3</v>
      </c>
      <c r="V39" t="s">
        <v>251</v>
      </c>
      <c r="X39">
        <v>1.0273972602739725E-2</v>
      </c>
      <c r="Y39">
        <v>1.6348855132635558E-2</v>
      </c>
      <c r="Z39" t="s">
        <v>279</v>
      </c>
      <c r="AA39" t="s">
        <v>25</v>
      </c>
      <c r="AC39" t="s">
        <v>22</v>
      </c>
      <c r="AD39" t="s">
        <v>279</v>
      </c>
      <c r="AE39">
        <v>8.0391169002698298E-3</v>
      </c>
      <c r="AG39" t="s">
        <v>99</v>
      </c>
      <c r="AH39" t="s">
        <v>279</v>
      </c>
      <c r="AI39">
        <v>0.10474634976168629</v>
      </c>
    </row>
    <row r="40" spans="9:35" x14ac:dyDescent="0.45">
      <c r="I40" t="s">
        <v>249</v>
      </c>
      <c r="J40" t="s">
        <v>280</v>
      </c>
      <c r="K40">
        <v>4.9464738077248001E-3</v>
      </c>
      <c r="L40" t="s">
        <v>251</v>
      </c>
      <c r="N40" t="s">
        <v>419</v>
      </c>
      <c r="O40" t="s">
        <v>280</v>
      </c>
      <c r="P40">
        <v>1.7672870015609293E-3</v>
      </c>
      <c r="Q40" t="s">
        <v>251</v>
      </c>
      <c r="S40" t="s">
        <v>420</v>
      </c>
      <c r="T40" t="s">
        <v>280</v>
      </c>
      <c r="U40">
        <v>3.1644740752954916E-3</v>
      </c>
      <c r="V40" t="s">
        <v>251</v>
      </c>
      <c r="X40">
        <v>3.4246575342465752E-3</v>
      </c>
      <c r="Y40">
        <v>6.662854585684809E-3</v>
      </c>
      <c r="Z40" t="s">
        <v>280</v>
      </c>
      <c r="AA40" t="s">
        <v>25</v>
      </c>
      <c r="AC40" t="s">
        <v>22</v>
      </c>
      <c r="AD40" t="s">
        <v>280</v>
      </c>
      <c r="AE40">
        <v>2.3604012853309128E-3</v>
      </c>
      <c r="AG40" t="s">
        <v>99</v>
      </c>
      <c r="AH40" t="s">
        <v>280</v>
      </c>
      <c r="AI40">
        <v>1.3512367730849295E-2</v>
      </c>
    </row>
    <row r="41" spans="9:35" x14ac:dyDescent="0.45">
      <c r="I41" t="s">
        <v>249</v>
      </c>
      <c r="J41" t="s">
        <v>281</v>
      </c>
      <c r="K41">
        <v>2.0025868097443083E-3</v>
      </c>
      <c r="L41" t="s">
        <v>251</v>
      </c>
      <c r="N41" t="s">
        <v>419</v>
      </c>
      <c r="O41" t="s">
        <v>281</v>
      </c>
      <c r="P41">
        <v>2.0148571403143531E-3</v>
      </c>
      <c r="Q41" t="s">
        <v>251</v>
      </c>
      <c r="S41" t="s">
        <v>420</v>
      </c>
      <c r="T41" t="s">
        <v>281</v>
      </c>
      <c r="U41">
        <v>3.1611429117214063E-3</v>
      </c>
      <c r="V41" t="s">
        <v>251</v>
      </c>
      <c r="X41">
        <v>3.4246575342465752E-3</v>
      </c>
      <c r="Y41">
        <v>5.1711707232180593E-3</v>
      </c>
      <c r="Z41" t="s">
        <v>281</v>
      </c>
      <c r="AA41" t="s">
        <v>25</v>
      </c>
      <c r="AC41" t="s">
        <v>22</v>
      </c>
      <c r="AD41" t="s">
        <v>281</v>
      </c>
      <c r="AE41">
        <v>2.3763594538990973E-3</v>
      </c>
      <c r="AG41" t="s">
        <v>99</v>
      </c>
      <c r="AH41" t="s">
        <v>281</v>
      </c>
      <c r="AI41">
        <v>1.7165333712501507E-2</v>
      </c>
    </row>
    <row r="42" spans="9:35" x14ac:dyDescent="0.45">
      <c r="I42" t="s">
        <v>249</v>
      </c>
      <c r="J42" t="s">
        <v>282</v>
      </c>
      <c r="K42">
        <v>0</v>
      </c>
      <c r="L42" t="s">
        <v>251</v>
      </c>
      <c r="N42" t="s">
        <v>419</v>
      </c>
      <c r="O42" t="s">
        <v>282</v>
      </c>
      <c r="P42">
        <v>1.4925971407484051E-2</v>
      </c>
      <c r="Q42" t="s">
        <v>251</v>
      </c>
      <c r="S42" t="s">
        <v>420</v>
      </c>
      <c r="T42" t="s">
        <v>282</v>
      </c>
      <c r="U42">
        <v>1.5948499659726105E-2</v>
      </c>
      <c r="V42" t="s">
        <v>251</v>
      </c>
      <c r="X42">
        <v>1.7123287671232876E-2</v>
      </c>
      <c r="Y42">
        <v>1.2927926808045149E-2</v>
      </c>
      <c r="Z42" t="s">
        <v>282</v>
      </c>
      <c r="AA42" t="s">
        <v>25</v>
      </c>
      <c r="AC42" t="s">
        <v>22</v>
      </c>
      <c r="AD42" t="s">
        <v>282</v>
      </c>
      <c r="AE42">
        <v>1.5578099873551859E-2</v>
      </c>
      <c r="AG42" t="s">
        <v>99</v>
      </c>
      <c r="AH42" t="s">
        <v>282</v>
      </c>
      <c r="AI42">
        <v>0.17748445228691057</v>
      </c>
    </row>
    <row r="43" spans="9:35" x14ac:dyDescent="0.45">
      <c r="I43" t="s">
        <v>249</v>
      </c>
      <c r="J43" t="s">
        <v>283</v>
      </c>
      <c r="K43">
        <v>0</v>
      </c>
      <c r="L43" t="s">
        <v>251</v>
      </c>
      <c r="N43" t="s">
        <v>419</v>
      </c>
      <c r="O43" t="s">
        <v>283</v>
      </c>
      <c r="P43">
        <v>2.2617567734358284E-2</v>
      </c>
      <c r="Q43" t="s">
        <v>251</v>
      </c>
      <c r="S43" t="s">
        <v>420</v>
      </c>
      <c r="T43" t="s">
        <v>283</v>
      </c>
      <c r="U43">
        <v>1.8121919888916246E-2</v>
      </c>
      <c r="V43" t="s">
        <v>251</v>
      </c>
      <c r="X43">
        <v>2.1232876712328767E-2</v>
      </c>
      <c r="Y43">
        <v>4.5420116185598634E-3</v>
      </c>
      <c r="Z43" t="s">
        <v>283</v>
      </c>
      <c r="AA43" t="s">
        <v>25</v>
      </c>
      <c r="AC43" t="s">
        <v>22</v>
      </c>
      <c r="AD43" t="s">
        <v>283</v>
      </c>
      <c r="AE43">
        <v>2.3166614754246737E-2</v>
      </c>
      <c r="AG43" t="s">
        <v>99</v>
      </c>
      <c r="AH43" t="s">
        <v>283</v>
      </c>
      <c r="AI43">
        <v>7.3161642999288068E-2</v>
      </c>
    </row>
    <row r="44" spans="9:35" x14ac:dyDescent="0.45">
      <c r="I44" t="s">
        <v>249</v>
      </c>
      <c r="J44" t="s">
        <v>284</v>
      </c>
      <c r="K44">
        <v>0</v>
      </c>
      <c r="L44" t="s">
        <v>251</v>
      </c>
      <c r="N44" t="s">
        <v>419</v>
      </c>
      <c r="O44" t="s">
        <v>284</v>
      </c>
      <c r="P44">
        <v>3.6344881186090496E-3</v>
      </c>
      <c r="Q44" t="s">
        <v>251</v>
      </c>
      <c r="S44" t="s">
        <v>420</v>
      </c>
      <c r="T44" t="s">
        <v>284</v>
      </c>
      <c r="U44">
        <v>2.8399858353747587E-3</v>
      </c>
      <c r="V44" t="s">
        <v>251</v>
      </c>
      <c r="X44">
        <v>3.5388127853881279E-3</v>
      </c>
      <c r="Y44">
        <v>5.240782636799844E-3</v>
      </c>
      <c r="Z44" t="s">
        <v>284</v>
      </c>
      <c r="AA44" t="s">
        <v>25</v>
      </c>
      <c r="AC44" t="s">
        <v>22</v>
      </c>
      <c r="AD44" t="s">
        <v>284</v>
      </c>
      <c r="AE44">
        <v>3.8560471526861892E-3</v>
      </c>
      <c r="AG44" t="s">
        <v>99</v>
      </c>
      <c r="AH44" t="s">
        <v>284</v>
      </c>
      <c r="AI44">
        <v>6.2550512635513256E-2</v>
      </c>
    </row>
    <row r="45" spans="9:35" x14ac:dyDescent="0.45">
      <c r="I45" t="s">
        <v>249</v>
      </c>
      <c r="J45" t="s">
        <v>285</v>
      </c>
      <c r="K45">
        <v>1.9086333504159257E-3</v>
      </c>
      <c r="L45" t="s">
        <v>251</v>
      </c>
      <c r="N45" t="s">
        <v>419</v>
      </c>
      <c r="O45" t="s">
        <v>285</v>
      </c>
      <c r="P45">
        <v>3.547331549681293E-3</v>
      </c>
      <c r="Q45" t="s">
        <v>251</v>
      </c>
      <c r="S45" t="s">
        <v>420</v>
      </c>
      <c r="T45" t="s">
        <v>285</v>
      </c>
      <c r="U45">
        <v>2.7677732040331075E-3</v>
      </c>
      <c r="V45" t="s">
        <v>251</v>
      </c>
      <c r="X45">
        <v>3.5388127853881279E-3</v>
      </c>
      <c r="Y45">
        <v>5.9087255218821738E-3</v>
      </c>
      <c r="Z45" t="s">
        <v>285</v>
      </c>
      <c r="AA45" t="s">
        <v>25</v>
      </c>
      <c r="AC45" t="s">
        <v>22</v>
      </c>
      <c r="AD45" t="s">
        <v>285</v>
      </c>
      <c r="AE45">
        <v>3.9229475599983511E-3</v>
      </c>
      <c r="AG45" t="s">
        <v>99</v>
      </c>
      <c r="AH45" t="s">
        <v>285</v>
      </c>
      <c r="AI45">
        <v>4.9077188056095178E-2</v>
      </c>
    </row>
    <row r="46" spans="9:35" x14ac:dyDescent="0.45">
      <c r="I46" t="s">
        <v>249</v>
      </c>
      <c r="J46" t="s">
        <v>286</v>
      </c>
      <c r="K46">
        <v>3.5104076765239058E-2</v>
      </c>
      <c r="L46" t="s">
        <v>251</v>
      </c>
      <c r="N46" t="s">
        <v>419</v>
      </c>
      <c r="O46" t="s">
        <v>286</v>
      </c>
      <c r="P46">
        <v>1.6002628865701567E-2</v>
      </c>
      <c r="Q46" t="s">
        <v>251</v>
      </c>
      <c r="S46" t="s">
        <v>420</v>
      </c>
      <c r="T46" t="s">
        <v>286</v>
      </c>
      <c r="U46">
        <v>1.6256338503658655E-2</v>
      </c>
      <c r="V46" t="s">
        <v>251</v>
      </c>
      <c r="X46">
        <v>2.1232876712328767E-2</v>
      </c>
      <c r="Y46">
        <v>2.6758819580836844E-2</v>
      </c>
      <c r="Z46" t="s">
        <v>286</v>
      </c>
      <c r="AA46" t="s">
        <v>25</v>
      </c>
      <c r="AC46" t="s">
        <v>22</v>
      </c>
      <c r="AD46" t="s">
        <v>286</v>
      </c>
      <c r="AE46">
        <v>2.3201187807762876E-2</v>
      </c>
      <c r="AG46" t="s">
        <v>99</v>
      </c>
      <c r="AH46" t="s">
        <v>286</v>
      </c>
      <c r="AI46">
        <v>0.10990662794279604</v>
      </c>
    </row>
    <row r="47" spans="9:35" x14ac:dyDescent="0.45">
      <c r="I47" t="s">
        <v>249</v>
      </c>
      <c r="J47" t="s">
        <v>287</v>
      </c>
      <c r="K47">
        <v>1.5174667746667668E-2</v>
      </c>
      <c r="L47" t="s">
        <v>251</v>
      </c>
      <c r="N47" t="s">
        <v>419</v>
      </c>
      <c r="O47" t="s">
        <v>287</v>
      </c>
      <c r="P47">
        <v>7.0880973707008509E-3</v>
      </c>
      <c r="Q47" t="s">
        <v>251</v>
      </c>
      <c r="S47" t="s">
        <v>420</v>
      </c>
      <c r="T47" t="s">
        <v>287</v>
      </c>
      <c r="U47">
        <v>8.252896410342582E-3</v>
      </c>
      <c r="V47" t="s">
        <v>251</v>
      </c>
      <c r="X47">
        <v>1.0616438356164383E-2</v>
      </c>
      <c r="Y47">
        <v>1.6893816970390073E-2</v>
      </c>
      <c r="Z47" t="s">
        <v>287</v>
      </c>
      <c r="AA47" t="s">
        <v>25</v>
      </c>
      <c r="AC47" t="s">
        <v>22</v>
      </c>
      <c r="AD47" t="s">
        <v>287</v>
      </c>
      <c r="AE47">
        <v>8.5348682936509154E-3</v>
      </c>
      <c r="AG47" t="s">
        <v>99</v>
      </c>
      <c r="AH47" t="s">
        <v>287</v>
      </c>
      <c r="AI47">
        <v>9.1876227455286008E-2</v>
      </c>
    </row>
    <row r="48" spans="9:35" x14ac:dyDescent="0.45">
      <c r="I48" t="s">
        <v>249</v>
      </c>
      <c r="J48" t="s">
        <v>288</v>
      </c>
      <c r="K48">
        <v>3.5448947224891443E-3</v>
      </c>
      <c r="L48" t="s">
        <v>251</v>
      </c>
      <c r="N48" t="s">
        <v>419</v>
      </c>
      <c r="O48" t="s">
        <v>288</v>
      </c>
      <c r="P48">
        <v>2.4027081750016607E-3</v>
      </c>
      <c r="Q48" t="s">
        <v>251</v>
      </c>
      <c r="S48" t="s">
        <v>420</v>
      </c>
      <c r="T48" t="s">
        <v>288</v>
      </c>
      <c r="U48">
        <v>2.9068127754390887E-3</v>
      </c>
      <c r="V48" t="s">
        <v>251</v>
      </c>
      <c r="X48">
        <v>3.5388127853881279E-3</v>
      </c>
      <c r="Y48">
        <v>6.8849497385409693E-3</v>
      </c>
      <c r="Z48" t="s">
        <v>288</v>
      </c>
      <c r="AA48" t="s">
        <v>25</v>
      </c>
      <c r="AC48" t="s">
        <v>22</v>
      </c>
      <c r="AD48" t="s">
        <v>288</v>
      </c>
      <c r="AE48">
        <v>2.4583760663985628E-3</v>
      </c>
      <c r="AG48" t="s">
        <v>99</v>
      </c>
      <c r="AH48" t="s">
        <v>288</v>
      </c>
      <c r="AI48">
        <v>1.0080620446456745E-2</v>
      </c>
    </row>
    <row r="49" spans="9:35" x14ac:dyDescent="0.45">
      <c r="I49" t="s">
        <v>249</v>
      </c>
      <c r="J49" t="s">
        <v>289</v>
      </c>
      <c r="K49">
        <v>5.2343147353180468E-4</v>
      </c>
      <c r="L49" t="s">
        <v>251</v>
      </c>
      <c r="N49" t="s">
        <v>419</v>
      </c>
      <c r="O49" t="s">
        <v>289</v>
      </c>
      <c r="P49">
        <v>2.6989413513743396E-3</v>
      </c>
      <c r="Q49" t="s">
        <v>251</v>
      </c>
      <c r="S49" t="s">
        <v>420</v>
      </c>
      <c r="T49" t="s">
        <v>289</v>
      </c>
      <c r="U49">
        <v>2.9667193514552386E-3</v>
      </c>
      <c r="V49" t="s">
        <v>251</v>
      </c>
      <c r="X49">
        <v>3.5388127853881279E-3</v>
      </c>
      <c r="Y49">
        <v>5.3435430806586613E-3</v>
      </c>
      <c r="Z49" t="s">
        <v>289</v>
      </c>
      <c r="AA49" t="s">
        <v>25</v>
      </c>
      <c r="AC49" t="s">
        <v>22</v>
      </c>
      <c r="AD49" t="s">
        <v>289</v>
      </c>
      <c r="AE49">
        <v>2.4833229906104171E-3</v>
      </c>
      <c r="AG49" t="s">
        <v>99</v>
      </c>
      <c r="AH49" t="s">
        <v>289</v>
      </c>
      <c r="AI49">
        <v>1.2916306074604922E-2</v>
      </c>
    </row>
    <row r="50" spans="9:35" x14ac:dyDescent="0.45">
      <c r="I50" t="s">
        <v>249</v>
      </c>
      <c r="J50" t="s">
        <v>290</v>
      </c>
      <c r="K50">
        <v>0</v>
      </c>
      <c r="L50" t="s">
        <v>251</v>
      </c>
      <c r="N50" t="s">
        <v>419</v>
      </c>
      <c r="O50" t="s">
        <v>290</v>
      </c>
      <c r="P50">
        <v>1.7466729395622826E-2</v>
      </c>
      <c r="Q50" t="s">
        <v>251</v>
      </c>
      <c r="S50" t="s">
        <v>420</v>
      </c>
      <c r="T50" t="s">
        <v>290</v>
      </c>
      <c r="U50">
        <v>1.5286969146846846E-2</v>
      </c>
      <c r="V50" t="s">
        <v>251</v>
      </c>
      <c r="X50">
        <v>1.7694063926940638E-2</v>
      </c>
      <c r="Y50">
        <v>1.3358857701646654E-2</v>
      </c>
      <c r="Z50" t="s">
        <v>290</v>
      </c>
      <c r="AA50" t="s">
        <v>25</v>
      </c>
      <c r="AC50" t="s">
        <v>22</v>
      </c>
      <c r="AD50" t="s">
        <v>290</v>
      </c>
      <c r="AE50">
        <v>1.6214694812859108E-2</v>
      </c>
      <c r="AG50" t="s">
        <v>99</v>
      </c>
      <c r="AH50" t="s">
        <v>290</v>
      </c>
      <c r="AI50">
        <v>0.2208955727201567</v>
      </c>
    </row>
    <row r="51" spans="9:35" x14ac:dyDescent="0.45">
      <c r="I51" t="s">
        <v>249</v>
      </c>
      <c r="J51" t="s">
        <v>291</v>
      </c>
      <c r="K51">
        <v>0</v>
      </c>
      <c r="L51" t="s">
        <v>251</v>
      </c>
      <c r="N51" t="s">
        <v>419</v>
      </c>
      <c r="O51" t="s">
        <v>291</v>
      </c>
      <c r="P51">
        <v>1.7340868915542245E-2</v>
      </c>
      <c r="Q51" t="s">
        <v>251</v>
      </c>
      <c r="S51" t="s">
        <v>420</v>
      </c>
      <c r="T51" t="s">
        <v>291</v>
      </c>
      <c r="U51">
        <v>1.8864943552373975E-2</v>
      </c>
      <c r="V51" t="s">
        <v>251</v>
      </c>
      <c r="X51">
        <v>2.0547945205479451E-2</v>
      </c>
      <c r="Y51">
        <v>4.3954951147353507E-3</v>
      </c>
      <c r="Z51" t="s">
        <v>291</v>
      </c>
      <c r="AA51" t="s">
        <v>25</v>
      </c>
      <c r="AC51" t="s">
        <v>22</v>
      </c>
      <c r="AD51" t="s">
        <v>291</v>
      </c>
      <c r="AE51">
        <v>2.2955528520385966E-2</v>
      </c>
      <c r="AG51" t="s">
        <v>99</v>
      </c>
      <c r="AH51" t="s">
        <v>291</v>
      </c>
      <c r="AI51">
        <v>0.1368158424699597</v>
      </c>
    </row>
    <row r="52" spans="9:35" x14ac:dyDescent="0.45">
      <c r="I52" t="s">
        <v>249</v>
      </c>
      <c r="J52" t="s">
        <v>292</v>
      </c>
      <c r="K52">
        <v>0</v>
      </c>
      <c r="L52" t="s">
        <v>251</v>
      </c>
      <c r="N52" t="s">
        <v>419</v>
      </c>
      <c r="O52" t="s">
        <v>292</v>
      </c>
      <c r="P52">
        <v>2.7552928987548846E-3</v>
      </c>
      <c r="Q52" t="s">
        <v>251</v>
      </c>
      <c r="S52" t="s">
        <v>420</v>
      </c>
      <c r="T52" t="s">
        <v>292</v>
      </c>
      <c r="U52">
        <v>3.1101829685349714E-3</v>
      </c>
      <c r="V52" t="s">
        <v>251</v>
      </c>
      <c r="X52">
        <v>3.4246575342465752E-3</v>
      </c>
      <c r="Y52">
        <v>5.0717251323869452E-3</v>
      </c>
      <c r="Z52" t="s">
        <v>292</v>
      </c>
      <c r="AA52" t="s">
        <v>25</v>
      </c>
      <c r="AC52" t="s">
        <v>22</v>
      </c>
      <c r="AD52" t="s">
        <v>292</v>
      </c>
      <c r="AE52">
        <v>3.8203230554658455E-3</v>
      </c>
      <c r="AG52" t="s">
        <v>99</v>
      </c>
      <c r="AH52" t="s">
        <v>292</v>
      </c>
      <c r="AI52">
        <v>8.4963074613875866E-2</v>
      </c>
    </row>
    <row r="53" spans="9:35" x14ac:dyDescent="0.45">
      <c r="I53" t="s">
        <v>249</v>
      </c>
      <c r="J53" t="s">
        <v>293</v>
      </c>
      <c r="K53">
        <v>5.1664096297965019E-4</v>
      </c>
      <c r="L53" t="s">
        <v>251</v>
      </c>
      <c r="N53" t="s">
        <v>419</v>
      </c>
      <c r="O53" t="s">
        <v>293</v>
      </c>
      <c r="P53">
        <v>2.7180358188899733E-3</v>
      </c>
      <c r="Q53" t="s">
        <v>251</v>
      </c>
      <c r="S53" t="s">
        <v>420</v>
      </c>
      <c r="T53" t="s">
        <v>293</v>
      </c>
      <c r="U53">
        <v>3.0544010204013551E-3</v>
      </c>
      <c r="V53" t="s">
        <v>251</v>
      </c>
      <c r="X53">
        <v>3.4246575342465752E-3</v>
      </c>
      <c r="Y53">
        <v>5.7181214727892006E-3</v>
      </c>
      <c r="Z53" t="s">
        <v>293</v>
      </c>
      <c r="AA53" t="s">
        <v>25</v>
      </c>
      <c r="AC53" t="s">
        <v>22</v>
      </c>
      <c r="AD53" t="s">
        <v>293</v>
      </c>
      <c r="AE53">
        <v>4.0761958180064832E-3</v>
      </c>
      <c r="AG53" t="s">
        <v>99</v>
      </c>
      <c r="AH53" t="s">
        <v>293</v>
      </c>
      <c r="AI53">
        <v>0.10211568961303708</v>
      </c>
    </row>
    <row r="54" spans="9:35" x14ac:dyDescent="0.45">
      <c r="I54" t="s">
        <v>249</v>
      </c>
      <c r="J54" t="s">
        <v>294</v>
      </c>
      <c r="K54">
        <v>2.5313402061503336E-2</v>
      </c>
      <c r="L54" t="s">
        <v>251</v>
      </c>
      <c r="N54" t="s">
        <v>419</v>
      </c>
      <c r="O54" t="s">
        <v>294</v>
      </c>
      <c r="P54">
        <v>1.3001790071911381E-2</v>
      </c>
      <c r="Q54" t="s">
        <v>251</v>
      </c>
      <c r="S54" t="s">
        <v>420</v>
      </c>
      <c r="T54" t="s">
        <v>294</v>
      </c>
      <c r="U54">
        <v>1.8822276218912571E-2</v>
      </c>
      <c r="V54" t="s">
        <v>251</v>
      </c>
      <c r="X54">
        <v>2.0547945205479451E-2</v>
      </c>
      <c r="Y54">
        <v>2.5895631852422749E-2</v>
      </c>
      <c r="Z54" t="s">
        <v>294</v>
      </c>
      <c r="AA54" t="s">
        <v>25</v>
      </c>
      <c r="AC54" t="s">
        <v>22</v>
      </c>
      <c r="AD54" t="s">
        <v>294</v>
      </c>
      <c r="AE54">
        <v>2.440190210246063E-2</v>
      </c>
      <c r="AG54" t="s">
        <v>99</v>
      </c>
      <c r="AH54" t="s">
        <v>294</v>
      </c>
      <c r="AI54">
        <v>0.16085381902352625</v>
      </c>
    </row>
    <row r="55" spans="9:35" x14ac:dyDescent="0.45">
      <c r="I55" t="s">
        <v>249</v>
      </c>
      <c r="J55" t="s">
        <v>295</v>
      </c>
      <c r="K55">
        <v>1.0915804255623635E-2</v>
      </c>
      <c r="L55" t="s">
        <v>251</v>
      </c>
      <c r="N55" t="s">
        <v>419</v>
      </c>
      <c r="O55" t="s">
        <v>295</v>
      </c>
      <c r="P55">
        <v>5.7318627451893979E-3</v>
      </c>
      <c r="Q55" t="s">
        <v>251</v>
      </c>
      <c r="S55" t="s">
        <v>420</v>
      </c>
      <c r="T55" t="s">
        <v>295</v>
      </c>
      <c r="U55">
        <v>9.0860524469073053E-3</v>
      </c>
      <c r="V55" t="s">
        <v>251</v>
      </c>
      <c r="X55">
        <v>1.0273972602739725E-2</v>
      </c>
      <c r="Y55">
        <v>1.6348855132635558E-2</v>
      </c>
      <c r="Z55" t="s">
        <v>295</v>
      </c>
      <c r="AA55" t="s">
        <v>25</v>
      </c>
      <c r="AC55" t="s">
        <v>22</v>
      </c>
      <c r="AD55" t="s">
        <v>295</v>
      </c>
      <c r="AE55">
        <v>8.6070660549668089E-3</v>
      </c>
      <c r="AG55" t="s">
        <v>99</v>
      </c>
      <c r="AH55" t="s">
        <v>295</v>
      </c>
      <c r="AI55">
        <v>0.12151799281777786</v>
      </c>
    </row>
    <row r="56" spans="9:35" x14ac:dyDescent="0.45">
      <c r="I56" t="s">
        <v>249</v>
      </c>
      <c r="J56" t="s">
        <v>296</v>
      </c>
      <c r="K56">
        <v>2.1904667473554716E-3</v>
      </c>
      <c r="L56" t="s">
        <v>251</v>
      </c>
      <c r="N56" t="s">
        <v>419</v>
      </c>
      <c r="O56" t="s">
        <v>296</v>
      </c>
      <c r="P56">
        <v>2.0131938008820637E-3</v>
      </c>
      <c r="Q56" t="s">
        <v>251</v>
      </c>
      <c r="S56" t="s">
        <v>420</v>
      </c>
      <c r="T56" t="s">
        <v>296</v>
      </c>
      <c r="U56">
        <v>3.0559456703755242E-3</v>
      </c>
      <c r="V56" t="s">
        <v>251</v>
      </c>
      <c r="X56">
        <v>3.4246575342465752E-3</v>
      </c>
      <c r="Y56">
        <v>6.662854585684809E-3</v>
      </c>
      <c r="Z56" t="s">
        <v>296</v>
      </c>
      <c r="AA56" t="s">
        <v>25</v>
      </c>
      <c r="AC56" t="s">
        <v>22</v>
      </c>
      <c r="AD56" t="s">
        <v>296</v>
      </c>
      <c r="AE56">
        <v>2.4739813975291143E-3</v>
      </c>
      <c r="AG56" t="s">
        <v>99</v>
      </c>
      <c r="AH56" t="s">
        <v>296</v>
      </c>
      <c r="AI56">
        <v>2.421008080136855E-2</v>
      </c>
    </row>
    <row r="57" spans="9:35" x14ac:dyDescent="0.45">
      <c r="I57" t="s">
        <v>249</v>
      </c>
      <c r="J57" t="s">
        <v>297</v>
      </c>
      <c r="K57">
        <v>1.783929352176636E-4</v>
      </c>
      <c r="L57" t="s">
        <v>251</v>
      </c>
      <c r="N57" t="s">
        <v>419</v>
      </c>
      <c r="O57" t="s">
        <v>297</v>
      </c>
      <c r="P57">
        <v>2.3135969986204778E-3</v>
      </c>
      <c r="Q57" t="s">
        <v>251</v>
      </c>
      <c r="S57" t="s">
        <v>420</v>
      </c>
      <c r="T57" t="s">
        <v>297</v>
      </c>
      <c r="U57">
        <v>3.1215446196545945E-3</v>
      </c>
      <c r="V57" t="s">
        <v>251</v>
      </c>
      <c r="X57">
        <v>3.4246575342465752E-3</v>
      </c>
      <c r="Y57">
        <v>5.1711707232180593E-3</v>
      </c>
      <c r="Z57" t="s">
        <v>297</v>
      </c>
      <c r="AA57" t="s">
        <v>25</v>
      </c>
      <c r="AC57" t="s">
        <v>22</v>
      </c>
      <c r="AD57" t="s">
        <v>297</v>
      </c>
      <c r="AE57">
        <v>2.4983207318962672E-3</v>
      </c>
      <c r="AG57" t="s">
        <v>99</v>
      </c>
      <c r="AH57" t="s">
        <v>297</v>
      </c>
      <c r="AI57">
        <v>3.4142395931153091E-2</v>
      </c>
    </row>
    <row r="58" spans="9:35" x14ac:dyDescent="0.45">
      <c r="I58" t="s">
        <v>249</v>
      </c>
      <c r="J58" t="s">
        <v>298</v>
      </c>
      <c r="K58">
        <v>0</v>
      </c>
      <c r="L58" t="s">
        <v>251</v>
      </c>
      <c r="N58" t="s">
        <v>419</v>
      </c>
      <c r="O58" t="s">
        <v>298</v>
      </c>
      <c r="P58">
        <v>1.4668225626252696E-2</v>
      </c>
      <c r="Q58" t="s">
        <v>251</v>
      </c>
      <c r="S58" t="s">
        <v>420</v>
      </c>
      <c r="T58" t="s">
        <v>298</v>
      </c>
      <c r="U58">
        <v>1.5638166370706395E-2</v>
      </c>
      <c r="V58" t="s">
        <v>251</v>
      </c>
      <c r="X58">
        <v>1.7123287671232876E-2</v>
      </c>
      <c r="Y58">
        <v>1.2927926808045149E-2</v>
      </c>
      <c r="Z58" t="s">
        <v>298</v>
      </c>
      <c r="AA58" t="s">
        <v>25</v>
      </c>
      <c r="AC58" t="s">
        <v>22</v>
      </c>
      <c r="AD58" t="s">
        <v>298</v>
      </c>
      <c r="AE58">
        <v>1.681848921412674E-2</v>
      </c>
      <c r="AG58" t="s">
        <v>99</v>
      </c>
      <c r="AH58" t="s">
        <v>298</v>
      </c>
      <c r="AI58">
        <v>0.23954895810254562</v>
      </c>
    </row>
    <row r="59" spans="9:35" x14ac:dyDescent="0.45">
      <c r="I59" t="s">
        <v>249</v>
      </c>
      <c r="J59" t="s">
        <v>323</v>
      </c>
      <c r="K59">
        <v>0</v>
      </c>
      <c r="L59" t="s">
        <v>251</v>
      </c>
      <c r="N59" t="s">
        <v>419</v>
      </c>
      <c r="O59" t="s">
        <v>323</v>
      </c>
      <c r="P59">
        <v>2.4141775459495713E-2</v>
      </c>
      <c r="Q59" t="s">
        <v>251</v>
      </c>
      <c r="S59" t="s">
        <v>420</v>
      </c>
      <c r="T59" t="s">
        <v>323</v>
      </c>
      <c r="U59">
        <v>2.2693313561102026E-2</v>
      </c>
      <c r="V59" t="s">
        <v>251</v>
      </c>
      <c r="X59">
        <v>2.1232876712328767E-2</v>
      </c>
      <c r="Y59">
        <v>4.5420116185598634E-3</v>
      </c>
      <c r="Z59" t="s">
        <v>323</v>
      </c>
      <c r="AA59" t="s">
        <v>25</v>
      </c>
      <c r="AC59" t="s">
        <v>22</v>
      </c>
      <c r="AD59" t="s">
        <v>323</v>
      </c>
      <c r="AE59">
        <v>2.3979920575086799E-2</v>
      </c>
      <c r="AG59" t="s">
        <v>99</v>
      </c>
      <c r="AH59" t="s">
        <v>323</v>
      </c>
      <c r="AI59">
        <v>0.1032275574828907</v>
      </c>
    </row>
    <row r="60" spans="9:35" x14ac:dyDescent="0.45">
      <c r="I60" t="s">
        <v>249</v>
      </c>
      <c r="J60" t="s">
        <v>324</v>
      </c>
      <c r="K60">
        <v>0</v>
      </c>
      <c r="L60" t="s">
        <v>251</v>
      </c>
      <c r="N60" t="s">
        <v>419</v>
      </c>
      <c r="O60" t="s">
        <v>324</v>
      </c>
      <c r="P60">
        <v>3.8362604124315223E-3</v>
      </c>
      <c r="Q60" t="s">
        <v>251</v>
      </c>
      <c r="S60" t="s">
        <v>420</v>
      </c>
      <c r="T60" t="s">
        <v>324</v>
      </c>
      <c r="U60">
        <v>3.686837046252508E-3</v>
      </c>
      <c r="V60" t="s">
        <v>251</v>
      </c>
      <c r="X60">
        <v>3.5388127853881279E-3</v>
      </c>
      <c r="Y60">
        <v>5.240782636799844E-3</v>
      </c>
      <c r="Z60" t="s">
        <v>324</v>
      </c>
      <c r="AA60" t="s">
        <v>25</v>
      </c>
      <c r="AC60" t="s">
        <v>22</v>
      </c>
      <c r="AD60" t="s">
        <v>324</v>
      </c>
      <c r="AE60">
        <v>3.986693721138578E-3</v>
      </c>
      <c r="AG60" t="s">
        <v>99</v>
      </c>
      <c r="AH60" t="s">
        <v>324</v>
      </c>
      <c r="AI60">
        <v>5.6498111575230325E-2</v>
      </c>
    </row>
    <row r="61" spans="9:35" x14ac:dyDescent="0.45">
      <c r="I61" t="s">
        <v>249</v>
      </c>
      <c r="J61" t="s">
        <v>325</v>
      </c>
      <c r="K61">
        <v>7.8052309015312832E-4</v>
      </c>
      <c r="L61" t="s">
        <v>251</v>
      </c>
      <c r="N61" t="s">
        <v>419</v>
      </c>
      <c r="O61" t="s">
        <v>325</v>
      </c>
      <c r="P61">
        <v>3.7884128657880421E-3</v>
      </c>
      <c r="Q61" t="s">
        <v>251</v>
      </c>
      <c r="S61" t="s">
        <v>420</v>
      </c>
      <c r="T61" t="s">
        <v>325</v>
      </c>
      <c r="U61">
        <v>3.5999580091018047E-3</v>
      </c>
      <c r="V61" t="s">
        <v>251</v>
      </c>
      <c r="X61">
        <v>3.5388127853881279E-3</v>
      </c>
      <c r="Y61">
        <v>5.9087255218821738E-3</v>
      </c>
      <c r="Z61" t="s">
        <v>325</v>
      </c>
      <c r="AA61" t="s">
        <v>25</v>
      </c>
      <c r="AC61" t="s">
        <v>22</v>
      </c>
      <c r="AD61" t="s">
        <v>325</v>
      </c>
      <c r="AE61">
        <v>4.2316119961850413E-3</v>
      </c>
      <c r="AG61" t="s">
        <v>99</v>
      </c>
      <c r="AH61" t="s">
        <v>325</v>
      </c>
      <c r="AI61">
        <v>9.3579735387869789E-2</v>
      </c>
    </row>
    <row r="62" spans="9:35" x14ac:dyDescent="0.45">
      <c r="I62" t="s">
        <v>249</v>
      </c>
      <c r="J62" t="s">
        <v>326</v>
      </c>
      <c r="K62">
        <v>3.598844042367861E-2</v>
      </c>
      <c r="L62" t="s">
        <v>251</v>
      </c>
      <c r="N62" t="s">
        <v>419</v>
      </c>
      <c r="O62" t="s">
        <v>326</v>
      </c>
      <c r="P62">
        <v>1.7718370554977197E-2</v>
      </c>
      <c r="Q62" t="s">
        <v>251</v>
      </c>
      <c r="S62" t="s">
        <v>420</v>
      </c>
      <c r="T62" t="s">
        <v>326</v>
      </c>
      <c r="U62">
        <v>2.1919812724936486E-2</v>
      </c>
      <c r="V62" t="s">
        <v>251</v>
      </c>
      <c r="X62">
        <v>2.1232876712328767E-2</v>
      </c>
      <c r="Y62">
        <v>2.6758819580836844E-2</v>
      </c>
      <c r="Z62" t="s">
        <v>326</v>
      </c>
      <c r="AA62" t="s">
        <v>25</v>
      </c>
      <c r="AC62" t="s">
        <v>22</v>
      </c>
      <c r="AD62" t="s">
        <v>326</v>
      </c>
      <c r="AE62">
        <v>2.52893600851027E-2</v>
      </c>
      <c r="AG62" t="s">
        <v>99</v>
      </c>
      <c r="AH62" t="s">
        <v>326</v>
      </c>
      <c r="AI62">
        <v>0.13028808653136692</v>
      </c>
    </row>
    <row r="63" spans="9:35" x14ac:dyDescent="0.45">
      <c r="I63" t="s">
        <v>249</v>
      </c>
      <c r="J63" t="s">
        <v>327</v>
      </c>
      <c r="K63">
        <v>1.6768638501399199E-2</v>
      </c>
      <c r="L63" t="s">
        <v>251</v>
      </c>
      <c r="N63" t="s">
        <v>419</v>
      </c>
      <c r="O63" t="s">
        <v>327</v>
      </c>
      <c r="P63">
        <v>8.0509621699873263E-3</v>
      </c>
      <c r="Q63" t="s">
        <v>251</v>
      </c>
      <c r="S63" t="s">
        <v>420</v>
      </c>
      <c r="T63" t="s">
        <v>327</v>
      </c>
      <c r="U63">
        <v>1.0995196107660529E-2</v>
      </c>
      <c r="V63" t="s">
        <v>251</v>
      </c>
      <c r="X63">
        <v>1.0616438356164383E-2</v>
      </c>
      <c r="Y63">
        <v>1.6893816970390073E-2</v>
      </c>
      <c r="Z63" t="s">
        <v>327</v>
      </c>
      <c r="AA63" t="s">
        <v>25</v>
      </c>
      <c r="AC63" t="s">
        <v>22</v>
      </c>
      <c r="AD63" t="s">
        <v>327</v>
      </c>
      <c r="AE63">
        <v>8.9752722242677878E-3</v>
      </c>
      <c r="AG63" t="s">
        <v>99</v>
      </c>
      <c r="AH63" t="s">
        <v>327</v>
      </c>
      <c r="AI63">
        <v>0.11180787818753379</v>
      </c>
    </row>
    <row r="64" spans="9:35" x14ac:dyDescent="0.45">
      <c r="I64" t="s">
        <v>249</v>
      </c>
      <c r="J64" t="s">
        <v>328</v>
      </c>
      <c r="K64">
        <v>3.9152964462415398E-3</v>
      </c>
      <c r="L64" t="s">
        <v>251</v>
      </c>
      <c r="N64" t="s">
        <v>419</v>
      </c>
      <c r="O64" t="s">
        <v>328</v>
      </c>
      <c r="P64">
        <v>2.6456635384339232E-3</v>
      </c>
      <c r="Q64" t="s">
        <v>251</v>
      </c>
      <c r="S64" t="s">
        <v>420</v>
      </c>
      <c r="T64" t="s">
        <v>328</v>
      </c>
      <c r="U64">
        <v>3.6218907938387621E-3</v>
      </c>
      <c r="V64" t="s">
        <v>251</v>
      </c>
      <c r="X64">
        <v>3.5388127853881279E-3</v>
      </c>
      <c r="Y64">
        <v>6.8849497385409693E-3</v>
      </c>
      <c r="Z64" t="s">
        <v>328</v>
      </c>
      <c r="AA64" t="s">
        <v>25</v>
      </c>
      <c r="AC64" t="s">
        <v>22</v>
      </c>
      <c r="AD64" t="s">
        <v>328</v>
      </c>
      <c r="AE64">
        <v>2.5747442735004709E-3</v>
      </c>
      <c r="AG64" t="s">
        <v>99</v>
      </c>
      <c r="AH64" t="s">
        <v>328</v>
      </c>
      <c r="AI64">
        <v>2.9026495980946754E-2</v>
      </c>
    </row>
    <row r="65" spans="9:35" x14ac:dyDescent="0.45">
      <c r="I65" t="s">
        <v>249</v>
      </c>
      <c r="J65" t="s">
        <v>329</v>
      </c>
      <c r="K65">
        <v>9.7688216512112434E-4</v>
      </c>
      <c r="L65" t="s">
        <v>251</v>
      </c>
      <c r="N65" t="s">
        <v>419</v>
      </c>
      <c r="O65" t="s">
        <v>329</v>
      </c>
      <c r="P65">
        <v>2.930497437883046E-3</v>
      </c>
      <c r="Q65" t="s">
        <v>251</v>
      </c>
      <c r="S65" t="s">
        <v>420</v>
      </c>
      <c r="T65" t="s">
        <v>329</v>
      </c>
      <c r="U65">
        <v>3.5799806164893669E-3</v>
      </c>
      <c r="V65" t="s">
        <v>251</v>
      </c>
      <c r="X65">
        <v>3.5388127853881279E-3</v>
      </c>
      <c r="Y65">
        <v>5.3435430806586613E-3</v>
      </c>
      <c r="Z65" t="s">
        <v>329</v>
      </c>
      <c r="AA65" t="s">
        <v>25</v>
      </c>
      <c r="AC65" t="s">
        <v>22</v>
      </c>
      <c r="AD65" t="s">
        <v>329</v>
      </c>
      <c r="AE65">
        <v>2.6002451766883763E-3</v>
      </c>
      <c r="AG65" t="s">
        <v>99</v>
      </c>
      <c r="AH65" t="s">
        <v>329</v>
      </c>
      <c r="AI65">
        <v>3.6642143420682283E-2</v>
      </c>
    </row>
    <row r="66" spans="9:35" x14ac:dyDescent="0.45">
      <c r="I66" t="s">
        <v>249</v>
      </c>
      <c r="J66" t="s">
        <v>330</v>
      </c>
      <c r="K66">
        <v>0</v>
      </c>
      <c r="L66" t="s">
        <v>251</v>
      </c>
      <c r="N66" t="s">
        <v>419</v>
      </c>
      <c r="O66" t="s">
        <v>330</v>
      </c>
      <c r="P66">
        <v>1.9050993178450711E-2</v>
      </c>
      <c r="Q66" t="s">
        <v>251</v>
      </c>
      <c r="S66" t="s">
        <v>420</v>
      </c>
      <c r="T66" t="s">
        <v>330</v>
      </c>
      <c r="U66">
        <v>1.8281068833678568E-2</v>
      </c>
      <c r="V66" t="s">
        <v>251</v>
      </c>
      <c r="X66">
        <v>1.7694063926940638E-2</v>
      </c>
      <c r="Y66">
        <v>1.3358857701646654E-2</v>
      </c>
      <c r="Z66" t="s">
        <v>330</v>
      </c>
      <c r="AA66" t="s">
        <v>25</v>
      </c>
      <c r="AC66" t="s">
        <v>22</v>
      </c>
      <c r="AD66" t="s">
        <v>330</v>
      </c>
      <c r="AE66">
        <v>1.7683837421870352E-2</v>
      </c>
      <c r="AG66" t="s">
        <v>99</v>
      </c>
      <c r="AH66" t="s">
        <v>330</v>
      </c>
      <c r="AI66">
        <v>0.20480196779357418</v>
      </c>
    </row>
    <row r="67" spans="9:35" x14ac:dyDescent="0.45">
      <c r="I67" t="s">
        <v>249</v>
      </c>
      <c r="J67" t="s">
        <v>331</v>
      </c>
      <c r="K67">
        <v>0</v>
      </c>
      <c r="L67" t="s">
        <v>251</v>
      </c>
      <c r="N67" t="s">
        <v>419</v>
      </c>
      <c r="O67" t="s">
        <v>331</v>
      </c>
      <c r="P67">
        <v>2.1974063560462369E-2</v>
      </c>
      <c r="Q67" t="s">
        <v>251</v>
      </c>
      <c r="S67" t="s">
        <v>420</v>
      </c>
      <c r="T67" t="s">
        <v>331</v>
      </c>
      <c r="U67">
        <v>2.7283751510667056E-2</v>
      </c>
      <c r="V67" t="s">
        <v>251</v>
      </c>
      <c r="X67">
        <v>2.1232876712328767E-2</v>
      </c>
      <c r="Y67">
        <v>4.5420116185598634E-3</v>
      </c>
      <c r="Z67" t="s">
        <v>331</v>
      </c>
      <c r="AA67" t="s">
        <v>25</v>
      </c>
      <c r="AC67" t="s">
        <v>22</v>
      </c>
      <c r="AD67" t="s">
        <v>331</v>
      </c>
      <c r="AE67">
        <v>2.3404298694738292E-2</v>
      </c>
      <c r="AG67" t="s">
        <v>99</v>
      </c>
      <c r="AH67" t="s">
        <v>331</v>
      </c>
      <c r="AI67">
        <v>8.6770478469463619E-2</v>
      </c>
    </row>
    <row r="68" spans="9:35" x14ac:dyDescent="0.45">
      <c r="I68" t="s">
        <v>249</v>
      </c>
      <c r="J68" t="s">
        <v>332</v>
      </c>
      <c r="K68">
        <v>0</v>
      </c>
      <c r="L68" t="s">
        <v>251</v>
      </c>
      <c r="N68" t="s">
        <v>419</v>
      </c>
      <c r="O68" t="s">
        <v>332</v>
      </c>
      <c r="P68">
        <v>3.450239365884766E-3</v>
      </c>
      <c r="Q68" t="s">
        <v>251</v>
      </c>
      <c r="S68" t="s">
        <v>420</v>
      </c>
      <c r="T68" t="s">
        <v>332</v>
      </c>
      <c r="U68">
        <v>4.4860067785218154E-3</v>
      </c>
      <c r="V68" t="s">
        <v>251</v>
      </c>
      <c r="X68">
        <v>3.5388127853881279E-3</v>
      </c>
      <c r="Y68">
        <v>5.240782636799844E-3</v>
      </c>
      <c r="Z68" t="s">
        <v>332</v>
      </c>
      <c r="AA68" t="s">
        <v>25</v>
      </c>
      <c r="AC68" t="s">
        <v>22</v>
      </c>
      <c r="AD68" t="s">
        <v>332</v>
      </c>
      <c r="AE68">
        <v>3.9208830708802678E-3</v>
      </c>
      <c r="AG68" t="s">
        <v>99</v>
      </c>
      <c r="AH68" t="s">
        <v>332</v>
      </c>
      <c r="AI68">
        <v>6.1004223848656558E-2</v>
      </c>
    </row>
    <row r="69" spans="9:35" x14ac:dyDescent="0.45">
      <c r="I69" t="s">
        <v>249</v>
      </c>
      <c r="J69" t="s">
        <v>333</v>
      </c>
      <c r="K69">
        <v>2.5517161056882406E-3</v>
      </c>
      <c r="L69" t="s">
        <v>251</v>
      </c>
      <c r="N69" t="s">
        <v>419</v>
      </c>
      <c r="O69" t="s">
        <v>333</v>
      </c>
      <c r="P69">
        <v>3.3543672645367697E-3</v>
      </c>
      <c r="Q69" t="s">
        <v>251</v>
      </c>
      <c r="S69" t="s">
        <v>420</v>
      </c>
      <c r="T69" t="s">
        <v>333</v>
      </c>
      <c r="U69">
        <v>4.4835930943530672E-3</v>
      </c>
      <c r="V69" t="s">
        <v>251</v>
      </c>
      <c r="X69">
        <v>3.5388127853881279E-3</v>
      </c>
      <c r="Y69">
        <v>5.9087255218821738E-3</v>
      </c>
      <c r="Z69" t="s">
        <v>333</v>
      </c>
      <c r="AA69" t="s">
        <v>25</v>
      </c>
      <c r="AC69" t="s">
        <v>22</v>
      </c>
      <c r="AD69" t="s">
        <v>333</v>
      </c>
      <c r="AE69">
        <v>4.0787194249493931E-3</v>
      </c>
      <c r="AG69" t="s">
        <v>99</v>
      </c>
      <c r="AH69" t="s">
        <v>333</v>
      </c>
      <c r="AI69">
        <v>8.3453178737734612E-2</v>
      </c>
    </row>
    <row r="70" spans="9:35" x14ac:dyDescent="0.45">
      <c r="I70" t="s">
        <v>249</v>
      </c>
      <c r="J70" t="s">
        <v>334</v>
      </c>
      <c r="K70">
        <v>4.4592288830543898E-2</v>
      </c>
      <c r="L70" t="s">
        <v>251</v>
      </c>
      <c r="N70" t="s">
        <v>419</v>
      </c>
      <c r="O70" t="s">
        <v>334</v>
      </c>
      <c r="P70">
        <v>1.6331437927914888E-2</v>
      </c>
      <c r="Q70" t="s">
        <v>251</v>
      </c>
      <c r="S70" t="s">
        <v>420</v>
      </c>
      <c r="T70" t="s">
        <v>334</v>
      </c>
      <c r="U70">
        <v>2.7716967703179399E-2</v>
      </c>
      <c r="V70" t="s">
        <v>251</v>
      </c>
      <c r="X70">
        <v>2.1232876712328767E-2</v>
      </c>
      <c r="Y70">
        <v>2.6758819580836844E-2</v>
      </c>
      <c r="Z70" t="s">
        <v>334</v>
      </c>
      <c r="AA70" t="s">
        <v>25</v>
      </c>
      <c r="AC70" t="s">
        <v>22</v>
      </c>
      <c r="AD70" t="s">
        <v>334</v>
      </c>
      <c r="AE70">
        <v>2.4660008200840411E-2</v>
      </c>
      <c r="AG70" t="s">
        <v>99</v>
      </c>
      <c r="AH70" t="s">
        <v>334</v>
      </c>
      <c r="AI70">
        <v>0.16204740512519122</v>
      </c>
    </row>
    <row r="71" spans="9:35" x14ac:dyDescent="0.45">
      <c r="I71" t="s">
        <v>249</v>
      </c>
      <c r="J71" t="s">
        <v>335</v>
      </c>
      <c r="K71">
        <v>2.09831215758269E-2</v>
      </c>
      <c r="L71" t="s">
        <v>251</v>
      </c>
      <c r="N71" t="s">
        <v>419</v>
      </c>
      <c r="O71" t="s">
        <v>335</v>
      </c>
      <c r="P71">
        <v>8.535814500486065E-3</v>
      </c>
      <c r="Q71" t="s">
        <v>251</v>
      </c>
      <c r="S71" t="s">
        <v>420</v>
      </c>
      <c r="T71" t="s">
        <v>335</v>
      </c>
      <c r="U71">
        <v>1.4122223160482752E-2</v>
      </c>
      <c r="V71" t="s">
        <v>251</v>
      </c>
      <c r="X71">
        <v>1.0616438356164383E-2</v>
      </c>
      <c r="Y71">
        <v>1.6893816970390073E-2</v>
      </c>
      <c r="Z71" t="s">
        <v>335</v>
      </c>
      <c r="AA71" t="s">
        <v>25</v>
      </c>
      <c r="AC71" t="s">
        <v>22</v>
      </c>
      <c r="AD71" t="s">
        <v>335</v>
      </c>
      <c r="AE71">
        <v>8.7792639398936757E-3</v>
      </c>
      <c r="AG71" t="s">
        <v>99</v>
      </c>
      <c r="AH71" t="s">
        <v>335</v>
      </c>
      <c r="AI71">
        <v>0.11093550843474387</v>
      </c>
    </row>
    <row r="72" spans="9:35" x14ac:dyDescent="0.45">
      <c r="I72" t="s">
        <v>249</v>
      </c>
      <c r="J72" t="s">
        <v>336</v>
      </c>
      <c r="K72">
        <v>5.2084514300123003E-3</v>
      </c>
      <c r="L72" t="s">
        <v>251</v>
      </c>
      <c r="N72" t="s">
        <v>419</v>
      </c>
      <c r="O72" t="s">
        <v>336</v>
      </c>
      <c r="P72">
        <v>2.7610342416565597E-3</v>
      </c>
      <c r="Q72" t="s">
        <v>251</v>
      </c>
      <c r="S72" t="s">
        <v>420</v>
      </c>
      <c r="T72" t="s">
        <v>336</v>
      </c>
      <c r="U72">
        <v>4.6884794009072516E-3</v>
      </c>
      <c r="V72" t="s">
        <v>251</v>
      </c>
      <c r="X72">
        <v>3.5388127853881279E-3</v>
      </c>
      <c r="Y72">
        <v>6.8849497385409693E-3</v>
      </c>
      <c r="Z72" t="s">
        <v>336</v>
      </c>
      <c r="AA72" t="s">
        <v>25</v>
      </c>
      <c r="AC72" t="s">
        <v>22</v>
      </c>
      <c r="AD72" t="s">
        <v>336</v>
      </c>
      <c r="AE72">
        <v>2.5171539564351779E-3</v>
      </c>
      <c r="AG72" t="s">
        <v>99</v>
      </c>
      <c r="AH72" t="s">
        <v>336</v>
      </c>
      <c r="AI72">
        <v>4.4173913511419194E-2</v>
      </c>
    </row>
    <row r="73" spans="9:35" x14ac:dyDescent="0.45">
      <c r="I73" t="s">
        <v>249</v>
      </c>
      <c r="J73" t="s">
        <v>337</v>
      </c>
      <c r="K73">
        <v>2.2047296132105187E-3</v>
      </c>
      <c r="L73" t="s">
        <v>251</v>
      </c>
      <c r="N73" t="s">
        <v>419</v>
      </c>
      <c r="O73" t="s">
        <v>337</v>
      </c>
      <c r="P73">
        <v>2.9540571089904824E-3</v>
      </c>
      <c r="Q73" t="s">
        <v>251</v>
      </c>
      <c r="S73" t="s">
        <v>420</v>
      </c>
      <c r="T73" t="s">
        <v>337</v>
      </c>
      <c r="U73">
        <v>4.6654493652520607E-3</v>
      </c>
      <c r="V73" t="s">
        <v>251</v>
      </c>
      <c r="X73">
        <v>3.5388127853881279E-3</v>
      </c>
      <c r="Y73">
        <v>5.3435430806586613E-3</v>
      </c>
      <c r="Z73" t="s">
        <v>337</v>
      </c>
      <c r="AA73" t="s">
        <v>25</v>
      </c>
      <c r="AC73" t="s">
        <v>22</v>
      </c>
      <c r="AD73" t="s">
        <v>337</v>
      </c>
      <c r="AE73">
        <v>2.5420591833047487E-3</v>
      </c>
      <c r="AG73" t="s">
        <v>99</v>
      </c>
      <c r="AH73" t="s">
        <v>337</v>
      </c>
      <c r="AI73">
        <v>4.5756950232309856E-2</v>
      </c>
    </row>
    <row r="74" spans="9:35" x14ac:dyDescent="0.45">
      <c r="I74" t="s">
        <v>249</v>
      </c>
      <c r="J74" t="s">
        <v>338</v>
      </c>
      <c r="K74">
        <v>0</v>
      </c>
      <c r="L74" t="s">
        <v>251</v>
      </c>
      <c r="N74" t="s">
        <v>419</v>
      </c>
      <c r="O74" t="s">
        <v>338</v>
      </c>
      <c r="P74">
        <v>1.8126116386870957E-2</v>
      </c>
      <c r="Q74" t="s">
        <v>251</v>
      </c>
      <c r="S74" t="s">
        <v>420</v>
      </c>
      <c r="T74" t="s">
        <v>338</v>
      </c>
      <c r="U74">
        <v>2.3326524318008243E-2</v>
      </c>
      <c r="V74" t="s">
        <v>251</v>
      </c>
      <c r="X74">
        <v>1.7694063926940638E-2</v>
      </c>
      <c r="Y74">
        <v>1.3358857701646654E-2</v>
      </c>
      <c r="Z74" t="s">
        <v>338</v>
      </c>
      <c r="AA74" t="s">
        <v>25</v>
      </c>
      <c r="AC74" t="s">
        <v>22</v>
      </c>
      <c r="AD74" t="s">
        <v>338</v>
      </c>
      <c r="AE74">
        <v>1.7040886577869188E-2</v>
      </c>
      <c r="AG74" t="s">
        <v>99</v>
      </c>
      <c r="AH74" t="s">
        <v>338</v>
      </c>
      <c r="AI74">
        <v>0.20820639587821077</v>
      </c>
    </row>
    <row r="75" spans="9:35" x14ac:dyDescent="0.45">
      <c r="I75" t="s">
        <v>249</v>
      </c>
      <c r="J75" t="s">
        <v>339</v>
      </c>
      <c r="K75">
        <v>0</v>
      </c>
      <c r="L75" t="s">
        <v>251</v>
      </c>
      <c r="N75" t="s">
        <v>419</v>
      </c>
      <c r="O75" t="s">
        <v>339</v>
      </c>
      <c r="P75">
        <v>2.329022222508044E-2</v>
      </c>
      <c r="Q75" t="s">
        <v>251</v>
      </c>
      <c r="S75" t="s">
        <v>420</v>
      </c>
      <c r="T75" t="s">
        <v>339</v>
      </c>
      <c r="U75">
        <v>2.4686265198238914E-2</v>
      </c>
      <c r="V75" t="s">
        <v>251</v>
      </c>
      <c r="X75">
        <v>2.0547945205479451E-2</v>
      </c>
      <c r="Y75">
        <v>4.3954951147353507E-3</v>
      </c>
      <c r="Z75" t="s">
        <v>339</v>
      </c>
      <c r="AA75" t="s">
        <v>25</v>
      </c>
      <c r="AC75" t="s">
        <v>22</v>
      </c>
      <c r="AD75" t="s">
        <v>339</v>
      </c>
      <c r="AE75">
        <v>2.20635094262423E-2</v>
      </c>
      <c r="AG75" t="s">
        <v>99</v>
      </c>
      <c r="AH75" t="s">
        <v>339</v>
      </c>
      <c r="AI75">
        <v>6.2509567223236084E-2</v>
      </c>
    </row>
    <row r="76" spans="9:35" x14ac:dyDescent="0.45">
      <c r="I76" t="s">
        <v>249</v>
      </c>
      <c r="J76" t="s">
        <v>340</v>
      </c>
      <c r="K76">
        <v>8.4965085546145338E-4</v>
      </c>
      <c r="L76" t="s">
        <v>251</v>
      </c>
      <c r="N76" t="s">
        <v>419</v>
      </c>
      <c r="O76" t="s">
        <v>340</v>
      </c>
      <c r="P76">
        <v>3.7341867783883508E-3</v>
      </c>
      <c r="Q76" t="s">
        <v>251</v>
      </c>
      <c r="S76" t="s">
        <v>420</v>
      </c>
      <c r="T76" t="s">
        <v>340</v>
      </c>
      <c r="U76">
        <v>4.0109180918799668E-3</v>
      </c>
      <c r="V76" t="s">
        <v>251</v>
      </c>
      <c r="X76">
        <v>3.4246575342465752E-3</v>
      </c>
      <c r="Y76">
        <v>5.0717251323869452E-3</v>
      </c>
      <c r="Z76" t="s">
        <v>340</v>
      </c>
      <c r="AA76" t="s">
        <v>25</v>
      </c>
      <c r="AC76" t="s">
        <v>22</v>
      </c>
      <c r="AD76" t="s">
        <v>340</v>
      </c>
      <c r="AE76">
        <v>3.688723304137644E-3</v>
      </c>
      <c r="AG76" t="s">
        <v>99</v>
      </c>
      <c r="AH76" t="s">
        <v>340</v>
      </c>
      <c r="AI76">
        <v>4.6965543844643687E-2</v>
      </c>
    </row>
    <row r="77" spans="9:35" x14ac:dyDescent="0.45">
      <c r="I77" t="s">
        <v>249</v>
      </c>
      <c r="J77" t="s">
        <v>341</v>
      </c>
      <c r="K77">
        <v>5.1823086694548996E-3</v>
      </c>
      <c r="L77" t="s">
        <v>251</v>
      </c>
      <c r="N77" t="s">
        <v>419</v>
      </c>
      <c r="O77" t="s">
        <v>341</v>
      </c>
      <c r="P77">
        <v>3.4574431563598775E-3</v>
      </c>
      <c r="Q77" t="s">
        <v>251</v>
      </c>
      <c r="S77" t="s">
        <v>420</v>
      </c>
      <c r="T77" t="s">
        <v>341</v>
      </c>
      <c r="U77">
        <v>3.9937662730240471E-3</v>
      </c>
      <c r="V77" t="s">
        <v>251</v>
      </c>
      <c r="X77">
        <v>3.4246575342465752E-3</v>
      </c>
      <c r="Y77">
        <v>5.7181214727892006E-3</v>
      </c>
      <c r="Z77" t="s">
        <v>341</v>
      </c>
      <c r="AA77" t="s">
        <v>25</v>
      </c>
      <c r="AC77" t="s">
        <v>22</v>
      </c>
      <c r="AD77" t="s">
        <v>341</v>
      </c>
      <c r="AE77">
        <v>3.7333990280127411E-3</v>
      </c>
      <c r="AG77" t="s">
        <v>99</v>
      </c>
      <c r="AH77" t="s">
        <v>341</v>
      </c>
      <c r="AI77">
        <v>4.706974602440317E-2</v>
      </c>
    </row>
    <row r="78" spans="9:35" x14ac:dyDescent="0.45">
      <c r="I78" t="s">
        <v>249</v>
      </c>
      <c r="J78" t="s">
        <v>342</v>
      </c>
      <c r="K78">
        <v>5.1828580337839499E-2</v>
      </c>
      <c r="L78" t="s">
        <v>251</v>
      </c>
      <c r="N78" t="s">
        <v>419</v>
      </c>
      <c r="O78" t="s">
        <v>342</v>
      </c>
      <c r="P78">
        <v>1.8684578790780063E-2</v>
      </c>
      <c r="Q78" t="s">
        <v>251</v>
      </c>
      <c r="S78" t="s">
        <v>420</v>
      </c>
      <c r="T78" t="s">
        <v>342</v>
      </c>
      <c r="U78">
        <v>2.314559558806557E-2</v>
      </c>
      <c r="V78" t="s">
        <v>251</v>
      </c>
      <c r="X78">
        <v>2.0547945205479451E-2</v>
      </c>
      <c r="Y78">
        <v>2.5895631852422749E-2</v>
      </c>
      <c r="Z78" t="s">
        <v>342</v>
      </c>
      <c r="AA78" t="s">
        <v>25</v>
      </c>
      <c r="AC78" t="s">
        <v>22</v>
      </c>
      <c r="AD78" t="s">
        <v>342</v>
      </c>
      <c r="AE78">
        <v>2.1863320485939582E-2</v>
      </c>
      <c r="AG78" t="s">
        <v>99</v>
      </c>
      <c r="AH78" t="s">
        <v>342</v>
      </c>
      <c r="AI78">
        <v>7.1588740096237391E-2</v>
      </c>
    </row>
    <row r="79" spans="9:35" x14ac:dyDescent="0.45">
      <c r="I79" t="s">
        <v>249</v>
      </c>
      <c r="J79" t="s">
        <v>343</v>
      </c>
      <c r="K79">
        <v>2.4336565811274802E-2</v>
      </c>
      <c r="L79" t="s">
        <v>251</v>
      </c>
      <c r="N79" t="s">
        <v>419</v>
      </c>
      <c r="O79" t="s">
        <v>343</v>
      </c>
      <c r="P79">
        <v>9.6451885135019188E-3</v>
      </c>
      <c r="Q79" t="s">
        <v>251</v>
      </c>
      <c r="S79" t="s">
        <v>420</v>
      </c>
      <c r="T79" t="s">
        <v>343</v>
      </c>
      <c r="U79">
        <v>1.183577085086864E-2</v>
      </c>
      <c r="V79" t="s">
        <v>251</v>
      </c>
      <c r="X79">
        <v>1.0273972602739725E-2</v>
      </c>
      <c r="Y79">
        <v>1.6348855132635558E-2</v>
      </c>
      <c r="Z79" t="s">
        <v>343</v>
      </c>
      <c r="AA79" t="s">
        <v>25</v>
      </c>
      <c r="AC79" t="s">
        <v>22</v>
      </c>
      <c r="AD79" t="s">
        <v>343</v>
      </c>
      <c r="AE79">
        <v>8.2152273122843272E-3</v>
      </c>
      <c r="AG79" t="s">
        <v>99</v>
      </c>
      <c r="AH79" t="s">
        <v>343</v>
      </c>
      <c r="AI79">
        <v>9.5268950975132771E-2</v>
      </c>
    </row>
    <row r="80" spans="9:35" x14ac:dyDescent="0.45">
      <c r="I80" t="s">
        <v>249</v>
      </c>
      <c r="J80" t="s">
        <v>344</v>
      </c>
      <c r="K80">
        <v>6.0926075915095999E-3</v>
      </c>
      <c r="L80" t="s">
        <v>251</v>
      </c>
      <c r="N80" t="s">
        <v>419</v>
      </c>
      <c r="O80" t="s">
        <v>344</v>
      </c>
      <c r="P80">
        <v>3.1249845854401711E-3</v>
      </c>
      <c r="Q80" t="s">
        <v>251</v>
      </c>
      <c r="S80" t="s">
        <v>420</v>
      </c>
      <c r="T80" t="s">
        <v>344</v>
      </c>
      <c r="U80">
        <v>4.0227461349593117E-3</v>
      </c>
      <c r="V80" t="s">
        <v>251</v>
      </c>
      <c r="X80">
        <v>3.4246575342465752E-3</v>
      </c>
      <c r="Y80">
        <v>6.662854585684809E-3</v>
      </c>
      <c r="Z80" t="s">
        <v>344</v>
      </c>
      <c r="AA80" t="s">
        <v>25</v>
      </c>
      <c r="AC80" t="s">
        <v>22</v>
      </c>
      <c r="AD80" t="s">
        <v>344</v>
      </c>
      <c r="AE80">
        <v>2.3685973609708193E-3</v>
      </c>
      <c r="AG80" t="s">
        <v>99</v>
      </c>
      <c r="AH80" t="s">
        <v>344</v>
      </c>
      <c r="AI80">
        <v>1.1095236819205656E-2</v>
      </c>
    </row>
    <row r="81" spans="9:35" x14ac:dyDescent="0.45">
      <c r="I81" t="s">
        <v>249</v>
      </c>
      <c r="J81" t="s">
        <v>345</v>
      </c>
      <c r="K81">
        <v>2.5215444166334132E-3</v>
      </c>
      <c r="L81" t="s">
        <v>251</v>
      </c>
      <c r="N81" t="s">
        <v>419</v>
      </c>
      <c r="O81" t="s">
        <v>345</v>
      </c>
      <c r="P81">
        <v>3.0927396577172706E-3</v>
      </c>
      <c r="Q81" t="s">
        <v>251</v>
      </c>
      <c r="S81" t="s">
        <v>420</v>
      </c>
      <c r="T81" t="s">
        <v>345</v>
      </c>
      <c r="U81">
        <v>4.0028744817976938E-3</v>
      </c>
      <c r="V81" t="s">
        <v>251</v>
      </c>
      <c r="X81">
        <v>3.4246575342465752E-3</v>
      </c>
      <c r="Y81">
        <v>5.1711707232180593E-3</v>
      </c>
      <c r="Z81" t="s">
        <v>345</v>
      </c>
      <c r="AA81" t="s">
        <v>25</v>
      </c>
      <c r="AC81" t="s">
        <v>22</v>
      </c>
      <c r="AD81" t="s">
        <v>345</v>
      </c>
      <c r="AE81">
        <v>2.3947832919248091E-3</v>
      </c>
      <c r="AG81" t="s">
        <v>99</v>
      </c>
      <c r="AH81" t="s">
        <v>345</v>
      </c>
      <c r="AI81">
        <v>1.3401285884287351E-2</v>
      </c>
    </row>
    <row r="82" spans="9:35" x14ac:dyDescent="0.45">
      <c r="I82" t="s">
        <v>249</v>
      </c>
      <c r="J82" t="s">
        <v>346</v>
      </c>
      <c r="K82">
        <v>0</v>
      </c>
      <c r="L82" t="s">
        <v>251</v>
      </c>
      <c r="N82" t="s">
        <v>419</v>
      </c>
      <c r="O82" t="s">
        <v>346</v>
      </c>
      <c r="P82">
        <v>1.8290350526645408E-2</v>
      </c>
      <c r="Q82" t="s">
        <v>251</v>
      </c>
      <c r="S82" t="s">
        <v>420</v>
      </c>
      <c r="T82" t="s">
        <v>346</v>
      </c>
      <c r="U82">
        <v>1.9714015292777096E-2</v>
      </c>
      <c r="V82" t="s">
        <v>251</v>
      </c>
      <c r="X82">
        <v>1.7123287671232876E-2</v>
      </c>
      <c r="Y82">
        <v>1.2927926808045149E-2</v>
      </c>
      <c r="Z82" t="s">
        <v>346</v>
      </c>
      <c r="AA82" t="s">
        <v>25</v>
      </c>
      <c r="AC82" t="s">
        <v>22</v>
      </c>
      <c r="AD82" t="s">
        <v>346</v>
      </c>
      <c r="AE82">
        <v>1.5524302192741167E-2</v>
      </c>
      <c r="AG82" t="s">
        <v>99</v>
      </c>
      <c r="AH82" t="s">
        <v>346</v>
      </c>
      <c r="AI82">
        <v>0.18602879837510433</v>
      </c>
    </row>
    <row r="83" spans="9:35" x14ac:dyDescent="0.45">
      <c r="I83" t="s">
        <v>249</v>
      </c>
      <c r="J83" t="s">
        <v>395</v>
      </c>
      <c r="K83">
        <v>0</v>
      </c>
      <c r="L83" t="s">
        <v>251</v>
      </c>
      <c r="N83" t="s">
        <v>419</v>
      </c>
      <c r="O83" t="s">
        <v>395</v>
      </c>
      <c r="P83">
        <v>3.1604979644208234E-2</v>
      </c>
      <c r="Q83" t="s">
        <v>251</v>
      </c>
      <c r="S83" t="s">
        <v>420</v>
      </c>
      <c r="T83" t="s">
        <v>395</v>
      </c>
      <c r="U83">
        <v>2.6334333439879402E-2</v>
      </c>
      <c r="V83" t="s">
        <v>251</v>
      </c>
      <c r="X83">
        <v>2.1232876712328767E-2</v>
      </c>
      <c r="Y83">
        <v>4.5420116185598634E-3</v>
      </c>
      <c r="Z83" t="s">
        <v>395</v>
      </c>
      <c r="AA83" t="s">
        <v>25</v>
      </c>
      <c r="AC83" t="s">
        <v>22</v>
      </c>
      <c r="AD83" t="s">
        <v>395</v>
      </c>
      <c r="AE83">
        <v>2.3158382109251394E-2</v>
      </c>
      <c r="AG83" t="s">
        <v>99</v>
      </c>
      <c r="AH83" t="s">
        <v>395</v>
      </c>
      <c r="AI83">
        <v>4.9670348256209529E-2</v>
      </c>
    </row>
    <row r="84" spans="9:35" x14ac:dyDescent="0.45">
      <c r="I84" t="s">
        <v>249</v>
      </c>
      <c r="J84" t="s">
        <v>396</v>
      </c>
      <c r="K84">
        <v>2.7469659482650798E-3</v>
      </c>
      <c r="L84" t="s">
        <v>251</v>
      </c>
      <c r="N84" t="s">
        <v>419</v>
      </c>
      <c r="O84" t="s">
        <v>396</v>
      </c>
      <c r="P84">
        <v>4.8897833570646634E-3</v>
      </c>
      <c r="Q84" t="s">
        <v>251</v>
      </c>
      <c r="S84" t="s">
        <v>420</v>
      </c>
      <c r="T84" t="s">
        <v>396</v>
      </c>
      <c r="U84">
        <v>4.2693770340923535E-3</v>
      </c>
      <c r="V84" t="s">
        <v>251</v>
      </c>
      <c r="X84">
        <v>3.5388127853881279E-3</v>
      </c>
      <c r="Y84">
        <v>5.240782636799844E-3</v>
      </c>
      <c r="Z84" t="s">
        <v>396</v>
      </c>
      <c r="AA84" t="s">
        <v>25</v>
      </c>
      <c r="AC84" t="s">
        <v>22</v>
      </c>
      <c r="AD84" t="s">
        <v>396</v>
      </c>
      <c r="AE84">
        <v>3.8998094398271796E-3</v>
      </c>
      <c r="AG84" t="s">
        <v>99</v>
      </c>
      <c r="AH84" t="s">
        <v>396</v>
      </c>
      <c r="AI84">
        <v>4.3802258938045124E-2</v>
      </c>
    </row>
    <row r="85" spans="9:35" x14ac:dyDescent="0.45">
      <c r="I85" t="s">
        <v>249</v>
      </c>
      <c r="J85" t="s">
        <v>397</v>
      </c>
      <c r="K85">
        <v>6.9655571424994001E-3</v>
      </c>
      <c r="L85" t="s">
        <v>251</v>
      </c>
      <c r="N85" t="s">
        <v>419</v>
      </c>
      <c r="O85" t="s">
        <v>397</v>
      </c>
      <c r="P85">
        <v>4.3399142751513794E-3</v>
      </c>
      <c r="Q85" t="s">
        <v>251</v>
      </c>
      <c r="S85" t="s">
        <v>420</v>
      </c>
      <c r="T85" t="s">
        <v>397</v>
      </c>
      <c r="U85">
        <v>4.3285178914231033E-3</v>
      </c>
      <c r="V85" t="s">
        <v>251</v>
      </c>
      <c r="X85">
        <v>3.5388127853881279E-3</v>
      </c>
      <c r="Y85">
        <v>5.9087255218821738E-3</v>
      </c>
      <c r="Z85" t="s">
        <v>397</v>
      </c>
      <c r="AA85" t="s">
        <v>25</v>
      </c>
      <c r="AC85" t="s">
        <v>22</v>
      </c>
      <c r="AD85" t="s">
        <v>397</v>
      </c>
      <c r="AE85">
        <v>3.9164347658718996E-3</v>
      </c>
      <c r="AG85" t="s">
        <v>99</v>
      </c>
      <c r="AH85" t="s">
        <v>397</v>
      </c>
      <c r="AI85">
        <v>3.8104371110900148E-2</v>
      </c>
    </row>
    <row r="86" spans="9:35" x14ac:dyDescent="0.45">
      <c r="I86" t="s">
        <v>249</v>
      </c>
      <c r="J86" t="s">
        <v>398</v>
      </c>
      <c r="K86">
        <v>5.9164672408411202E-2</v>
      </c>
      <c r="L86" t="s">
        <v>251</v>
      </c>
      <c r="N86" t="s">
        <v>419</v>
      </c>
      <c r="O86" t="s">
        <v>398</v>
      </c>
      <c r="P86">
        <v>2.1258464383924217E-2</v>
      </c>
      <c r="Q86" t="s">
        <v>251</v>
      </c>
      <c r="S86" t="s">
        <v>420</v>
      </c>
      <c r="T86" t="s">
        <v>398</v>
      </c>
      <c r="U86">
        <v>2.6684394480533041E-2</v>
      </c>
      <c r="V86" t="s">
        <v>251</v>
      </c>
      <c r="X86">
        <v>2.1232876712328767E-2</v>
      </c>
      <c r="Y86">
        <v>2.6758819580836844E-2</v>
      </c>
      <c r="Z86" t="s">
        <v>398</v>
      </c>
      <c r="AA86" t="s">
        <v>25</v>
      </c>
      <c r="AC86" t="s">
        <v>22</v>
      </c>
      <c r="AD86" t="s">
        <v>398</v>
      </c>
      <c r="AE86">
        <v>2.2062206634725651E-2</v>
      </c>
      <c r="AG86" t="s">
        <v>99</v>
      </c>
      <c r="AH86" t="s">
        <v>398</v>
      </c>
      <c r="AI86">
        <v>8.9535273386137204E-2</v>
      </c>
    </row>
    <row r="87" spans="9:35" x14ac:dyDescent="0.45">
      <c r="I87" t="s">
        <v>249</v>
      </c>
      <c r="J87" t="s">
        <v>399</v>
      </c>
      <c r="K87">
        <v>2.7107973361631101E-2</v>
      </c>
      <c r="L87" t="s">
        <v>251</v>
      </c>
      <c r="N87" t="s">
        <v>419</v>
      </c>
      <c r="O87" t="s">
        <v>399</v>
      </c>
      <c r="P87">
        <v>9.9256230520117783E-3</v>
      </c>
      <c r="Q87" t="s">
        <v>251</v>
      </c>
      <c r="S87" t="s">
        <v>420</v>
      </c>
      <c r="T87" t="s">
        <v>399</v>
      </c>
      <c r="U87">
        <v>1.3824183433971035E-2</v>
      </c>
      <c r="V87" t="s">
        <v>251</v>
      </c>
      <c r="X87">
        <v>1.0616438356164383E-2</v>
      </c>
      <c r="Y87">
        <v>1.6893816970390073E-2</v>
      </c>
      <c r="Z87" t="s">
        <v>399</v>
      </c>
      <c r="AA87" t="s">
        <v>25</v>
      </c>
      <c r="AC87" t="s">
        <v>22</v>
      </c>
      <c r="AD87" t="s">
        <v>399</v>
      </c>
      <c r="AE87">
        <v>7.8424718123703205E-3</v>
      </c>
      <c r="AG87" t="s">
        <v>99</v>
      </c>
      <c r="AH87" t="s">
        <v>399</v>
      </c>
      <c r="AI87">
        <v>0.14130909263031666</v>
      </c>
    </row>
    <row r="88" spans="9:35" x14ac:dyDescent="0.45">
      <c r="I88" t="s">
        <v>249</v>
      </c>
      <c r="J88" t="s">
        <v>400</v>
      </c>
      <c r="K88">
        <v>6.7472037228036002E-3</v>
      </c>
      <c r="L88" t="s">
        <v>251</v>
      </c>
      <c r="N88" t="s">
        <v>419</v>
      </c>
      <c r="O88" t="s">
        <v>400</v>
      </c>
      <c r="P88">
        <v>3.3854228657409341E-3</v>
      </c>
      <c r="Q88" t="s">
        <v>251</v>
      </c>
      <c r="S88" t="s">
        <v>420</v>
      </c>
      <c r="T88" t="s">
        <v>400</v>
      </c>
      <c r="U88">
        <v>4.5468101976986492E-3</v>
      </c>
      <c r="V88" t="s">
        <v>251</v>
      </c>
      <c r="X88">
        <v>3.5388127853881279E-3</v>
      </c>
      <c r="Y88">
        <v>6.8849497385409693E-3</v>
      </c>
      <c r="Z88" t="s">
        <v>400</v>
      </c>
      <c r="AA88" t="s">
        <v>25</v>
      </c>
      <c r="AC88" t="s">
        <v>22</v>
      </c>
      <c r="AD88" t="s">
        <v>400</v>
      </c>
      <c r="AE88">
        <v>2.4504336491081081E-3</v>
      </c>
      <c r="AG88" t="s">
        <v>99</v>
      </c>
      <c r="AH88" t="s">
        <v>400</v>
      </c>
      <c r="AI88">
        <v>1.275045288866572E-2</v>
      </c>
    </row>
    <row r="89" spans="9:35" x14ac:dyDescent="0.45">
      <c r="I89" t="s">
        <v>249</v>
      </c>
      <c r="J89" t="s">
        <v>401</v>
      </c>
      <c r="K89">
        <v>3.33787801656058E-3</v>
      </c>
      <c r="L89" t="s">
        <v>251</v>
      </c>
      <c r="N89" t="s">
        <v>419</v>
      </c>
      <c r="O89" t="s">
        <v>401</v>
      </c>
      <c r="P89">
        <v>3.3555196844821181E-3</v>
      </c>
      <c r="Q89" t="s">
        <v>251</v>
      </c>
      <c r="S89" t="s">
        <v>420</v>
      </c>
      <c r="T89" t="s">
        <v>401</v>
      </c>
      <c r="U89">
        <v>4.4926407508333321E-3</v>
      </c>
      <c r="V89" t="s">
        <v>251</v>
      </c>
      <c r="X89">
        <v>3.5388127853881279E-3</v>
      </c>
      <c r="Y89">
        <v>5.3435430806586613E-3</v>
      </c>
      <c r="Z89" t="s">
        <v>401</v>
      </c>
      <c r="AA89" t="s">
        <v>25</v>
      </c>
      <c r="AC89" t="s">
        <v>22</v>
      </c>
      <c r="AD89" t="s">
        <v>401</v>
      </c>
      <c r="AE89">
        <v>2.4725451540446898E-3</v>
      </c>
      <c r="AG89" t="s">
        <v>99</v>
      </c>
      <c r="AH89" t="s">
        <v>401</v>
      </c>
      <c r="AI89">
        <v>1.2781222176377227E-2</v>
      </c>
    </row>
    <row r="90" spans="9:35" x14ac:dyDescent="0.45">
      <c r="I90" t="s">
        <v>249</v>
      </c>
      <c r="J90" t="s">
        <v>402</v>
      </c>
      <c r="K90">
        <v>0</v>
      </c>
      <c r="L90" t="s">
        <v>251</v>
      </c>
      <c r="N90" t="s">
        <v>419</v>
      </c>
      <c r="O90" t="s">
        <v>402</v>
      </c>
      <c r="P90">
        <v>2.2334848560211083E-2</v>
      </c>
      <c r="Q90" t="s">
        <v>251</v>
      </c>
      <c r="S90" t="s">
        <v>420</v>
      </c>
      <c r="T90" t="s">
        <v>402</v>
      </c>
      <c r="U90">
        <v>2.2138222080821418E-2</v>
      </c>
      <c r="V90" t="s">
        <v>251</v>
      </c>
      <c r="X90">
        <v>1.7694063926940638E-2</v>
      </c>
      <c r="Y90">
        <v>1.3358857701646654E-2</v>
      </c>
      <c r="Z90" t="s">
        <v>402</v>
      </c>
      <c r="AA90" t="s">
        <v>25</v>
      </c>
      <c r="AC90" t="s">
        <v>22</v>
      </c>
      <c r="AD90" t="s">
        <v>402</v>
      </c>
      <c r="AE90">
        <v>1.7089798589052418E-2</v>
      </c>
      <c r="AG90" t="s">
        <v>99</v>
      </c>
      <c r="AH90" t="s">
        <v>402</v>
      </c>
      <c r="AI90">
        <v>0.1337282277278935</v>
      </c>
    </row>
    <row r="91" spans="9:35" x14ac:dyDescent="0.45">
      <c r="I91" t="s">
        <v>249</v>
      </c>
      <c r="J91" t="s">
        <v>403</v>
      </c>
      <c r="K91">
        <v>3.8090221314169098E-6</v>
      </c>
      <c r="L91" t="s">
        <v>251</v>
      </c>
      <c r="N91" t="s">
        <v>419</v>
      </c>
      <c r="O91" t="s">
        <v>403</v>
      </c>
      <c r="P91">
        <v>3.009277985070876E-2</v>
      </c>
      <c r="Q91" t="s">
        <v>251</v>
      </c>
      <c r="S91" t="s">
        <v>420</v>
      </c>
      <c r="T91" t="s">
        <v>403</v>
      </c>
      <c r="U91">
        <v>1.8828910873338951E-2</v>
      </c>
      <c r="V91" t="s">
        <v>251</v>
      </c>
      <c r="X91">
        <v>2.0547945205479451E-2</v>
      </c>
      <c r="Y91">
        <v>4.3954951147353507E-3</v>
      </c>
      <c r="Z91" t="s">
        <v>403</v>
      </c>
      <c r="AA91" t="s">
        <v>25</v>
      </c>
      <c r="AC91" t="s">
        <v>22</v>
      </c>
      <c r="AD91" t="s">
        <v>403</v>
      </c>
      <c r="AE91">
        <v>2.2260433007780876E-2</v>
      </c>
      <c r="AG91" t="s">
        <v>99</v>
      </c>
      <c r="AH91" t="s">
        <v>403</v>
      </c>
      <c r="AI91">
        <v>6.8438377491133906E-2</v>
      </c>
    </row>
    <row r="92" spans="9:35" x14ac:dyDescent="0.45">
      <c r="I92" t="s">
        <v>249</v>
      </c>
      <c r="J92" t="s">
        <v>404</v>
      </c>
      <c r="K92">
        <v>4.2174220768100264E-3</v>
      </c>
      <c r="L92" t="s">
        <v>251</v>
      </c>
      <c r="N92" t="s">
        <v>419</v>
      </c>
      <c r="O92" t="s">
        <v>404</v>
      </c>
      <c r="P92">
        <v>4.2806558018010097E-3</v>
      </c>
      <c r="Q92" t="s">
        <v>251</v>
      </c>
      <c r="S92" t="s">
        <v>420</v>
      </c>
      <c r="T92" t="s">
        <v>404</v>
      </c>
      <c r="U92">
        <v>3.0236851410871714E-3</v>
      </c>
      <c r="V92" t="s">
        <v>251</v>
      </c>
      <c r="X92">
        <v>3.4246575342465752E-3</v>
      </c>
      <c r="Y92">
        <v>5.0717251323869452E-3</v>
      </c>
      <c r="Z92" t="s">
        <v>404</v>
      </c>
      <c r="AA92" t="s">
        <v>25</v>
      </c>
      <c r="AC92" t="s">
        <v>22</v>
      </c>
      <c r="AD92" t="s">
        <v>404</v>
      </c>
      <c r="AE92">
        <v>3.7478698159495389E-3</v>
      </c>
      <c r="AG92" t="s">
        <v>99</v>
      </c>
      <c r="AH92" t="s">
        <v>404</v>
      </c>
      <c r="AI92">
        <v>5.810617310985644E-2</v>
      </c>
    </row>
    <row r="93" spans="9:35" x14ac:dyDescent="0.45">
      <c r="I93" t="s">
        <v>249</v>
      </c>
      <c r="J93" t="s">
        <v>405</v>
      </c>
      <c r="K93">
        <v>7.2308135574651999E-3</v>
      </c>
      <c r="L93" t="s">
        <v>251</v>
      </c>
      <c r="N93" t="s">
        <v>419</v>
      </c>
      <c r="O93" t="s">
        <v>405</v>
      </c>
      <c r="P93">
        <v>3.8538588286688457E-3</v>
      </c>
      <c r="Q93" t="s">
        <v>251</v>
      </c>
      <c r="S93" t="s">
        <v>420</v>
      </c>
      <c r="T93" t="s">
        <v>405</v>
      </c>
      <c r="U93">
        <v>2.9603012804413288E-3</v>
      </c>
      <c r="V93" t="s">
        <v>251</v>
      </c>
      <c r="X93">
        <v>3.4246575342465752E-3</v>
      </c>
      <c r="Y93">
        <v>5.7181214727892006E-3</v>
      </c>
      <c r="Z93" t="s">
        <v>405</v>
      </c>
      <c r="AA93" t="s">
        <v>25</v>
      </c>
      <c r="AC93" t="s">
        <v>22</v>
      </c>
      <c r="AD93" t="s">
        <v>405</v>
      </c>
      <c r="AE93">
        <v>3.7621481773000192E-3</v>
      </c>
      <c r="AG93" t="s">
        <v>99</v>
      </c>
      <c r="AH93" t="s">
        <v>405</v>
      </c>
      <c r="AI93">
        <v>5.5035171020012763E-2</v>
      </c>
    </row>
    <row r="94" spans="9:35" x14ac:dyDescent="0.45">
      <c r="I94" t="s">
        <v>249</v>
      </c>
      <c r="J94" t="s">
        <v>406</v>
      </c>
      <c r="K94">
        <v>6.0288203719271301E-2</v>
      </c>
      <c r="L94" t="s">
        <v>251</v>
      </c>
      <c r="N94" t="s">
        <v>419</v>
      </c>
      <c r="O94" t="s">
        <v>406</v>
      </c>
      <c r="P94">
        <v>1.7014136309921917E-2</v>
      </c>
      <c r="Q94" t="s">
        <v>251</v>
      </c>
      <c r="S94" t="s">
        <v>420</v>
      </c>
      <c r="T94" t="s">
        <v>406</v>
      </c>
      <c r="U94">
        <v>1.8352404363144538E-2</v>
      </c>
      <c r="V94" t="s">
        <v>251</v>
      </c>
      <c r="X94">
        <v>2.0547945205479451E-2</v>
      </c>
      <c r="Y94">
        <v>2.5895631852422749E-2</v>
      </c>
      <c r="Z94" t="s">
        <v>406</v>
      </c>
      <c r="AA94" t="s">
        <v>25</v>
      </c>
      <c r="AC94" t="s">
        <v>22</v>
      </c>
      <c r="AD94" t="s">
        <v>406</v>
      </c>
      <c r="AE94">
        <v>2.1069580739219031E-2</v>
      </c>
      <c r="AG94" t="s">
        <v>99</v>
      </c>
      <c r="AH94" t="s">
        <v>406</v>
      </c>
      <c r="AI94">
        <v>0.10874677642572528</v>
      </c>
    </row>
    <row r="95" spans="9:35" x14ac:dyDescent="0.45">
      <c r="I95" t="s">
        <v>249</v>
      </c>
      <c r="J95" t="s">
        <v>407</v>
      </c>
      <c r="K95">
        <v>2.7882090840113501E-2</v>
      </c>
      <c r="L95" t="s">
        <v>251</v>
      </c>
      <c r="N95" t="s">
        <v>419</v>
      </c>
      <c r="O95" t="s">
        <v>407</v>
      </c>
      <c r="P95">
        <v>7.5583101296307093E-3</v>
      </c>
      <c r="Q95" t="s">
        <v>251</v>
      </c>
      <c r="S95" t="s">
        <v>420</v>
      </c>
      <c r="T95" t="s">
        <v>407</v>
      </c>
      <c r="U95">
        <v>9.7236148432749466E-3</v>
      </c>
      <c r="V95" t="s">
        <v>251</v>
      </c>
      <c r="X95">
        <v>1.0273972602739725E-2</v>
      </c>
      <c r="Y95">
        <v>1.6348855132635558E-2</v>
      </c>
      <c r="Z95" t="s">
        <v>407</v>
      </c>
      <c r="AA95" t="s">
        <v>25</v>
      </c>
      <c r="AC95" t="s">
        <v>22</v>
      </c>
      <c r="AD95" t="s">
        <v>407</v>
      </c>
      <c r="AE95">
        <v>7.4430039204518537E-3</v>
      </c>
      <c r="AG95" t="s">
        <v>99</v>
      </c>
      <c r="AH95" t="s">
        <v>407</v>
      </c>
      <c r="AI95">
        <v>5.4528305774245167E-2</v>
      </c>
    </row>
    <row r="96" spans="9:35" x14ac:dyDescent="0.45">
      <c r="I96" t="s">
        <v>249</v>
      </c>
      <c r="J96" t="s">
        <v>408</v>
      </c>
      <c r="K96">
        <v>7.0415792442286998E-3</v>
      </c>
      <c r="L96" t="s">
        <v>251</v>
      </c>
      <c r="N96" t="s">
        <v>419</v>
      </c>
      <c r="O96" t="s">
        <v>408</v>
      </c>
      <c r="P96">
        <v>2.9598672303039887E-3</v>
      </c>
      <c r="Q96" t="s">
        <v>251</v>
      </c>
      <c r="S96" t="s">
        <v>420</v>
      </c>
      <c r="T96" t="s">
        <v>408</v>
      </c>
      <c r="U96">
        <v>3.2563955971113821E-3</v>
      </c>
      <c r="V96" t="s">
        <v>251</v>
      </c>
      <c r="X96">
        <v>3.4246575342465752E-3</v>
      </c>
      <c r="Y96">
        <v>6.662854585684809E-3</v>
      </c>
      <c r="Z96" t="s">
        <v>408</v>
      </c>
      <c r="AA96" t="s">
        <v>25</v>
      </c>
      <c r="AC96" t="s">
        <v>22</v>
      </c>
      <c r="AD96" t="s">
        <v>408</v>
      </c>
      <c r="AE96">
        <v>2.3591696150160315E-3</v>
      </c>
      <c r="AG96" t="s">
        <v>99</v>
      </c>
      <c r="AH96" t="s">
        <v>408</v>
      </c>
      <c r="AI96">
        <v>2.5864249786949456E-2</v>
      </c>
    </row>
    <row r="97" spans="9:35" x14ac:dyDescent="0.45">
      <c r="I97" t="s">
        <v>249</v>
      </c>
      <c r="J97" t="s">
        <v>409</v>
      </c>
      <c r="K97">
        <v>4.1807614240014232E-3</v>
      </c>
      <c r="L97" t="s">
        <v>251</v>
      </c>
      <c r="N97" t="s">
        <v>419</v>
      </c>
      <c r="O97" t="s">
        <v>409</v>
      </c>
      <c r="P97">
        <v>3.3455294891401029E-3</v>
      </c>
      <c r="Q97" t="s">
        <v>251</v>
      </c>
      <c r="S97" t="s">
        <v>420</v>
      </c>
      <c r="T97" t="s">
        <v>409</v>
      </c>
      <c r="U97">
        <v>3.238425197695286E-3</v>
      </c>
      <c r="V97" t="s">
        <v>251</v>
      </c>
      <c r="X97">
        <v>3.4246575342465752E-3</v>
      </c>
      <c r="Y97">
        <v>5.1711707232180593E-3</v>
      </c>
      <c r="Z97" t="s">
        <v>409</v>
      </c>
      <c r="AA97" t="s">
        <v>25</v>
      </c>
      <c r="AC97" t="s">
        <v>22</v>
      </c>
      <c r="AD97" t="s">
        <v>409</v>
      </c>
      <c r="AE97">
        <v>2.3797859723935933E-3</v>
      </c>
      <c r="AG97" t="s">
        <v>99</v>
      </c>
      <c r="AH97" t="s">
        <v>409</v>
      </c>
      <c r="AI97">
        <v>2.7494936993699426E-2</v>
      </c>
    </row>
    <row r="98" spans="9:35" x14ac:dyDescent="0.45">
      <c r="I98" t="s">
        <v>249</v>
      </c>
      <c r="J98" t="s">
        <v>410</v>
      </c>
      <c r="K98">
        <v>5.9271588075933296E-5</v>
      </c>
      <c r="L98" t="s">
        <v>251</v>
      </c>
      <c r="N98" t="s">
        <v>419</v>
      </c>
      <c r="O98" t="s">
        <v>410</v>
      </c>
      <c r="P98">
        <v>2.3746828472602736E-2</v>
      </c>
      <c r="Q98" t="s">
        <v>251</v>
      </c>
      <c r="S98" t="s">
        <v>420</v>
      </c>
      <c r="T98" t="s">
        <v>410</v>
      </c>
      <c r="U98">
        <v>1.5881674826197154E-2</v>
      </c>
      <c r="V98" t="s">
        <v>251</v>
      </c>
      <c r="X98">
        <v>1.7123287671232876E-2</v>
      </c>
      <c r="Y98">
        <v>1.2927926808045149E-2</v>
      </c>
      <c r="Z98" t="s">
        <v>410</v>
      </c>
      <c r="AA98" t="s">
        <v>25</v>
      </c>
      <c r="AC98" t="s">
        <v>22</v>
      </c>
      <c r="AD98" t="s">
        <v>410</v>
      </c>
      <c r="AE98">
        <v>1.6329373744555842E-2</v>
      </c>
      <c r="AG98" t="s">
        <v>99</v>
      </c>
      <c r="AH98" t="s">
        <v>410</v>
      </c>
      <c r="AI98">
        <v>0.14805486992572869</v>
      </c>
    </row>
    <row r="99" spans="9:35" x14ac:dyDescent="0.45">
      <c r="I99" t="s">
        <v>249</v>
      </c>
      <c r="J99" t="s">
        <v>411</v>
      </c>
      <c r="K99">
        <v>7.8154013398572715E-6</v>
      </c>
      <c r="L99" t="s">
        <v>251</v>
      </c>
      <c r="N99" t="s">
        <v>419</v>
      </c>
      <c r="O99" t="s">
        <v>411</v>
      </c>
      <c r="P99">
        <v>2.9783315040227628E-2</v>
      </c>
      <c r="Q99" t="s">
        <v>251</v>
      </c>
      <c r="S99" t="s">
        <v>420</v>
      </c>
      <c r="T99" t="s">
        <v>411</v>
      </c>
      <c r="U99">
        <v>2.0587673359039552E-2</v>
      </c>
      <c r="V99" t="s">
        <v>251</v>
      </c>
      <c r="X99">
        <v>2.1232876712328767E-2</v>
      </c>
      <c r="Y99">
        <v>4.5420116185598634E-3</v>
      </c>
      <c r="Z99" t="s">
        <v>411</v>
      </c>
      <c r="AA99" t="s">
        <v>25</v>
      </c>
      <c r="AC99" t="s">
        <v>22</v>
      </c>
      <c r="AD99" t="s">
        <v>411</v>
      </c>
      <c r="AE99">
        <v>2.3543483033091887E-2</v>
      </c>
      <c r="AG99" t="s">
        <v>99</v>
      </c>
      <c r="AH99" t="s">
        <v>411</v>
      </c>
      <c r="AI99">
        <v>0.11023422030113306</v>
      </c>
    </row>
    <row r="100" spans="9:35" x14ac:dyDescent="0.45">
      <c r="I100" t="s">
        <v>249</v>
      </c>
      <c r="J100" t="s">
        <v>412</v>
      </c>
      <c r="K100">
        <v>3.3569483176486771E-3</v>
      </c>
      <c r="L100" t="s">
        <v>251</v>
      </c>
      <c r="N100" t="s">
        <v>419</v>
      </c>
      <c r="O100" t="s">
        <v>412</v>
      </c>
      <c r="P100">
        <v>4.3790628797977845E-3</v>
      </c>
      <c r="Q100" t="s">
        <v>251</v>
      </c>
      <c r="S100" t="s">
        <v>420</v>
      </c>
      <c r="T100" t="s">
        <v>412</v>
      </c>
      <c r="U100">
        <v>3.4986673592877107E-3</v>
      </c>
      <c r="V100" t="s">
        <v>251</v>
      </c>
      <c r="X100">
        <v>3.5388127853881279E-3</v>
      </c>
      <c r="Y100">
        <v>5.240782636799844E-3</v>
      </c>
      <c r="Z100" t="s">
        <v>412</v>
      </c>
      <c r="AA100" t="s">
        <v>25</v>
      </c>
      <c r="AC100" t="s">
        <v>22</v>
      </c>
      <c r="AD100" t="s">
        <v>412</v>
      </c>
      <c r="AE100">
        <v>3.9673982100870749E-3</v>
      </c>
      <c r="AG100" t="s">
        <v>99</v>
      </c>
      <c r="AH100" t="s">
        <v>412</v>
      </c>
      <c r="AI100">
        <v>0.10400483630387303</v>
      </c>
    </row>
    <row r="101" spans="9:35" x14ac:dyDescent="0.45">
      <c r="I101" t="s">
        <v>249</v>
      </c>
      <c r="J101" t="s">
        <v>413</v>
      </c>
      <c r="K101">
        <v>6.4302276041504E-3</v>
      </c>
      <c r="L101" t="s">
        <v>251</v>
      </c>
      <c r="N101" t="s">
        <v>419</v>
      </c>
      <c r="O101" t="s">
        <v>413</v>
      </c>
      <c r="P101">
        <v>3.7729951204138229E-3</v>
      </c>
      <c r="Q101" t="s">
        <v>251</v>
      </c>
      <c r="S101" t="s">
        <v>420</v>
      </c>
      <c r="T101" t="s">
        <v>413</v>
      </c>
      <c r="U101">
        <v>3.4928716870599335E-3</v>
      </c>
      <c r="V101" t="s">
        <v>251</v>
      </c>
      <c r="X101">
        <v>3.5388127853881279E-3</v>
      </c>
      <c r="Y101">
        <v>5.9087255218821738E-3</v>
      </c>
      <c r="Z101" t="s">
        <v>413</v>
      </c>
      <c r="AA101" t="s">
        <v>25</v>
      </c>
      <c r="AC101" t="s">
        <v>22</v>
      </c>
      <c r="AD101" t="s">
        <v>413</v>
      </c>
      <c r="AE101">
        <v>3.9633952652278663E-3</v>
      </c>
      <c r="AG101" t="s">
        <v>99</v>
      </c>
      <c r="AH101" t="s">
        <v>413</v>
      </c>
      <c r="AI101">
        <v>7.4066305318186254E-2</v>
      </c>
    </row>
    <row r="102" spans="9:35" x14ac:dyDescent="0.45">
      <c r="I102" t="s">
        <v>249</v>
      </c>
      <c r="J102" t="s">
        <v>414</v>
      </c>
      <c r="K102">
        <v>5.8339775957822602E-2</v>
      </c>
      <c r="L102" t="s">
        <v>251</v>
      </c>
      <c r="N102" t="s">
        <v>419</v>
      </c>
      <c r="O102" t="s">
        <v>414</v>
      </c>
      <c r="P102">
        <v>1.7468390542046991E-2</v>
      </c>
      <c r="Q102" t="s">
        <v>251</v>
      </c>
      <c r="S102" t="s">
        <v>420</v>
      </c>
      <c r="T102" t="s">
        <v>414</v>
      </c>
      <c r="U102">
        <v>2.1873171101000038E-2</v>
      </c>
      <c r="V102" t="s">
        <v>251</v>
      </c>
      <c r="X102">
        <v>2.1232876712328767E-2</v>
      </c>
      <c r="Y102">
        <v>2.6758819580836844E-2</v>
      </c>
      <c r="Z102" t="s">
        <v>414</v>
      </c>
      <c r="AA102" t="s">
        <v>25</v>
      </c>
      <c r="AC102" t="s">
        <v>22</v>
      </c>
      <c r="AD102" t="s">
        <v>414</v>
      </c>
      <c r="AE102">
        <v>2.2049068155943537E-2</v>
      </c>
      <c r="AG102" t="s">
        <v>99</v>
      </c>
      <c r="AH102" t="s">
        <v>414</v>
      </c>
      <c r="AI102">
        <v>0.12911283864389511</v>
      </c>
    </row>
    <row r="103" spans="9:35" x14ac:dyDescent="0.45">
      <c r="I103" t="s">
        <v>249</v>
      </c>
      <c r="J103" t="s">
        <v>415</v>
      </c>
      <c r="K103">
        <v>2.6819735968727498E-2</v>
      </c>
      <c r="L103" t="s">
        <v>251</v>
      </c>
      <c r="N103" t="s">
        <v>419</v>
      </c>
      <c r="O103" t="s">
        <v>415</v>
      </c>
      <c r="P103">
        <v>7.5630787877283816E-3</v>
      </c>
      <c r="Q103" t="s">
        <v>251</v>
      </c>
      <c r="S103" t="s">
        <v>420</v>
      </c>
      <c r="T103" t="s">
        <v>415</v>
      </c>
      <c r="U103">
        <v>1.1295279616735264E-2</v>
      </c>
      <c r="V103" t="s">
        <v>251</v>
      </c>
      <c r="X103">
        <v>1.0616438356164383E-2</v>
      </c>
      <c r="Y103">
        <v>1.6893816970390073E-2</v>
      </c>
      <c r="Z103" t="s">
        <v>415</v>
      </c>
      <c r="AA103" t="s">
        <v>25</v>
      </c>
      <c r="AC103" t="s">
        <v>22</v>
      </c>
      <c r="AD103" t="s">
        <v>415</v>
      </c>
      <c r="AE103">
        <v>7.9396068416197289E-3</v>
      </c>
      <c r="AG103" t="s">
        <v>99</v>
      </c>
      <c r="AH103" t="s">
        <v>415</v>
      </c>
      <c r="AI103">
        <v>6.2183768556017149E-2</v>
      </c>
    </row>
    <row r="104" spans="9:35" x14ac:dyDescent="0.45">
      <c r="I104" t="s">
        <v>249</v>
      </c>
      <c r="J104" t="s">
        <v>416</v>
      </c>
      <c r="K104">
        <v>6.7134710151176002E-3</v>
      </c>
      <c r="L104" t="s">
        <v>251</v>
      </c>
      <c r="N104" t="s">
        <v>419</v>
      </c>
      <c r="O104" t="s">
        <v>416</v>
      </c>
      <c r="P104">
        <v>2.8396267792552905E-3</v>
      </c>
      <c r="Q104" t="s">
        <v>251</v>
      </c>
      <c r="S104" t="s">
        <v>420</v>
      </c>
      <c r="T104" t="s">
        <v>416</v>
      </c>
      <c r="U104">
        <v>3.800250958987022E-3</v>
      </c>
      <c r="V104" t="s">
        <v>251</v>
      </c>
      <c r="X104">
        <v>3.5388127853881279E-3</v>
      </c>
      <c r="Y104">
        <v>6.8849497385409693E-3</v>
      </c>
      <c r="Z104" t="s">
        <v>416</v>
      </c>
      <c r="AA104" t="s">
        <v>25</v>
      </c>
      <c r="AC104" t="s">
        <v>22</v>
      </c>
      <c r="AD104" t="s">
        <v>416</v>
      </c>
      <c r="AE104">
        <v>2.5116069854195398E-3</v>
      </c>
      <c r="AG104" t="s">
        <v>99</v>
      </c>
      <c r="AH104" t="s">
        <v>416</v>
      </c>
      <c r="AI104">
        <v>2.6522664700230569E-2</v>
      </c>
    </row>
    <row r="105" spans="9:35" x14ac:dyDescent="0.45">
      <c r="I105" t="s">
        <v>249</v>
      </c>
      <c r="J105" t="s">
        <v>417</v>
      </c>
      <c r="K105">
        <v>4.3636159800594957E-3</v>
      </c>
      <c r="L105" t="s">
        <v>251</v>
      </c>
      <c r="N105" t="s">
        <v>419</v>
      </c>
      <c r="O105" t="s">
        <v>417</v>
      </c>
      <c r="P105">
        <v>2.9791966895662955E-3</v>
      </c>
      <c r="Q105" t="s">
        <v>251</v>
      </c>
      <c r="S105" t="s">
        <v>420</v>
      </c>
      <c r="T105" t="s">
        <v>417</v>
      </c>
      <c r="U105">
        <v>3.7640084620224664E-3</v>
      </c>
      <c r="V105" t="s">
        <v>251</v>
      </c>
      <c r="X105">
        <v>3.5388127853881279E-3</v>
      </c>
      <c r="Y105">
        <v>5.3435430806586613E-3</v>
      </c>
      <c r="Z105" t="s">
        <v>417</v>
      </c>
      <c r="AA105" t="s">
        <v>25</v>
      </c>
      <c r="AC105" t="s">
        <v>22</v>
      </c>
      <c r="AD105" t="s">
        <v>417</v>
      </c>
      <c r="AE105">
        <v>2.5292032638631447E-3</v>
      </c>
      <c r="AG105" t="s">
        <v>99</v>
      </c>
      <c r="AH105" t="s">
        <v>417</v>
      </c>
      <c r="AI105">
        <v>2.5865442867635702E-2</v>
      </c>
    </row>
    <row r="106" spans="9:35" x14ac:dyDescent="0.45">
      <c r="I106" t="s">
        <v>249</v>
      </c>
      <c r="J106" t="s">
        <v>418</v>
      </c>
      <c r="K106">
        <v>9.7873174655531696E-4</v>
      </c>
      <c r="L106" t="s">
        <v>251</v>
      </c>
      <c r="N106" t="s">
        <v>419</v>
      </c>
      <c r="O106" t="s">
        <v>418</v>
      </c>
      <c r="P106">
        <v>2.1583413457200773E-2</v>
      </c>
      <c r="Q106" t="s">
        <v>251</v>
      </c>
      <c r="S106" t="s">
        <v>420</v>
      </c>
      <c r="T106" t="s">
        <v>418</v>
      </c>
      <c r="U106">
        <v>1.7666422501777586E-2</v>
      </c>
      <c r="V106" t="s">
        <v>251</v>
      </c>
      <c r="X106">
        <v>1.7694063926940638E-2</v>
      </c>
      <c r="Y106">
        <v>1.3358857701646654E-2</v>
      </c>
      <c r="Z106" t="s">
        <v>418</v>
      </c>
      <c r="AA106" t="s">
        <v>25</v>
      </c>
      <c r="AC106" t="s">
        <v>22</v>
      </c>
      <c r="AD106" t="s">
        <v>418</v>
      </c>
      <c r="AE106">
        <v>1.7246656839578167E-2</v>
      </c>
      <c r="AG106" t="s">
        <v>99</v>
      </c>
      <c r="AH106" t="s">
        <v>418</v>
      </c>
      <c r="AI106">
        <v>0.15733680317509191</v>
      </c>
    </row>
    <row r="107" spans="9:35" x14ac:dyDescent="0.45">
      <c r="AC107" t="s">
        <v>19</v>
      </c>
      <c r="AD107" t="s">
        <v>250</v>
      </c>
      <c r="AE107">
        <v>2.1456565378467178E-2</v>
      </c>
    </row>
    <row r="108" spans="9:35" x14ac:dyDescent="0.45">
      <c r="AC108" t="s">
        <v>19</v>
      </c>
      <c r="AD108" t="s">
        <v>252</v>
      </c>
      <c r="AE108">
        <v>3.576040295125745E-3</v>
      </c>
    </row>
    <row r="109" spans="9:35" x14ac:dyDescent="0.45">
      <c r="AC109" t="s">
        <v>19</v>
      </c>
      <c r="AD109" t="s">
        <v>253</v>
      </c>
      <c r="AE109">
        <v>3.5736532532879115E-3</v>
      </c>
    </row>
    <row r="110" spans="9:35" x14ac:dyDescent="0.45">
      <c r="AC110" t="s">
        <v>19</v>
      </c>
      <c r="AD110" t="s">
        <v>254</v>
      </c>
      <c r="AE110">
        <v>2.1308912110266864E-2</v>
      </c>
    </row>
    <row r="111" spans="9:35" x14ac:dyDescent="0.45">
      <c r="AC111" t="s">
        <v>19</v>
      </c>
      <c r="AD111" t="s">
        <v>255</v>
      </c>
      <c r="AE111">
        <v>1.044333875225935E-2</v>
      </c>
    </row>
    <row r="112" spans="9:35" x14ac:dyDescent="0.45">
      <c r="AC112" t="s">
        <v>19</v>
      </c>
      <c r="AD112" t="s">
        <v>256</v>
      </c>
      <c r="AE112">
        <v>3.4710603292848782E-3</v>
      </c>
    </row>
    <row r="113" spans="29:31" x14ac:dyDescent="0.45">
      <c r="AC113" t="s">
        <v>19</v>
      </c>
      <c r="AD113" t="s">
        <v>257</v>
      </c>
      <c r="AE113">
        <v>3.4720253530016311E-3</v>
      </c>
    </row>
    <row r="114" spans="29:31" x14ac:dyDescent="0.45">
      <c r="AC114" t="s">
        <v>19</v>
      </c>
      <c r="AD114" t="s">
        <v>258</v>
      </c>
      <c r="AE114">
        <v>1.7648070356031446E-2</v>
      </c>
    </row>
    <row r="115" spans="29:31" x14ac:dyDescent="0.45">
      <c r="AC115" t="s">
        <v>19</v>
      </c>
      <c r="AD115" t="s">
        <v>259</v>
      </c>
      <c r="AE115">
        <v>1.9338882885437635E-2</v>
      </c>
    </row>
    <row r="116" spans="29:31" x14ac:dyDescent="0.45">
      <c r="AC116" t="s">
        <v>19</v>
      </c>
      <c r="AD116" t="s">
        <v>260</v>
      </c>
      <c r="AE116">
        <v>3.2252687047878417E-3</v>
      </c>
    </row>
    <row r="117" spans="29:31" x14ac:dyDescent="0.45">
      <c r="AC117" t="s">
        <v>19</v>
      </c>
      <c r="AD117" t="s">
        <v>261</v>
      </c>
      <c r="AE117">
        <v>3.2251801669548538E-3</v>
      </c>
    </row>
    <row r="118" spans="29:31" x14ac:dyDescent="0.45">
      <c r="AC118" t="s">
        <v>19</v>
      </c>
      <c r="AD118" t="s">
        <v>262</v>
      </c>
      <c r="AE118">
        <v>1.9240831294999098E-2</v>
      </c>
    </row>
    <row r="119" spans="29:31" x14ac:dyDescent="0.45">
      <c r="AC119" t="s">
        <v>19</v>
      </c>
      <c r="AD119" t="s">
        <v>263</v>
      </c>
      <c r="AE119">
        <v>9.4468789817617298E-3</v>
      </c>
    </row>
    <row r="120" spans="29:31" x14ac:dyDescent="0.45">
      <c r="AC120" t="s">
        <v>19</v>
      </c>
      <c r="AD120" t="s">
        <v>264</v>
      </c>
      <c r="AE120">
        <v>3.1401567833205745E-3</v>
      </c>
    </row>
    <row r="121" spans="29:31" x14ac:dyDescent="0.45">
      <c r="AC121" t="s">
        <v>19</v>
      </c>
      <c r="AD121" t="s">
        <v>265</v>
      </c>
      <c r="AE121">
        <v>3.1404962427850408E-3</v>
      </c>
    </row>
    <row r="122" spans="29:31" x14ac:dyDescent="0.45">
      <c r="AC122" t="s">
        <v>19</v>
      </c>
      <c r="AD122" t="s">
        <v>266</v>
      </c>
      <c r="AE122">
        <v>1.5953616264111251E-2</v>
      </c>
    </row>
    <row r="123" spans="29:31" x14ac:dyDescent="0.45">
      <c r="AC123" t="s">
        <v>19</v>
      </c>
      <c r="AD123" t="s">
        <v>267</v>
      </c>
      <c r="AE123">
        <v>2.1406099770568909E-2</v>
      </c>
    </row>
    <row r="124" spans="29:31" x14ac:dyDescent="0.45">
      <c r="AC124" t="s">
        <v>19</v>
      </c>
      <c r="AD124" t="s">
        <v>268</v>
      </c>
      <c r="AE124">
        <v>3.5705543953033956E-3</v>
      </c>
    </row>
    <row r="125" spans="29:31" x14ac:dyDescent="0.45">
      <c r="AC125" t="s">
        <v>19</v>
      </c>
      <c r="AD125" t="s">
        <v>269</v>
      </c>
      <c r="AE125">
        <v>3.5700579648337196E-3</v>
      </c>
    </row>
    <row r="126" spans="29:31" x14ac:dyDescent="0.45">
      <c r="AC126" t="s">
        <v>19</v>
      </c>
      <c r="AD126" t="s">
        <v>270</v>
      </c>
      <c r="AE126">
        <v>2.1303818855435835E-2</v>
      </c>
    </row>
    <row r="127" spans="29:31" x14ac:dyDescent="0.45">
      <c r="AC127" t="s">
        <v>19</v>
      </c>
      <c r="AD127" t="s">
        <v>271</v>
      </c>
      <c r="AE127">
        <v>1.0459243370575593E-2</v>
      </c>
    </row>
    <row r="128" spans="29:31" x14ac:dyDescent="0.45">
      <c r="AC128" t="s">
        <v>19</v>
      </c>
      <c r="AD128" t="s">
        <v>272</v>
      </c>
      <c r="AE128">
        <v>3.4767112516424447E-3</v>
      </c>
    </row>
    <row r="129" spans="29:31" x14ac:dyDescent="0.45">
      <c r="AC129" t="s">
        <v>19</v>
      </c>
      <c r="AD129" t="s">
        <v>273</v>
      </c>
      <c r="AE129">
        <v>3.4773333362419063E-3</v>
      </c>
    </row>
    <row r="130" spans="29:31" x14ac:dyDescent="0.45">
      <c r="AC130" t="s">
        <v>19</v>
      </c>
      <c r="AD130" t="s">
        <v>274</v>
      </c>
      <c r="AE130">
        <v>1.7662409062916596E-2</v>
      </c>
    </row>
    <row r="131" spans="29:31" x14ac:dyDescent="0.45">
      <c r="AC131" t="s">
        <v>19</v>
      </c>
      <c r="AD131" t="s">
        <v>275</v>
      </c>
      <c r="AE131">
        <v>2.0694850968251445E-2</v>
      </c>
    </row>
    <row r="132" spans="29:31" x14ac:dyDescent="0.45">
      <c r="AC132" t="s">
        <v>19</v>
      </c>
      <c r="AD132" t="s">
        <v>276</v>
      </c>
      <c r="AE132">
        <v>3.4504237579177808E-3</v>
      </c>
    </row>
    <row r="133" spans="29:31" x14ac:dyDescent="0.45">
      <c r="AC133" t="s">
        <v>19</v>
      </c>
      <c r="AD133" t="s">
        <v>277</v>
      </c>
      <c r="AE133">
        <v>3.4522266047091348E-3</v>
      </c>
    </row>
    <row r="134" spans="29:31" x14ac:dyDescent="0.45">
      <c r="AC134" t="s">
        <v>19</v>
      </c>
      <c r="AD134" t="s">
        <v>278</v>
      </c>
      <c r="AE134">
        <v>2.0660796765939099E-2</v>
      </c>
    </row>
    <row r="135" spans="29:31" x14ac:dyDescent="0.45">
      <c r="AC135" t="s">
        <v>19</v>
      </c>
      <c r="AD135" t="s">
        <v>279</v>
      </c>
      <c r="AE135">
        <v>1.0145478419643389E-2</v>
      </c>
    </row>
    <row r="136" spans="29:31" x14ac:dyDescent="0.45">
      <c r="AC136" t="s">
        <v>19</v>
      </c>
      <c r="AD136" t="s">
        <v>280</v>
      </c>
      <c r="AE136">
        <v>3.361101456532469E-3</v>
      </c>
    </row>
    <row r="137" spans="29:31" x14ac:dyDescent="0.45">
      <c r="AC137" t="s">
        <v>19</v>
      </c>
      <c r="AD137" t="s">
        <v>281</v>
      </c>
      <c r="AE137">
        <v>3.3621372331899936E-3</v>
      </c>
    </row>
    <row r="138" spans="29:31" x14ac:dyDescent="0.45">
      <c r="AC138" t="s">
        <v>19</v>
      </c>
      <c r="AD138" t="s">
        <v>282</v>
      </c>
      <c r="AE138">
        <v>1.7050597402635478E-2</v>
      </c>
    </row>
    <row r="139" spans="29:31" x14ac:dyDescent="0.45">
      <c r="AC139" t="s">
        <v>19</v>
      </c>
      <c r="AD139" t="s">
        <v>283</v>
      </c>
      <c r="AE139">
        <v>2.1374416033414972E-2</v>
      </c>
    </row>
    <row r="140" spans="29:31" x14ac:dyDescent="0.45">
      <c r="AC140" t="s">
        <v>19</v>
      </c>
      <c r="AD140" t="s">
        <v>284</v>
      </c>
      <c r="AE140">
        <v>3.5620745538620506E-3</v>
      </c>
    </row>
    <row r="141" spans="29:31" x14ac:dyDescent="0.45">
      <c r="AC141" t="s">
        <v>19</v>
      </c>
      <c r="AD141" t="s">
        <v>285</v>
      </c>
      <c r="AE141">
        <v>3.5664167739593473E-3</v>
      </c>
    </row>
    <row r="142" spans="29:31" x14ac:dyDescent="0.45">
      <c r="AC142" t="s">
        <v>19</v>
      </c>
      <c r="AD142" t="s">
        <v>286</v>
      </c>
      <c r="AE142">
        <v>2.1376660022858898E-2</v>
      </c>
    </row>
    <row r="143" spans="29:31" x14ac:dyDescent="0.45">
      <c r="AC143" t="s">
        <v>19</v>
      </c>
      <c r="AD143" t="s">
        <v>287</v>
      </c>
      <c r="AE143">
        <v>1.0489346837897689E-2</v>
      </c>
    </row>
    <row r="144" spans="29:31" x14ac:dyDescent="0.45">
      <c r="AC144" t="s">
        <v>19</v>
      </c>
      <c r="AD144" t="s">
        <v>288</v>
      </c>
      <c r="AE144">
        <v>3.4713576849501643E-3</v>
      </c>
    </row>
    <row r="145" spans="29:31" x14ac:dyDescent="0.45">
      <c r="AC145" t="s">
        <v>19</v>
      </c>
      <c r="AD145" t="s">
        <v>289</v>
      </c>
      <c r="AE145">
        <v>3.4729768833979854E-3</v>
      </c>
    </row>
    <row r="146" spans="29:31" x14ac:dyDescent="0.45">
      <c r="AC146" t="s">
        <v>19</v>
      </c>
      <c r="AD146" t="s">
        <v>290</v>
      </c>
      <c r="AE146">
        <v>1.7611401581249332E-2</v>
      </c>
    </row>
    <row r="147" spans="29:31" x14ac:dyDescent="0.45">
      <c r="AC147" t="s">
        <v>19</v>
      </c>
      <c r="AD147" t="s">
        <v>291</v>
      </c>
      <c r="AE147">
        <v>2.0653491321824691E-2</v>
      </c>
    </row>
    <row r="148" spans="29:31" x14ac:dyDescent="0.45">
      <c r="AC148" t="s">
        <v>19</v>
      </c>
      <c r="AD148" t="s">
        <v>292</v>
      </c>
      <c r="AE148">
        <v>3.441885187669315E-3</v>
      </c>
    </row>
    <row r="149" spans="29:31" x14ac:dyDescent="0.45">
      <c r="AC149" t="s">
        <v>19</v>
      </c>
      <c r="AD149" t="s">
        <v>293</v>
      </c>
      <c r="AE149">
        <v>3.4584927973460482E-3</v>
      </c>
    </row>
    <row r="150" spans="29:31" x14ac:dyDescent="0.45">
      <c r="AC150" t="s">
        <v>19</v>
      </c>
      <c r="AD150" t="s">
        <v>294</v>
      </c>
      <c r="AE150">
        <v>2.0747369262013888E-2</v>
      </c>
    </row>
    <row r="151" spans="29:31" x14ac:dyDescent="0.45">
      <c r="AC151" t="s">
        <v>19</v>
      </c>
      <c r="AD151" t="s">
        <v>295</v>
      </c>
      <c r="AE151">
        <v>1.0140420884415182E-2</v>
      </c>
    </row>
    <row r="152" spans="29:31" x14ac:dyDescent="0.45">
      <c r="AC152" t="s">
        <v>19</v>
      </c>
      <c r="AD152" t="s">
        <v>296</v>
      </c>
      <c r="AE152">
        <v>3.3544998930231588E-3</v>
      </c>
    </row>
    <row r="153" spans="29:31" x14ac:dyDescent="0.45">
      <c r="AC153" t="s">
        <v>19</v>
      </c>
      <c r="AD153" t="s">
        <v>297</v>
      </c>
      <c r="AE153">
        <v>3.3560796554056318E-3</v>
      </c>
    </row>
    <row r="154" spans="29:31" x14ac:dyDescent="0.45">
      <c r="AC154" t="s">
        <v>19</v>
      </c>
      <c r="AD154" t="s">
        <v>298</v>
      </c>
      <c r="AE154">
        <v>1.7061237963495509E-2</v>
      </c>
    </row>
    <row r="155" spans="29:31" x14ac:dyDescent="0.45">
      <c r="AC155" t="s">
        <v>19</v>
      </c>
      <c r="AD155" t="s">
        <v>323</v>
      </c>
      <c r="AE155">
        <v>2.1346820840001699E-2</v>
      </c>
    </row>
    <row r="156" spans="29:31" x14ac:dyDescent="0.45">
      <c r="AC156" t="s">
        <v>19</v>
      </c>
      <c r="AD156" t="s">
        <v>324</v>
      </c>
      <c r="AE156">
        <v>3.557157031164381E-3</v>
      </c>
    </row>
    <row r="157" spans="29:31" x14ac:dyDescent="0.45">
      <c r="AC157" t="s">
        <v>19</v>
      </c>
      <c r="AD157" t="s">
        <v>325</v>
      </c>
      <c r="AE157">
        <v>3.5730536317805741E-3</v>
      </c>
    </row>
    <row r="158" spans="29:31" x14ac:dyDescent="0.45">
      <c r="AC158" t="s">
        <v>19</v>
      </c>
      <c r="AD158" t="s">
        <v>326</v>
      </c>
      <c r="AE158">
        <v>2.1431810973620097E-2</v>
      </c>
    </row>
    <row r="159" spans="29:31" x14ac:dyDescent="0.45">
      <c r="AC159" t="s">
        <v>19</v>
      </c>
      <c r="AD159" t="s">
        <v>327</v>
      </c>
      <c r="AE159">
        <v>1.0477739875958328E-2</v>
      </c>
    </row>
    <row r="160" spans="29:31" x14ac:dyDescent="0.45">
      <c r="AC160" t="s">
        <v>19</v>
      </c>
      <c r="AD160" t="s">
        <v>328</v>
      </c>
      <c r="AE160">
        <v>3.4655134147168151E-3</v>
      </c>
    </row>
    <row r="161" spans="29:31" x14ac:dyDescent="0.45">
      <c r="AC161" t="s">
        <v>19</v>
      </c>
      <c r="AD161" t="s">
        <v>329</v>
      </c>
      <c r="AE161">
        <v>3.4671685695771598E-3</v>
      </c>
    </row>
    <row r="162" spans="29:31" x14ac:dyDescent="0.45">
      <c r="AC162" t="s">
        <v>19</v>
      </c>
      <c r="AD162" t="s">
        <v>330</v>
      </c>
      <c r="AE162">
        <v>1.7639771190730177E-2</v>
      </c>
    </row>
    <row r="163" spans="29:31" x14ac:dyDescent="0.45">
      <c r="AC163" t="s">
        <v>19</v>
      </c>
      <c r="AD163" t="s">
        <v>331</v>
      </c>
      <c r="AE163">
        <v>2.134432436308252E-2</v>
      </c>
    </row>
    <row r="164" spans="29:31" x14ac:dyDescent="0.45">
      <c r="AC164" t="s">
        <v>19</v>
      </c>
      <c r="AD164" t="s">
        <v>332</v>
      </c>
      <c r="AE164">
        <v>3.5586963232513611E-3</v>
      </c>
    </row>
    <row r="165" spans="29:31" x14ac:dyDescent="0.45">
      <c r="AC165" t="s">
        <v>19</v>
      </c>
      <c r="AD165" t="s">
        <v>333</v>
      </c>
      <c r="AE165">
        <v>3.5689408077957539E-3</v>
      </c>
    </row>
    <row r="166" spans="29:31" x14ac:dyDescent="0.45">
      <c r="AC166" t="s">
        <v>19</v>
      </c>
      <c r="AD166" t="s">
        <v>334</v>
      </c>
      <c r="AE166">
        <v>2.1425827111314258E-2</v>
      </c>
    </row>
    <row r="167" spans="29:31" x14ac:dyDescent="0.45">
      <c r="AC167" t="s">
        <v>19</v>
      </c>
      <c r="AD167" t="s">
        <v>335</v>
      </c>
      <c r="AE167">
        <v>1.0482450156333171E-2</v>
      </c>
    </row>
    <row r="168" spans="29:31" x14ac:dyDescent="0.45">
      <c r="AC168" t="s">
        <v>19</v>
      </c>
      <c r="AD168" t="s">
        <v>336</v>
      </c>
      <c r="AE168">
        <v>3.4675862535702693E-3</v>
      </c>
    </row>
    <row r="169" spans="29:31" x14ac:dyDescent="0.45">
      <c r="AC169" t="s">
        <v>19</v>
      </c>
      <c r="AD169" t="s">
        <v>337</v>
      </c>
      <c r="AE169">
        <v>3.4692027456214489E-3</v>
      </c>
    </row>
    <row r="170" spans="29:31" x14ac:dyDescent="0.45">
      <c r="AC170" t="s">
        <v>19</v>
      </c>
      <c r="AD170" t="s">
        <v>338</v>
      </c>
      <c r="AE170">
        <v>1.7627093897247603E-2</v>
      </c>
    </row>
    <row r="171" spans="29:31" x14ac:dyDescent="0.45">
      <c r="AC171" t="s">
        <v>19</v>
      </c>
      <c r="AD171" t="s">
        <v>339</v>
      </c>
      <c r="AE171">
        <v>2.0680614423006657E-2</v>
      </c>
    </row>
    <row r="172" spans="29:31" x14ac:dyDescent="0.45">
      <c r="AC172" t="s">
        <v>19</v>
      </c>
      <c r="AD172" t="s">
        <v>340</v>
      </c>
      <c r="AE172">
        <v>3.4475136517676079E-3</v>
      </c>
    </row>
    <row r="173" spans="29:31" x14ac:dyDescent="0.45">
      <c r="AC173" t="s">
        <v>19</v>
      </c>
      <c r="AD173" t="s">
        <v>341</v>
      </c>
      <c r="AE173">
        <v>3.4504133624549669E-3</v>
      </c>
    </row>
    <row r="174" spans="29:31" x14ac:dyDescent="0.45">
      <c r="AC174" t="s">
        <v>19</v>
      </c>
      <c r="AD174" t="s">
        <v>342</v>
      </c>
      <c r="AE174">
        <v>2.066762101273065E-2</v>
      </c>
    </row>
    <row r="175" spans="29:31" x14ac:dyDescent="0.45">
      <c r="AC175" t="s">
        <v>19</v>
      </c>
      <c r="AD175" t="s">
        <v>343</v>
      </c>
      <c r="AE175">
        <v>1.0157498430871612E-2</v>
      </c>
    </row>
    <row r="176" spans="29:31" x14ac:dyDescent="0.45">
      <c r="AC176" t="s">
        <v>19</v>
      </c>
      <c r="AD176" t="s">
        <v>344</v>
      </c>
      <c r="AE176">
        <v>3.3618299073527938E-3</v>
      </c>
    </row>
    <row r="177" spans="29:31" x14ac:dyDescent="0.45">
      <c r="AC177" t="s">
        <v>19</v>
      </c>
      <c r="AD177" t="s">
        <v>345</v>
      </c>
      <c r="AE177">
        <v>3.3635295244436782E-3</v>
      </c>
    </row>
    <row r="178" spans="29:31" x14ac:dyDescent="0.45">
      <c r="AC178" t="s">
        <v>19</v>
      </c>
      <c r="AD178" t="s">
        <v>346</v>
      </c>
      <c r="AE178">
        <v>1.7048088017170896E-2</v>
      </c>
    </row>
    <row r="179" spans="29:31" x14ac:dyDescent="0.45">
      <c r="AC179" t="s">
        <v>19</v>
      </c>
      <c r="AD179" t="s">
        <v>395</v>
      </c>
      <c r="AE179">
        <v>2.1387748584187277E-2</v>
      </c>
    </row>
    <row r="180" spans="29:31" x14ac:dyDescent="0.45">
      <c r="AC180" t="s">
        <v>19</v>
      </c>
      <c r="AD180" t="s">
        <v>396</v>
      </c>
      <c r="AE180">
        <v>3.5672261267078497E-3</v>
      </c>
    </row>
    <row r="181" spans="29:31" x14ac:dyDescent="0.45">
      <c r="AC181" t="s">
        <v>19</v>
      </c>
      <c r="AD181" t="s">
        <v>397</v>
      </c>
      <c r="AE181">
        <v>3.568305205711639E-3</v>
      </c>
    </row>
    <row r="182" spans="29:31" x14ac:dyDescent="0.45">
      <c r="AC182" t="s">
        <v>19</v>
      </c>
      <c r="AD182" t="s">
        <v>398</v>
      </c>
      <c r="AE182">
        <v>2.1316600509506053E-2</v>
      </c>
    </row>
    <row r="183" spans="29:31" x14ac:dyDescent="0.45">
      <c r="AC183" t="s">
        <v>19</v>
      </c>
      <c r="AD183" t="s">
        <v>399</v>
      </c>
      <c r="AE183">
        <v>1.0451339783806296E-2</v>
      </c>
    </row>
    <row r="184" spans="29:31" x14ac:dyDescent="0.45">
      <c r="AC184" t="s">
        <v>19</v>
      </c>
      <c r="AD184" t="s">
        <v>400</v>
      </c>
      <c r="AE184">
        <v>3.4731533259604605E-3</v>
      </c>
    </row>
    <row r="185" spans="29:31" x14ac:dyDescent="0.45">
      <c r="AC185" t="s">
        <v>19</v>
      </c>
      <c r="AD185" t="s">
        <v>401</v>
      </c>
      <c r="AE185">
        <v>3.4745884894366572E-3</v>
      </c>
    </row>
    <row r="186" spans="29:31" x14ac:dyDescent="0.45">
      <c r="AC186" t="s">
        <v>19</v>
      </c>
      <c r="AD186" t="s">
        <v>402</v>
      </c>
      <c r="AE186">
        <v>1.7679756582103724E-2</v>
      </c>
    </row>
    <row r="187" spans="29:31" x14ac:dyDescent="0.45">
      <c r="AC187" t="s">
        <v>19</v>
      </c>
      <c r="AD187" t="s">
        <v>403</v>
      </c>
      <c r="AE187">
        <v>2.0700732586758447E-2</v>
      </c>
    </row>
    <row r="188" spans="29:31" x14ac:dyDescent="0.45">
      <c r="AC188" t="s">
        <v>19</v>
      </c>
      <c r="AD188" t="s">
        <v>404</v>
      </c>
      <c r="AE188">
        <v>3.452575381910611E-3</v>
      </c>
    </row>
    <row r="189" spans="29:31" x14ac:dyDescent="0.45">
      <c r="AC189" t="s">
        <v>19</v>
      </c>
      <c r="AD189" t="s">
        <v>405</v>
      </c>
      <c r="AE189">
        <v>3.4535021294462907E-3</v>
      </c>
    </row>
    <row r="190" spans="29:31" x14ac:dyDescent="0.45">
      <c r="AC190" t="s">
        <v>19</v>
      </c>
      <c r="AD190" t="s">
        <v>406</v>
      </c>
      <c r="AE190">
        <v>2.0623439445188577E-2</v>
      </c>
    </row>
    <row r="191" spans="29:31" x14ac:dyDescent="0.45">
      <c r="AC191" t="s">
        <v>19</v>
      </c>
      <c r="AD191" t="s">
        <v>407</v>
      </c>
      <c r="AE191">
        <v>1.0111045051161569E-2</v>
      </c>
    </row>
    <row r="192" spans="29:31" x14ac:dyDescent="0.45">
      <c r="AC192" t="s">
        <v>19</v>
      </c>
      <c r="AD192" t="s">
        <v>408</v>
      </c>
      <c r="AE192">
        <v>3.3624407749047467E-3</v>
      </c>
    </row>
    <row r="193" spans="29:31" x14ac:dyDescent="0.45">
      <c r="AC193" t="s">
        <v>19</v>
      </c>
      <c r="AD193" t="s">
        <v>409</v>
      </c>
      <c r="AE193">
        <v>3.3637788947299399E-3</v>
      </c>
    </row>
    <row r="194" spans="29:31" x14ac:dyDescent="0.45">
      <c r="AC194" t="s">
        <v>19</v>
      </c>
      <c r="AD194" t="s">
        <v>410</v>
      </c>
      <c r="AE194">
        <v>1.7106455689490346E-2</v>
      </c>
    </row>
    <row r="195" spans="29:31" x14ac:dyDescent="0.45">
      <c r="AC195" t="s">
        <v>19</v>
      </c>
      <c r="AD195" t="s">
        <v>411</v>
      </c>
      <c r="AE195">
        <v>2.1400161656032014E-2</v>
      </c>
    </row>
    <row r="196" spans="29:31" x14ac:dyDescent="0.45">
      <c r="AC196" t="s">
        <v>19</v>
      </c>
      <c r="AD196" t="s">
        <v>412</v>
      </c>
      <c r="AE196">
        <v>3.5695159944076986E-3</v>
      </c>
    </row>
    <row r="197" spans="29:31" x14ac:dyDescent="0.45">
      <c r="AC197" t="s">
        <v>19</v>
      </c>
      <c r="AD197" t="s">
        <v>413</v>
      </c>
      <c r="AE197">
        <v>3.5692561803301113E-3</v>
      </c>
    </row>
    <row r="198" spans="29:31" x14ac:dyDescent="0.45">
      <c r="AC198" t="s">
        <v>19</v>
      </c>
      <c r="AD198" t="s">
        <v>414</v>
      </c>
      <c r="AE198">
        <v>2.1303165560283676E-2</v>
      </c>
    </row>
    <row r="199" spans="29:31" x14ac:dyDescent="0.45">
      <c r="AC199" t="s">
        <v>19</v>
      </c>
      <c r="AD199" t="s">
        <v>415</v>
      </c>
      <c r="AE199">
        <v>1.0451353310956653E-2</v>
      </c>
    </row>
    <row r="200" spans="29:31" x14ac:dyDescent="0.45">
      <c r="AC200" t="s">
        <v>19</v>
      </c>
      <c r="AD200" t="s">
        <v>416</v>
      </c>
      <c r="AE200">
        <v>3.4750267952056049E-3</v>
      </c>
    </row>
    <row r="201" spans="29:31" x14ac:dyDescent="0.45">
      <c r="AC201" t="s">
        <v>19</v>
      </c>
      <c r="AD201" t="s">
        <v>417</v>
      </c>
      <c r="AE201">
        <v>3.4761688945883326E-3</v>
      </c>
    </row>
    <row r="202" spans="29:31" x14ac:dyDescent="0.45">
      <c r="AC202" t="s">
        <v>19</v>
      </c>
      <c r="AD202" t="s">
        <v>418</v>
      </c>
      <c r="AE202">
        <v>1.7679452426616876E-2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69C2-EB49-4EE6-889E-314C7930A19D}">
  <dimension ref="A9:AN1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109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124</v>
      </c>
      <c r="K10" t="s">
        <v>248</v>
      </c>
      <c r="L10" t="s">
        <v>30</v>
      </c>
      <c r="N10" t="s">
        <v>13</v>
      </c>
      <c r="O10" t="s">
        <v>124</v>
      </c>
      <c r="P10" t="s">
        <v>248</v>
      </c>
      <c r="Q10" t="s">
        <v>30</v>
      </c>
      <c r="S10" t="s">
        <v>13</v>
      </c>
      <c r="T10" t="s">
        <v>124</v>
      </c>
      <c r="U10" t="s">
        <v>248</v>
      </c>
      <c r="V10" t="s">
        <v>30</v>
      </c>
      <c r="X10" t="s">
        <v>421</v>
      </c>
      <c r="Y10" t="s">
        <v>248</v>
      </c>
      <c r="Z10" t="s">
        <v>124</v>
      </c>
      <c r="AA10" t="s">
        <v>13</v>
      </c>
      <c r="AC10" t="s">
        <v>13</v>
      </c>
      <c r="AD10" t="s">
        <v>124</v>
      </c>
      <c r="AE10" t="s">
        <v>248</v>
      </c>
      <c r="AG10" t="s">
        <v>13</v>
      </c>
      <c r="AH10" t="s">
        <v>124</v>
      </c>
      <c r="AI10" t="s">
        <v>427</v>
      </c>
      <c r="AK10" t="s">
        <v>47</v>
      </c>
      <c r="AL10" t="s">
        <v>124</v>
      </c>
      <c r="AM10" t="s">
        <v>428</v>
      </c>
      <c r="AN10" t="s">
        <v>429</v>
      </c>
    </row>
    <row r="11" spans="1:40" x14ac:dyDescent="0.45">
      <c r="A11" t="str">
        <f>IFERROR(IF(Veda!D5=A10,"ok","x"),"")</f>
        <v>ok</v>
      </c>
      <c r="C11" t="s">
        <v>1906</v>
      </c>
      <c r="D11" t="s">
        <v>152</v>
      </c>
      <c r="E11" t="s">
        <v>1907</v>
      </c>
      <c r="F11" t="s">
        <v>1906</v>
      </c>
      <c r="G11" t="s">
        <v>152</v>
      </c>
      <c r="I11" t="s">
        <v>249</v>
      </c>
      <c r="J11" t="s">
        <v>1908</v>
      </c>
      <c r="K11">
        <v>0.99999999999979905</v>
      </c>
      <c r="L11" t="s">
        <v>251</v>
      </c>
      <c r="N11" t="s">
        <v>419</v>
      </c>
      <c r="O11" t="s">
        <v>1908</v>
      </c>
      <c r="P11">
        <v>0.99999999999974865</v>
      </c>
      <c r="Q11" t="s">
        <v>251</v>
      </c>
      <c r="S11" t="s">
        <v>420</v>
      </c>
      <c r="T11" t="s">
        <v>1908</v>
      </c>
      <c r="U11">
        <v>0.99999999999974187</v>
      </c>
      <c r="V11" t="s">
        <v>251</v>
      </c>
      <c r="X11">
        <v>1</v>
      </c>
      <c r="Y11">
        <v>1.0000000000000002</v>
      </c>
      <c r="Z11" t="s">
        <v>1908</v>
      </c>
      <c r="AA11" t="s">
        <v>25</v>
      </c>
      <c r="AC11" t="s">
        <v>22</v>
      </c>
      <c r="AD11" t="s">
        <v>1908</v>
      </c>
      <c r="AE11">
        <v>1</v>
      </c>
      <c r="AG11" t="s">
        <v>99</v>
      </c>
      <c r="AH11" t="s">
        <v>1908</v>
      </c>
      <c r="AI11">
        <v>0.30109693774197055</v>
      </c>
    </row>
    <row r="12" spans="1:40" x14ac:dyDescent="0.45">
      <c r="AC12" t="s">
        <v>19</v>
      </c>
      <c r="AD12" t="s">
        <v>1908</v>
      </c>
      <c r="AE1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489BE-0D9A-43A5-BFA4-7932F5D8F190}">
  <dimension ref="A9:AN34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134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124</v>
      </c>
      <c r="K10" t="s">
        <v>248</v>
      </c>
      <c r="L10" t="s">
        <v>30</v>
      </c>
      <c r="N10" t="s">
        <v>13</v>
      </c>
      <c r="O10" t="s">
        <v>124</v>
      </c>
      <c r="P10" t="s">
        <v>248</v>
      </c>
      <c r="Q10" t="s">
        <v>30</v>
      </c>
      <c r="S10" t="s">
        <v>13</v>
      </c>
      <c r="T10" t="s">
        <v>124</v>
      </c>
      <c r="U10" t="s">
        <v>248</v>
      </c>
      <c r="V10" t="s">
        <v>30</v>
      </c>
      <c r="X10" t="s">
        <v>421</v>
      </c>
      <c r="Y10" t="s">
        <v>248</v>
      </c>
      <c r="Z10" t="s">
        <v>124</v>
      </c>
      <c r="AA10" t="s">
        <v>13</v>
      </c>
      <c r="AC10" t="s">
        <v>13</v>
      </c>
      <c r="AD10" t="s">
        <v>124</v>
      </c>
      <c r="AE10" t="s">
        <v>248</v>
      </c>
      <c r="AG10" t="s">
        <v>13</v>
      </c>
      <c r="AH10" t="s">
        <v>124</v>
      </c>
      <c r="AI10" t="s">
        <v>427</v>
      </c>
      <c r="AK10" t="s">
        <v>47</v>
      </c>
      <c r="AL10" t="s">
        <v>124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1909</v>
      </c>
      <c r="D11" t="s">
        <v>152</v>
      </c>
      <c r="E11" t="s">
        <v>423</v>
      </c>
      <c r="F11" t="s">
        <v>1910</v>
      </c>
      <c r="G11" t="s">
        <v>152</v>
      </c>
      <c r="I11" t="s">
        <v>249</v>
      </c>
      <c r="J11" t="s">
        <v>1915</v>
      </c>
      <c r="K11">
        <v>0.27780080472849744</v>
      </c>
      <c r="L11" t="s">
        <v>251</v>
      </c>
      <c r="N11" t="s">
        <v>419</v>
      </c>
      <c r="O11" t="s">
        <v>1915</v>
      </c>
      <c r="P11">
        <v>0.10864214337720472</v>
      </c>
      <c r="Q11" t="s">
        <v>251</v>
      </c>
      <c r="S11" t="s">
        <v>420</v>
      </c>
      <c r="T11" t="s">
        <v>1915</v>
      </c>
      <c r="U11">
        <v>0.12615252927180573</v>
      </c>
      <c r="V11" t="s">
        <v>251</v>
      </c>
      <c r="X11">
        <v>0.11426940639269406</v>
      </c>
      <c r="Y11">
        <v>0.16087081189037786</v>
      </c>
      <c r="Z11" t="s">
        <v>1915</v>
      </c>
      <c r="AA11" t="s">
        <v>25</v>
      </c>
      <c r="AC11" t="s">
        <v>22</v>
      </c>
      <c r="AD11" t="s">
        <v>1915</v>
      </c>
      <c r="AE11">
        <v>0.11124419543608979</v>
      </c>
      <c r="AG11" t="s">
        <v>99</v>
      </c>
      <c r="AH11" t="s">
        <v>1915</v>
      </c>
      <c r="AI11">
        <v>0.14683461847330426</v>
      </c>
    </row>
    <row r="12" spans="1:40" x14ac:dyDescent="0.45">
      <c r="C12" t="s">
        <v>1911</v>
      </c>
      <c r="E12" t="s">
        <v>425</v>
      </c>
      <c r="G12" t="s">
        <v>152</v>
      </c>
      <c r="I12" t="s">
        <v>249</v>
      </c>
      <c r="J12" t="s">
        <v>1916</v>
      </c>
      <c r="K12">
        <v>6.3080610207350211E-5</v>
      </c>
      <c r="L12" t="s">
        <v>251</v>
      </c>
      <c r="N12" t="s">
        <v>419</v>
      </c>
      <c r="O12" t="s">
        <v>1916</v>
      </c>
      <c r="P12">
        <v>0.14936000927945667</v>
      </c>
      <c r="Q12" t="s">
        <v>251</v>
      </c>
      <c r="S12" t="s">
        <v>420</v>
      </c>
      <c r="T12" t="s">
        <v>1916</v>
      </c>
      <c r="U12">
        <v>0.12758342171125292</v>
      </c>
      <c r="V12" t="s">
        <v>251</v>
      </c>
      <c r="X12">
        <v>0.11426940639269406</v>
      </c>
      <c r="Y12">
        <v>5.2547713165767528E-2</v>
      </c>
      <c r="Z12" t="s">
        <v>1916</v>
      </c>
      <c r="AA12" t="s">
        <v>25</v>
      </c>
      <c r="AC12" t="s">
        <v>22</v>
      </c>
      <c r="AD12" t="s">
        <v>1916</v>
      </c>
      <c r="AE12">
        <v>0.116425799069624</v>
      </c>
      <c r="AG12" t="s">
        <v>99</v>
      </c>
      <c r="AH12" t="s">
        <v>1916</v>
      </c>
      <c r="AI12">
        <v>0.11270807275854411</v>
      </c>
    </row>
    <row r="13" spans="1:40" x14ac:dyDescent="0.45">
      <c r="C13" t="s">
        <v>1912</v>
      </c>
      <c r="E13" t="s">
        <v>1913</v>
      </c>
      <c r="G13" t="s">
        <v>152</v>
      </c>
      <c r="I13" t="s">
        <v>249</v>
      </c>
      <c r="J13" t="s">
        <v>1917</v>
      </c>
      <c r="K13">
        <v>2.9921574415737315E-2</v>
      </c>
      <c r="L13" t="s">
        <v>251</v>
      </c>
      <c r="N13" t="s">
        <v>419</v>
      </c>
      <c r="O13" t="s">
        <v>1917</v>
      </c>
      <c r="P13">
        <v>1.9264063512824586E-2</v>
      </c>
      <c r="Q13" t="s">
        <v>251</v>
      </c>
      <c r="S13" t="s">
        <v>420</v>
      </c>
      <c r="T13" t="s">
        <v>1917</v>
      </c>
      <c r="U13">
        <v>2.3559892360095654E-2</v>
      </c>
      <c r="V13" t="s">
        <v>251</v>
      </c>
      <c r="X13">
        <v>2.0776255707762557E-2</v>
      </c>
      <c r="Y13">
        <v>3.5896543437005365E-2</v>
      </c>
      <c r="Z13" t="s">
        <v>1917</v>
      </c>
      <c r="AA13" t="s">
        <v>25</v>
      </c>
      <c r="AC13" t="s">
        <v>22</v>
      </c>
      <c r="AD13" t="s">
        <v>1917</v>
      </c>
      <c r="AE13">
        <v>1.4425315043458052E-2</v>
      </c>
      <c r="AG13" t="s">
        <v>99</v>
      </c>
      <c r="AH13" t="s">
        <v>1917</v>
      </c>
      <c r="AI13">
        <v>2.813505214735379E-2</v>
      </c>
    </row>
    <row r="14" spans="1:40" x14ac:dyDescent="0.45">
      <c r="C14" t="s">
        <v>1914</v>
      </c>
      <c r="I14" t="s">
        <v>249</v>
      </c>
      <c r="J14" t="s">
        <v>1918</v>
      </c>
      <c r="K14">
        <v>0.20192313072186088</v>
      </c>
      <c r="L14" t="s">
        <v>251</v>
      </c>
      <c r="N14" t="s">
        <v>419</v>
      </c>
      <c r="O14" t="s">
        <v>1918</v>
      </c>
      <c r="P14">
        <v>8.7040442996025785E-2</v>
      </c>
      <c r="Q14" t="s">
        <v>251</v>
      </c>
      <c r="S14" t="s">
        <v>420</v>
      </c>
      <c r="T14" t="s">
        <v>1918</v>
      </c>
      <c r="U14">
        <v>9.9395068806292064E-2</v>
      </c>
      <c r="V14" t="s">
        <v>251</v>
      </c>
      <c r="X14">
        <v>0.11552511415525114</v>
      </c>
      <c r="Y14">
        <v>0.16263862301005233</v>
      </c>
      <c r="Z14" t="s">
        <v>1918</v>
      </c>
      <c r="AA14" t="s">
        <v>25</v>
      </c>
      <c r="AC14" t="s">
        <v>22</v>
      </c>
      <c r="AD14" t="s">
        <v>1918</v>
      </c>
      <c r="AE14">
        <v>0.11505136874764522</v>
      </c>
      <c r="AG14" t="s">
        <v>99</v>
      </c>
      <c r="AH14" t="s">
        <v>1918</v>
      </c>
      <c r="AI14">
        <v>0.19332280901064691</v>
      </c>
    </row>
    <row r="15" spans="1:40" x14ac:dyDescent="0.45">
      <c r="I15" t="s">
        <v>249</v>
      </c>
      <c r="J15" t="s">
        <v>1919</v>
      </c>
      <c r="K15">
        <v>5.3177883933484631E-5</v>
      </c>
      <c r="L15" t="s">
        <v>251</v>
      </c>
      <c r="N15" t="s">
        <v>419</v>
      </c>
      <c r="O15" t="s">
        <v>1919</v>
      </c>
      <c r="P15">
        <v>0.12683703018313575</v>
      </c>
      <c r="Q15" t="s">
        <v>251</v>
      </c>
      <c r="S15" t="s">
        <v>420</v>
      </c>
      <c r="T15" t="s">
        <v>1919</v>
      </c>
      <c r="U15">
        <v>0.10458633363612573</v>
      </c>
      <c r="V15" t="s">
        <v>251</v>
      </c>
      <c r="X15">
        <v>0.11552511415525114</v>
      </c>
      <c r="Y15">
        <v>5.3125160563193538E-2</v>
      </c>
      <c r="Z15" t="s">
        <v>1919</v>
      </c>
      <c r="AA15" t="s">
        <v>25</v>
      </c>
      <c r="AC15" t="s">
        <v>22</v>
      </c>
      <c r="AD15" t="s">
        <v>1919</v>
      </c>
      <c r="AE15">
        <v>0.11801992763682902</v>
      </c>
      <c r="AG15" t="s">
        <v>99</v>
      </c>
      <c r="AH15" t="s">
        <v>1919</v>
      </c>
      <c r="AI15">
        <v>0.18418634368955455</v>
      </c>
    </row>
    <row r="16" spans="1:40" x14ac:dyDescent="0.45">
      <c r="I16" t="s">
        <v>249</v>
      </c>
      <c r="J16" t="s">
        <v>1920</v>
      </c>
      <c r="K16">
        <v>2.0907110437929411E-2</v>
      </c>
      <c r="L16" t="s">
        <v>251</v>
      </c>
      <c r="N16" t="s">
        <v>419</v>
      </c>
      <c r="O16" t="s">
        <v>1920</v>
      </c>
      <c r="P16">
        <v>1.5529230140567356E-2</v>
      </c>
      <c r="Q16" t="s">
        <v>251</v>
      </c>
      <c r="S16" t="s">
        <v>420</v>
      </c>
      <c r="T16" t="s">
        <v>1920</v>
      </c>
      <c r="U16">
        <v>1.8494642350238857E-2</v>
      </c>
      <c r="V16" t="s">
        <v>251</v>
      </c>
      <c r="X16">
        <v>2.1004566210045664E-2</v>
      </c>
      <c r="Y16">
        <v>3.6291010947302131E-2</v>
      </c>
      <c r="Z16" t="s">
        <v>1920</v>
      </c>
      <c r="AA16" t="s">
        <v>25</v>
      </c>
      <c r="AC16" t="s">
        <v>22</v>
      </c>
      <c r="AD16" t="s">
        <v>1920</v>
      </c>
      <c r="AE16">
        <v>1.4788701507012914E-2</v>
      </c>
      <c r="AG16" t="s">
        <v>99</v>
      </c>
      <c r="AH16" t="s">
        <v>1920</v>
      </c>
      <c r="AI16">
        <v>7.1966296612581804E-2</v>
      </c>
    </row>
    <row r="17" spans="9:35" x14ac:dyDescent="0.45">
      <c r="I17" t="s">
        <v>249</v>
      </c>
      <c r="J17" t="s">
        <v>1921</v>
      </c>
      <c r="K17">
        <v>0.15841057580739659</v>
      </c>
      <c r="L17" t="s">
        <v>251</v>
      </c>
      <c r="N17" t="s">
        <v>419</v>
      </c>
      <c r="O17" t="s">
        <v>1921</v>
      </c>
      <c r="P17">
        <v>8.927284659675222E-2</v>
      </c>
      <c r="Q17" t="s">
        <v>251</v>
      </c>
      <c r="S17" t="s">
        <v>420</v>
      </c>
      <c r="T17" t="s">
        <v>1921</v>
      </c>
      <c r="U17">
        <v>0.12508350727924455</v>
      </c>
      <c r="V17" t="s">
        <v>251</v>
      </c>
      <c r="X17">
        <v>0.11552511415525114</v>
      </c>
      <c r="Y17">
        <v>0.16263862301005233</v>
      </c>
      <c r="Z17" t="s">
        <v>1921</v>
      </c>
      <c r="AA17" t="s">
        <v>25</v>
      </c>
      <c r="AC17" t="s">
        <v>22</v>
      </c>
      <c r="AD17" t="s">
        <v>1921</v>
      </c>
      <c r="AE17">
        <v>0.12482729969415764</v>
      </c>
      <c r="AG17" t="s">
        <v>99</v>
      </c>
      <c r="AH17" t="s">
        <v>1921</v>
      </c>
      <c r="AI17">
        <v>0.23748799021748623</v>
      </c>
    </row>
    <row r="18" spans="9:35" x14ac:dyDescent="0.45">
      <c r="I18" t="s">
        <v>249</v>
      </c>
      <c r="J18" t="s">
        <v>1922</v>
      </c>
      <c r="K18">
        <v>0</v>
      </c>
      <c r="L18" t="s">
        <v>251</v>
      </c>
      <c r="N18" t="s">
        <v>419</v>
      </c>
      <c r="O18" t="s">
        <v>1922</v>
      </c>
      <c r="P18">
        <v>0.11530204312707469</v>
      </c>
      <c r="Q18" t="s">
        <v>251</v>
      </c>
      <c r="S18" t="s">
        <v>420</v>
      </c>
      <c r="T18" t="s">
        <v>1922</v>
      </c>
      <c r="U18">
        <v>0.12608776814653627</v>
      </c>
      <c r="V18" t="s">
        <v>251</v>
      </c>
      <c r="X18">
        <v>0.11552511415525114</v>
      </c>
      <c r="Y18">
        <v>5.3125160563193538E-2</v>
      </c>
      <c r="Z18" t="s">
        <v>1922</v>
      </c>
      <c r="AA18" t="s">
        <v>25</v>
      </c>
      <c r="AC18" t="s">
        <v>22</v>
      </c>
      <c r="AD18" t="s">
        <v>1922</v>
      </c>
      <c r="AE18">
        <v>0.12188296100407733</v>
      </c>
      <c r="AG18" t="s">
        <v>99</v>
      </c>
      <c r="AH18" t="s">
        <v>1922</v>
      </c>
      <c r="AI18">
        <v>0.18284635120025938</v>
      </c>
    </row>
    <row r="19" spans="9:35" x14ac:dyDescent="0.45">
      <c r="I19" t="s">
        <v>249</v>
      </c>
      <c r="J19" t="s">
        <v>1923</v>
      </c>
      <c r="K19">
        <v>1.4674219337158617E-2</v>
      </c>
      <c r="L19" t="s">
        <v>251</v>
      </c>
      <c r="N19" t="s">
        <v>419</v>
      </c>
      <c r="O19" t="s">
        <v>1923</v>
      </c>
      <c r="P19">
        <v>1.5618043126466552E-2</v>
      </c>
      <c r="Q19" t="s">
        <v>251</v>
      </c>
      <c r="S19" t="s">
        <v>420</v>
      </c>
      <c r="T19" t="s">
        <v>1923</v>
      </c>
      <c r="U19">
        <v>2.273329046651756E-2</v>
      </c>
      <c r="V19" t="s">
        <v>251</v>
      </c>
      <c r="X19">
        <v>2.1004566210045664E-2</v>
      </c>
      <c r="Y19">
        <v>3.6291010947302131E-2</v>
      </c>
      <c r="Z19" t="s">
        <v>1923</v>
      </c>
      <c r="AA19" t="s">
        <v>25</v>
      </c>
      <c r="AC19" t="s">
        <v>22</v>
      </c>
      <c r="AD19" t="s">
        <v>1923</v>
      </c>
      <c r="AE19">
        <v>1.5206504719354157E-2</v>
      </c>
      <c r="AG19" t="s">
        <v>99</v>
      </c>
      <c r="AH19" t="s">
        <v>1923</v>
      </c>
      <c r="AI19">
        <v>4.5168699640516285E-2</v>
      </c>
    </row>
    <row r="20" spans="9:35" x14ac:dyDescent="0.45">
      <c r="I20" t="s">
        <v>249</v>
      </c>
      <c r="J20" t="s">
        <v>1924</v>
      </c>
      <c r="K20">
        <v>0.26082809097486537</v>
      </c>
      <c r="L20" t="s">
        <v>251</v>
      </c>
      <c r="N20" t="s">
        <v>419</v>
      </c>
      <c r="O20" t="s">
        <v>1924</v>
      </c>
      <c r="P20">
        <v>9.8037546699977079E-2</v>
      </c>
      <c r="Q20" t="s">
        <v>251</v>
      </c>
      <c r="S20" t="s">
        <v>420</v>
      </c>
      <c r="T20" t="s">
        <v>1924</v>
      </c>
      <c r="U20">
        <v>0.10469431501174607</v>
      </c>
      <c r="V20" t="s">
        <v>251</v>
      </c>
      <c r="X20">
        <v>0.11301369863013698</v>
      </c>
      <c r="Y20">
        <v>0.15910300077070333</v>
      </c>
      <c r="Z20" t="s">
        <v>1924</v>
      </c>
      <c r="AA20" t="s">
        <v>25</v>
      </c>
      <c r="AC20" t="s">
        <v>22</v>
      </c>
      <c r="AD20" t="s">
        <v>1924</v>
      </c>
      <c r="AE20">
        <v>0.11241931162962306</v>
      </c>
      <c r="AG20" t="s">
        <v>99</v>
      </c>
      <c r="AH20" t="s">
        <v>1924</v>
      </c>
      <c r="AI20">
        <v>0.24914292741696009</v>
      </c>
    </row>
    <row r="21" spans="9:35" x14ac:dyDescent="0.45">
      <c r="I21" t="s">
        <v>249</v>
      </c>
      <c r="J21" t="s">
        <v>1925</v>
      </c>
      <c r="K21">
        <v>3.6969638481285897E-3</v>
      </c>
      <c r="L21" t="s">
        <v>251</v>
      </c>
      <c r="N21" t="s">
        <v>419</v>
      </c>
      <c r="O21" t="s">
        <v>1925</v>
      </c>
      <c r="P21">
        <v>0.15596700692582285</v>
      </c>
      <c r="Q21" t="s">
        <v>251</v>
      </c>
      <c r="S21" t="s">
        <v>420</v>
      </c>
      <c r="T21" t="s">
        <v>1925</v>
      </c>
      <c r="U21">
        <v>0.10123145378997381</v>
      </c>
      <c r="V21" t="s">
        <v>251</v>
      </c>
      <c r="X21">
        <v>0.11301369863013698</v>
      </c>
      <c r="Y21">
        <v>5.197026576834151E-2</v>
      </c>
      <c r="Z21" t="s">
        <v>1925</v>
      </c>
      <c r="AA21" t="s">
        <v>25</v>
      </c>
      <c r="AC21" t="s">
        <v>22</v>
      </c>
      <c r="AD21" t="s">
        <v>1925</v>
      </c>
      <c r="AE21">
        <v>0.12079075003431282</v>
      </c>
      <c r="AG21" t="s">
        <v>99</v>
      </c>
      <c r="AH21" t="s">
        <v>1925</v>
      </c>
      <c r="AI21">
        <v>0.22783212307821299</v>
      </c>
    </row>
    <row r="22" spans="9:35" x14ac:dyDescent="0.45">
      <c r="I22" t="s">
        <v>249</v>
      </c>
      <c r="J22" t="s">
        <v>1926</v>
      </c>
      <c r="K22">
        <v>3.1721271234083928E-2</v>
      </c>
      <c r="L22" t="s">
        <v>251</v>
      </c>
      <c r="N22" t="s">
        <v>419</v>
      </c>
      <c r="O22" t="s">
        <v>1926</v>
      </c>
      <c r="P22">
        <v>1.912959403444035E-2</v>
      </c>
      <c r="Q22" t="s">
        <v>251</v>
      </c>
      <c r="S22" t="s">
        <v>420</v>
      </c>
      <c r="T22" t="s">
        <v>1926</v>
      </c>
      <c r="U22">
        <v>2.0397777169912604E-2</v>
      </c>
      <c r="V22" t="s">
        <v>251</v>
      </c>
      <c r="X22">
        <v>2.0547945205479451E-2</v>
      </c>
      <c r="Y22">
        <v>3.5502075926708607E-2</v>
      </c>
      <c r="Z22" t="s">
        <v>1926</v>
      </c>
      <c r="AA22" t="s">
        <v>25</v>
      </c>
      <c r="AC22" t="s">
        <v>22</v>
      </c>
      <c r="AD22" t="s">
        <v>1926</v>
      </c>
      <c r="AE22">
        <v>1.4917865477816017E-2</v>
      </c>
      <c r="AG22" t="s">
        <v>99</v>
      </c>
      <c r="AH22" t="s">
        <v>1926</v>
      </c>
      <c r="AI22">
        <v>0.11252620880982245</v>
      </c>
    </row>
    <row r="23" spans="9:35" x14ac:dyDescent="0.45">
      <c r="AC23" t="s">
        <v>19</v>
      </c>
      <c r="AD23" t="s">
        <v>1915</v>
      </c>
      <c r="AE23">
        <v>0.11426708009126371</v>
      </c>
    </row>
    <row r="24" spans="9:35" x14ac:dyDescent="0.45">
      <c r="AC24" t="s">
        <v>19</v>
      </c>
      <c r="AD24" t="s">
        <v>1916</v>
      </c>
      <c r="AE24">
        <v>0.11460339588271735</v>
      </c>
    </row>
    <row r="25" spans="9:35" x14ac:dyDescent="0.45">
      <c r="AC25" t="s">
        <v>19</v>
      </c>
      <c r="AD25" t="s">
        <v>1917</v>
      </c>
      <c r="AE25">
        <v>2.0399320916828275E-2</v>
      </c>
    </row>
    <row r="26" spans="9:35" x14ac:dyDescent="0.45">
      <c r="AC26" t="s">
        <v>19</v>
      </c>
      <c r="AD26" t="s">
        <v>1918</v>
      </c>
      <c r="AE26">
        <v>0.11560709832293593</v>
      </c>
    </row>
    <row r="27" spans="9:35" x14ac:dyDescent="0.45">
      <c r="AC27" t="s">
        <v>19</v>
      </c>
      <c r="AD27" t="s">
        <v>1919</v>
      </c>
      <c r="AE27">
        <v>0.11579977481903674</v>
      </c>
    </row>
    <row r="28" spans="9:35" x14ac:dyDescent="0.45">
      <c r="AC28" t="s">
        <v>19</v>
      </c>
      <c r="AD28" t="s">
        <v>1920</v>
      </c>
      <c r="AE28">
        <v>2.0621617845954964E-2</v>
      </c>
    </row>
    <row r="29" spans="9:35" x14ac:dyDescent="0.45">
      <c r="AC29" t="s">
        <v>19</v>
      </c>
      <c r="AD29" t="s">
        <v>1921</v>
      </c>
      <c r="AE29">
        <v>0.11586384404266237</v>
      </c>
    </row>
    <row r="30" spans="9:35" x14ac:dyDescent="0.45">
      <c r="AC30" t="s">
        <v>19</v>
      </c>
      <c r="AD30" t="s">
        <v>1922</v>
      </c>
      <c r="AE30">
        <v>0.11567273957638219</v>
      </c>
    </row>
    <row r="31" spans="9:35" x14ac:dyDescent="0.45">
      <c r="AC31" t="s">
        <v>19</v>
      </c>
      <c r="AD31" t="s">
        <v>1923</v>
      </c>
      <c r="AE31">
        <v>2.0580050531914484E-2</v>
      </c>
    </row>
    <row r="32" spans="9:35" x14ac:dyDescent="0.45">
      <c r="AC32" t="s">
        <v>19</v>
      </c>
      <c r="AD32" t="s">
        <v>1924</v>
      </c>
      <c r="AE32">
        <v>0.11293339460542154</v>
      </c>
    </row>
    <row r="33" spans="29:31" x14ac:dyDescent="0.45">
      <c r="AC33" t="s">
        <v>19</v>
      </c>
      <c r="AD33" t="s">
        <v>1925</v>
      </c>
      <c r="AE33">
        <v>0.11347674896669641</v>
      </c>
    </row>
    <row r="34" spans="29:31" x14ac:dyDescent="0.45">
      <c r="AC34" t="s">
        <v>19</v>
      </c>
      <c r="AD34" t="s">
        <v>1926</v>
      </c>
      <c r="AE34">
        <v>2.0174934398186063E-2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Veda</vt:lpstr>
      <vt:lpstr>fuel_prices</vt:lpstr>
      <vt:lpstr>iea_data</vt:lpstr>
      <vt:lpstr>ar6_r10</vt:lpstr>
      <vt:lpstr>ev_charging_uc</vt:lpstr>
      <vt:lpstr>s1p1v1_d</vt:lpstr>
      <vt:lpstr>s3p3v3_d</vt:lpstr>
      <vt:lpstr>s5p5v5_d</vt:lpstr>
      <vt:lpstr>s2_w</vt:lpstr>
      <vt:lpstr>s2_w_p2_d</vt:lpstr>
      <vt:lpstr>ts_012</vt:lpstr>
      <vt:lpstr>ts_024</vt:lpstr>
      <vt:lpstr>ts_048</vt:lpstr>
      <vt:lpstr>ts_064</vt:lpstr>
      <vt:lpstr>ts_096P50</vt:lpstr>
      <vt:lpstr>ts_096P10</vt:lpstr>
      <vt:lpstr>ts_096P90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2025-09-13T11:04:07Z</dcterms:modified>
</cp:coreProperties>
</file>