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Veda\Veda\Veda_models\vervestacks_models\VerveStacks_LVA\SuppXLS\"/>
    </mc:Choice>
  </mc:AlternateContent>
  <xr:revisionPtr revIDLastSave="0" documentId="8_{58CE348D-8DD9-49EB-BEB8-0B20F88C987E}" xr6:coauthVersionLast="47" xr6:coauthVersionMax="47" xr10:uidLastSave="{00000000-0000-0000-0000-000000000000}"/>
  <bookViews>
    <workbookView xWindow="-98" yWindow="-98" windowWidth="28996" windowHeight="17475" xr2:uid="{00000000-000D-0000-FFFF-FFFF00000000}"/>
  </bookViews>
  <sheets>
    <sheet name="re_targets" sheetId="5" r:id="rId1"/>
    <sheet name="Veda" sheetId="1" r:id="rId2"/>
    <sheet name="buildrates" sheetId="4" r:id="rId3"/>
    <sheet name="historical_data_long"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 i="4" l="1"/>
  <c r="C23" i="4"/>
  <c r="B23" i="4"/>
  <c r="C22" i="4"/>
  <c r="B22" i="4"/>
  <c r="B21" i="4"/>
  <c r="C20" i="4"/>
  <c r="B20" i="4"/>
  <c r="G23" i="4"/>
  <c r="G22" i="4"/>
  <c r="F23" i="4"/>
  <c r="F22" i="4"/>
  <c r="G21" i="4"/>
  <c r="F21" i="4"/>
  <c r="G20" i="4"/>
  <c r="F20" i="4"/>
  <c r="AB15" i="1" l="1"/>
  <c r="AE15" i="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<sst xmlns="http://schemas.openxmlformats.org/spreadsheetml/2006/main" count="1659" uniqueCount="122">
  <si>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</si>
  <si>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</si>
  <si>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</si>
  <si>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</si>
  <si>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</si>
  <si>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</si>
  <si>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</si>
  <si>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</si>
  <si>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</si>
  <si>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</si>
  <si>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</si>
  <si>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</si>
  <si>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</si>
  <si>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</si>
  <si>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</si>
  <si>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</si>
  <si>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</si>
  <si>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</si>
  <si>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</si>
  <si>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</si>
  <si>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</si>
  <si>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</si>
  <si>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</si>
  <si>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</si>
  <si>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</si>
  <si>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</si>
  <si>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</si>
  <si>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</si>
  <si>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</si>
  <si>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</si>
  <si>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</si>
  <si>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</si>
  <si>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</si>
  <si>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</si>
  <si>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</si>
  <si>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</si>
  <si>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</si>
  <si>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</si>
  <si>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</si>
  <si>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</si>
  <si>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</si>
  <si>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</si>
  <si>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</si>
  <si>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</si>
  <si>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</si>
  <si>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</si>
  <si>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</si>
  <si>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</si>
  <si>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</si>
  <si>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</si>
  <si>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</si>
  <si>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</si>
  <si>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</si>
  <si>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</si>
  <si>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</si>
  <si>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</si>
  <si>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</si>
  <si>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</si>
  <si>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</si>
  <si>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</si>
  <si>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</si>
  <si>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</si>
  <si>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</si>
  <si>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</si>
  <si>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</si>
  <si>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</si>
  <si>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</si>
  <si>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</si>
  <si>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</si>
  <si>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</si>
  <si>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</si>
  <si>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</si>
  <si>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</si>
  <si>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</si>
  <si>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</si>
  <si>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</si>
  <si>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</si>
  <si>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</si>
  <si>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</si>
  <si>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</si>
  <si>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</si>
  <si>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</si>
  <si>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</si>
  <si>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</si>
  <si>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</si>
  <si>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</si>
  <si>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</si>
  <si>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</si>
  <si>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</si>
  <si>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</si>
  <si>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</si>
  <si>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</si>
  <si>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</si>
  <si>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</si>
  <si>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</si>
  <si>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</si>
  <si>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</si>
  <si>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</si>
  <si>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</si>
  <si>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</si>
  <si>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</si>
  <si>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</si>
  <si>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</si>
  <si>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</si>
  <si>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Latvia's National Energy and Climate Plan</t>
  </si>
  <si>
    <t>Latvian Cabinet of Ministers</t>
  </si>
  <si>
    <t>https://commission.europa.eu/publications/latvia-final-updated-necp-2021-2030-submitted-2024_en</t>
  </si>
  <si>
    <t>Latvia has submitted its final National Energy and Climate Plan (NECP) to the European Union Commission in July 2024. The tracker shows data following the With Additional Measures (WAM) scenario.</t>
  </si>
  <si>
    <t>Data is taken from the Europe team's NECP tracker data.
Annex 3, pg.12</t>
  </si>
  <si>
    <t>Gas</t>
  </si>
  <si>
    <t>https://energy.ec.europa.eu/system/files/2020-04/lv_final_necp_main_en_0.pdf</t>
  </si>
  <si>
    <t xml:space="preserve">Under the EU Regulation on the governance of energy union and climate action (EU 2018/21999), adopted in 2019 as part of the Clean Energy for All Europeans Package, all EU countries must submit 10-year national energy and climate plans (NECPs) to outline how they intend to meet the EU energy and climate targets for 2030. In line with Article 14 of the Governance Regulation, EU member countries were required to submit their draft updated NECPS to the EU Commission. 
</t>
  </si>
  <si>
    <t>Hydro</t>
  </si>
  <si>
    <t>Other Fossil</t>
  </si>
  <si>
    <t>Solar</t>
  </si>
  <si>
    <t>Storage</t>
  </si>
  <si>
    <t>Wind</t>
  </si>
  <si>
    <t>generation_twh</t>
  </si>
  <si>
    <t>share_of_generation_pct</t>
  </si>
  <si>
    <t>BUILD RATE ASSUMPTIONS</t>
  </si>
  <si>
    <t>iso</t>
  </si>
  <si>
    <t>LVA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</si>
</sst>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2"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i/>
      <sz val="9"/>
      <color rgb="FF969696"/>
      <name val="Consolas"/>
      <family val="3"/>
    </font>
    <font>
      <b/>
      <sz val="12"/>
      <color rgb="FFFFFFFF"/>
      <name val="Segoe UI"/>
      <family val="2"/>
    </font>
    <font>
      <sz val="11"/>
      <color theme="1"/>
      <name val="Segoe UI"/>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7">
    <fill>
      <patternFill patternType="none"/>
    </fill>
    <fill>
      <patternFill patternType="gray125"/>
    </fill>
    <fill>
      <patternFill patternType="solid">
        <fgColor rgb="FFDCE6F1"/>
        <bgColor rgb="FFDCE6F1"/>
      </patternFill>
    </fill>
    <fill>
      <patternFill patternType="solid">
        <fgColor rgb="FF4F81BD"/>
        <bgColor indexed="64"/>
      </patternFill>
    </fill>
    <fill>
      <patternFill patternType="solid">
        <fgColor rgb="FFF7F9FC"/>
        <bgColor indexed="64"/>
      </patternFill>
    </fill>
    <fill>
      <patternFill patternType="solid">
        <fgColor rgb="FFFFFF00"/>
        <bgColor indexed="64"/>
      </patternFill>
    </fill>
    <fill>
      <patternFill patternType="solid">
        <fgColor rgb="FFFFEB9C"/>
      </patternFill>
    </fill>
  </fills>
  <borders count="5">
    <border>
      <left/>
      <right/>
      <top/>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8" fillId="0" borderId="4" applyNumberFormat="0" applyFill="0" applyAlignment="0" applyProtection="0"/>
    <xf numFmtId="0" fontId="8" fillId="0" borderId="0" applyNumberFormat="0" applyFill="0" applyBorder="0" applyAlignment="0" applyProtection="0"/>
    <xf numFmtId="0" fontId="10" fillId="6" borderId="0" applyNumberFormat="0" applyBorder="0" applyAlignment="0" applyProtection="0"/>
  </cellStyleXfs>
  <cellXfs count="20">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5" fillId="0" borderId="0" xfId="0" applyFont="1"/>
    <xf numFmtId="0" fontId="6" fillId="3" borderId="1" xfId="0" applyFont="1" applyFill="1" applyBorder="1"/>
    <xf numFmtId="0" fontId="7" fillId="4" borderId="2" xfId="0" applyFont="1" applyFill="1" applyBorder="1"/>
    <xf numFmtId="165" fontId="7" fillId="4" borderId="2" xfId="0" applyNumberFormat="1" applyFont="1" applyFill="1" applyBorder="1"/>
    <xf numFmtId="0" fontId="7" fillId="0" borderId="2" xfId="0" applyFont="1" applyBorder="1"/>
    <xf numFmtId="165" fontId="7" fillId="0" borderId="2" xfId="0" applyNumberFormat="1" applyFont="1" applyBorder="1"/>
    <xf numFmtId="0" fontId="0" fillId="5" borderId="0" xfId="0" applyFill="1"/>
    <xf numFmtId="0" fontId="8" fillId="0" borderId="4" xfId="2"/>
    <xf numFmtId="0" fontId="9" fillId="0" borderId="3" xfId="3" applyFont="1" applyBorder="1"/>
    <xf numFmtId="0" fontId="11" fillId="0" borderId="0" xfId="0" applyFont="1"/>
    <xf numFmtId="0" fontId="10" fillId="6" borderId="0" xfId="4"/>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304A3-C40C-4AD3-A090-C573E007C1F6}">
  <dimension ref="B9:L44"/>
  <sheetViews>
    <sheetView tabSelected="1" workbookViewId="0"/>
  </sheetViews>
  <sheetFormatPr defaultRowHeight="14.25" x14ac:dyDescent="0.45"/>
  <sheetData>
    <row r="9" spans="2:12" x14ac:dyDescent="0.45">
      <c r="B9" t="s">
        <v>89</v>
      </c>
    </row>
    <row r="10" spans="2:12" x14ac:dyDescent="0.45">
      <c r="B10" t="s">
        <v>90</v>
      </c>
      <c r="C10" t="s">
        <v>91</v>
      </c>
      <c r="D10" t="s">
        <v>92</v>
      </c>
      <c r="E10" t="s">
        <v>93</v>
      </c>
      <c r="F10" t="s">
        <v>94</v>
      </c>
      <c r="G10" t="s">
        <v>95</v>
      </c>
      <c r="H10" t="s">
        <v>96</v>
      </c>
      <c r="I10" t="s">
        <v>97</v>
      </c>
      <c r="J10" t="s">
        <v>98</v>
      </c>
      <c r="K10" t="s">
        <v>99</v>
      </c>
      <c r="L10" t="s">
        <v>100</v>
      </c>
    </row>
    <row r="11" spans="2:12" ht="156.75" x14ac:dyDescent="0.45">
      <c r="B11">
        <v>2030</v>
      </c>
      <c r="C11" t="s">
        <v>101</v>
      </c>
      <c r="D11" t="s">
        <v>102</v>
      </c>
      <c r="E11">
        <v>0.14000000000000001</v>
      </c>
      <c r="F11" t="s">
        <v>103</v>
      </c>
      <c r="G11" t="s">
        <v>104</v>
      </c>
      <c r="H11" t="s">
        <v>105</v>
      </c>
      <c r="I11" s="18">
        <v>45488</v>
      </c>
      <c r="J11" t="s">
        <v>106</v>
      </c>
      <c r="K11" t="s">
        <v>107</v>
      </c>
      <c r="L11" s="19" t="s">
        <v>108</v>
      </c>
    </row>
    <row r="12" spans="2:12" ht="409.5" x14ac:dyDescent="0.45">
      <c r="B12">
        <v>2030</v>
      </c>
      <c r="C12" t="s">
        <v>109</v>
      </c>
      <c r="D12" t="s">
        <v>102</v>
      </c>
      <c r="E12">
        <v>1</v>
      </c>
      <c r="F12" t="s">
        <v>103</v>
      </c>
      <c r="G12" t="s">
        <v>104</v>
      </c>
      <c r="H12" t="s">
        <v>105</v>
      </c>
      <c r="I12" s="18">
        <v>44136</v>
      </c>
      <c r="J12" t="s">
        <v>110</v>
      </c>
      <c r="K12" s="19" t="s">
        <v>111</v>
      </c>
    </row>
    <row r="13" spans="2:12" ht="156.75" x14ac:dyDescent="0.45">
      <c r="B13">
        <v>2030</v>
      </c>
      <c r="C13" t="s">
        <v>109</v>
      </c>
      <c r="D13" t="s">
        <v>102</v>
      </c>
      <c r="E13">
        <v>1.07</v>
      </c>
      <c r="F13" t="s">
        <v>103</v>
      </c>
      <c r="G13" t="s">
        <v>104</v>
      </c>
      <c r="H13" t="s">
        <v>105</v>
      </c>
      <c r="I13" s="18">
        <v>45488</v>
      </c>
      <c r="J13" t="s">
        <v>106</v>
      </c>
      <c r="K13" t="s">
        <v>107</v>
      </c>
      <c r="L13" s="19" t="s">
        <v>108</v>
      </c>
    </row>
    <row r="14" spans="2:12" ht="409.5" x14ac:dyDescent="0.45">
      <c r="B14">
        <v>2030</v>
      </c>
      <c r="C14" t="s">
        <v>112</v>
      </c>
      <c r="D14" t="s">
        <v>102</v>
      </c>
      <c r="E14">
        <v>2</v>
      </c>
      <c r="F14" t="s">
        <v>103</v>
      </c>
      <c r="G14" t="s">
        <v>104</v>
      </c>
      <c r="H14" t="s">
        <v>105</v>
      </c>
      <c r="I14" s="18">
        <v>44136</v>
      </c>
      <c r="J14" t="s">
        <v>110</v>
      </c>
      <c r="K14" s="19" t="s">
        <v>111</v>
      </c>
    </row>
    <row r="15" spans="2:12" ht="156.75" x14ac:dyDescent="0.45">
      <c r="B15">
        <v>2030</v>
      </c>
      <c r="C15" t="s">
        <v>112</v>
      </c>
      <c r="D15" t="s">
        <v>102</v>
      </c>
      <c r="E15">
        <v>1.66</v>
      </c>
      <c r="F15" t="s">
        <v>103</v>
      </c>
      <c r="G15" t="s">
        <v>104</v>
      </c>
      <c r="H15" t="s">
        <v>105</v>
      </c>
      <c r="I15" s="18">
        <v>45488</v>
      </c>
      <c r="J15" t="s">
        <v>106</v>
      </c>
      <c r="K15" t="s">
        <v>107</v>
      </c>
      <c r="L15" s="19" t="s">
        <v>108</v>
      </c>
    </row>
    <row r="16" spans="2:12" ht="156.75" x14ac:dyDescent="0.45">
      <c r="B16">
        <v>2030</v>
      </c>
      <c r="C16" t="s">
        <v>113</v>
      </c>
      <c r="D16" t="s">
        <v>102</v>
      </c>
      <c r="E16">
        <v>0.03</v>
      </c>
      <c r="F16" t="s">
        <v>103</v>
      </c>
      <c r="G16" t="s">
        <v>104</v>
      </c>
      <c r="H16" t="s">
        <v>105</v>
      </c>
      <c r="I16" s="18">
        <v>45488</v>
      </c>
      <c r="J16" t="s">
        <v>106</v>
      </c>
      <c r="K16" t="s">
        <v>107</v>
      </c>
      <c r="L16" s="19" t="s">
        <v>108</v>
      </c>
    </row>
    <row r="17" spans="2:12" ht="156.75" x14ac:dyDescent="0.45">
      <c r="B17">
        <v>2030</v>
      </c>
      <c r="C17" t="s">
        <v>114</v>
      </c>
      <c r="D17" t="s">
        <v>102</v>
      </c>
      <c r="E17">
        <v>1.6</v>
      </c>
      <c r="F17" t="s">
        <v>103</v>
      </c>
      <c r="G17" t="s">
        <v>104</v>
      </c>
      <c r="H17" t="s">
        <v>105</v>
      </c>
      <c r="I17" s="18">
        <v>45488</v>
      </c>
      <c r="J17" t="s">
        <v>106</v>
      </c>
      <c r="K17" t="s">
        <v>107</v>
      </c>
      <c r="L17" s="19" t="s">
        <v>108</v>
      </c>
    </row>
    <row r="18" spans="2:12" ht="156.75" x14ac:dyDescent="0.45">
      <c r="B18">
        <v>2030</v>
      </c>
      <c r="C18" t="s">
        <v>115</v>
      </c>
      <c r="D18" t="s">
        <v>102</v>
      </c>
      <c r="E18">
        <v>0.06</v>
      </c>
      <c r="F18" t="s">
        <v>103</v>
      </c>
      <c r="G18" t="s">
        <v>104</v>
      </c>
      <c r="H18" t="s">
        <v>105</v>
      </c>
      <c r="I18" s="18">
        <v>45488</v>
      </c>
      <c r="J18" t="s">
        <v>106</v>
      </c>
      <c r="K18" t="s">
        <v>107</v>
      </c>
      <c r="L18" s="19" t="s">
        <v>108</v>
      </c>
    </row>
    <row r="19" spans="2:12" ht="156.75" x14ac:dyDescent="0.45">
      <c r="B19">
        <v>2030</v>
      </c>
      <c r="C19" t="s">
        <v>116</v>
      </c>
      <c r="D19" t="s">
        <v>102</v>
      </c>
      <c r="E19">
        <v>1.31</v>
      </c>
      <c r="F19" t="s">
        <v>103</v>
      </c>
      <c r="G19" t="s">
        <v>104</v>
      </c>
      <c r="H19" t="s">
        <v>105</v>
      </c>
      <c r="I19" s="18">
        <v>45488</v>
      </c>
      <c r="J19" t="s">
        <v>106</v>
      </c>
      <c r="K19" t="s">
        <v>107</v>
      </c>
      <c r="L19" s="19" t="s">
        <v>108</v>
      </c>
    </row>
    <row r="20" spans="2:12" ht="409.5" x14ac:dyDescent="0.45">
      <c r="B20">
        <v>2030</v>
      </c>
      <c r="C20" t="s">
        <v>116</v>
      </c>
      <c r="D20" t="s">
        <v>102</v>
      </c>
      <c r="E20">
        <v>1</v>
      </c>
      <c r="F20" t="s">
        <v>103</v>
      </c>
      <c r="G20" t="s">
        <v>104</v>
      </c>
      <c r="H20" t="s">
        <v>105</v>
      </c>
      <c r="I20" s="18">
        <v>44136</v>
      </c>
      <c r="J20" t="s">
        <v>110</v>
      </c>
      <c r="K20" s="19" t="s">
        <v>111</v>
      </c>
    </row>
    <row r="21" spans="2:12" ht="409.5" x14ac:dyDescent="0.45">
      <c r="B21">
        <v>2030</v>
      </c>
      <c r="C21" t="s">
        <v>101</v>
      </c>
      <c r="D21" t="s">
        <v>117</v>
      </c>
      <c r="E21">
        <v>0.74</v>
      </c>
      <c r="F21" t="s">
        <v>103</v>
      </c>
      <c r="G21" t="s">
        <v>104</v>
      </c>
      <c r="H21" t="s">
        <v>105</v>
      </c>
      <c r="I21" s="18">
        <v>44136</v>
      </c>
      <c r="J21" t="s">
        <v>110</v>
      </c>
      <c r="K21" s="19" t="s">
        <v>111</v>
      </c>
    </row>
    <row r="22" spans="2:12" ht="156.75" x14ac:dyDescent="0.45">
      <c r="B22">
        <v>2030</v>
      </c>
      <c r="C22" t="s">
        <v>101</v>
      </c>
      <c r="D22" t="s">
        <v>117</v>
      </c>
      <c r="E22">
        <v>0.67</v>
      </c>
      <c r="F22" t="s">
        <v>103</v>
      </c>
      <c r="G22" t="s">
        <v>104</v>
      </c>
      <c r="H22" t="s">
        <v>105</v>
      </c>
      <c r="I22" s="18">
        <v>45488</v>
      </c>
      <c r="J22" t="s">
        <v>106</v>
      </c>
      <c r="K22" t="s">
        <v>107</v>
      </c>
      <c r="L22" s="19" t="s">
        <v>108</v>
      </c>
    </row>
    <row r="23" spans="2:12" ht="409.5" x14ac:dyDescent="0.45">
      <c r="B23">
        <v>2030</v>
      </c>
      <c r="C23" t="s">
        <v>109</v>
      </c>
      <c r="D23" t="s">
        <v>117</v>
      </c>
      <c r="E23">
        <v>1.91</v>
      </c>
      <c r="F23" t="s">
        <v>103</v>
      </c>
      <c r="G23" t="s">
        <v>104</v>
      </c>
      <c r="H23" t="s">
        <v>105</v>
      </c>
      <c r="I23" s="18">
        <v>44136</v>
      </c>
      <c r="J23" t="s">
        <v>110</v>
      </c>
      <c r="K23" s="19" t="s">
        <v>111</v>
      </c>
    </row>
    <row r="24" spans="2:12" ht="156.75" x14ac:dyDescent="0.45">
      <c r="B24">
        <v>2030</v>
      </c>
      <c r="C24" t="s">
        <v>109</v>
      </c>
      <c r="D24" t="s">
        <v>117</v>
      </c>
      <c r="E24">
        <v>0.45</v>
      </c>
      <c r="F24" t="s">
        <v>103</v>
      </c>
      <c r="G24" t="s">
        <v>104</v>
      </c>
      <c r="H24" t="s">
        <v>105</v>
      </c>
      <c r="I24" s="18">
        <v>45488</v>
      </c>
      <c r="J24" t="s">
        <v>106</v>
      </c>
      <c r="K24" t="s">
        <v>107</v>
      </c>
      <c r="L24" s="19" t="s">
        <v>108</v>
      </c>
    </row>
    <row r="25" spans="2:12" ht="409.5" x14ac:dyDescent="0.45">
      <c r="B25">
        <v>2030</v>
      </c>
      <c r="C25" t="s">
        <v>112</v>
      </c>
      <c r="D25" t="s">
        <v>117</v>
      </c>
      <c r="E25">
        <v>3.11</v>
      </c>
      <c r="F25" t="s">
        <v>103</v>
      </c>
      <c r="G25" t="s">
        <v>104</v>
      </c>
      <c r="H25" t="s">
        <v>105</v>
      </c>
      <c r="I25" s="18">
        <v>44136</v>
      </c>
      <c r="J25" t="s">
        <v>110</v>
      </c>
      <c r="K25" s="19" t="s">
        <v>111</v>
      </c>
    </row>
    <row r="26" spans="2:12" ht="156.75" x14ac:dyDescent="0.45">
      <c r="B26">
        <v>2030</v>
      </c>
      <c r="C26" t="s">
        <v>112</v>
      </c>
      <c r="D26" t="s">
        <v>117</v>
      </c>
      <c r="E26">
        <v>3.17</v>
      </c>
      <c r="F26" t="s">
        <v>103</v>
      </c>
      <c r="G26" t="s">
        <v>104</v>
      </c>
      <c r="H26" t="s">
        <v>105</v>
      </c>
      <c r="I26" s="18">
        <v>45488</v>
      </c>
      <c r="J26" t="s">
        <v>106</v>
      </c>
      <c r="K26" t="s">
        <v>107</v>
      </c>
      <c r="L26" s="19" t="s">
        <v>108</v>
      </c>
    </row>
    <row r="27" spans="2:12" ht="156.75" x14ac:dyDescent="0.45">
      <c r="B27">
        <v>2030</v>
      </c>
      <c r="C27" t="s">
        <v>113</v>
      </c>
      <c r="D27" t="s">
        <v>117</v>
      </c>
      <c r="E27">
        <v>0.02</v>
      </c>
      <c r="F27" t="s">
        <v>103</v>
      </c>
      <c r="G27" t="s">
        <v>104</v>
      </c>
      <c r="H27" t="s">
        <v>105</v>
      </c>
      <c r="I27" s="18">
        <v>45488</v>
      </c>
      <c r="J27" t="s">
        <v>106</v>
      </c>
      <c r="K27" t="s">
        <v>107</v>
      </c>
      <c r="L27" s="19" t="s">
        <v>108</v>
      </c>
    </row>
    <row r="28" spans="2:12" ht="409.5" x14ac:dyDescent="0.45">
      <c r="B28">
        <v>2030</v>
      </c>
      <c r="C28" t="s">
        <v>113</v>
      </c>
      <c r="D28" t="s">
        <v>117</v>
      </c>
      <c r="E28">
        <v>0.04</v>
      </c>
      <c r="F28" t="s">
        <v>103</v>
      </c>
      <c r="G28" t="s">
        <v>104</v>
      </c>
      <c r="H28" t="s">
        <v>105</v>
      </c>
      <c r="I28" s="18">
        <v>44136</v>
      </c>
      <c r="J28" t="s">
        <v>110</v>
      </c>
      <c r="K28" s="19" t="s">
        <v>111</v>
      </c>
    </row>
    <row r="29" spans="2:12" ht="409.5" x14ac:dyDescent="0.45">
      <c r="B29">
        <v>2030</v>
      </c>
      <c r="C29" t="s">
        <v>114</v>
      </c>
      <c r="D29" t="s">
        <v>117</v>
      </c>
      <c r="E29">
        <v>0.02</v>
      </c>
      <c r="F29" t="s">
        <v>103</v>
      </c>
      <c r="G29" t="s">
        <v>104</v>
      </c>
      <c r="H29" t="s">
        <v>105</v>
      </c>
      <c r="I29" s="18">
        <v>44136</v>
      </c>
      <c r="J29" t="s">
        <v>110</v>
      </c>
      <c r="K29" s="19" t="s">
        <v>111</v>
      </c>
    </row>
    <row r="30" spans="2:12" ht="156.75" x14ac:dyDescent="0.45">
      <c r="B30">
        <v>2030</v>
      </c>
      <c r="C30" t="s">
        <v>114</v>
      </c>
      <c r="D30" t="s">
        <v>117</v>
      </c>
      <c r="E30">
        <v>1.98</v>
      </c>
      <c r="F30" t="s">
        <v>103</v>
      </c>
      <c r="G30" t="s">
        <v>104</v>
      </c>
      <c r="H30" t="s">
        <v>105</v>
      </c>
      <c r="I30" s="18">
        <v>45488</v>
      </c>
      <c r="J30" t="s">
        <v>106</v>
      </c>
      <c r="K30" t="s">
        <v>107</v>
      </c>
      <c r="L30" s="19" t="s">
        <v>108</v>
      </c>
    </row>
    <row r="31" spans="2:12" ht="409.5" x14ac:dyDescent="0.45">
      <c r="B31">
        <v>2030</v>
      </c>
      <c r="C31" t="s">
        <v>116</v>
      </c>
      <c r="D31" t="s">
        <v>117</v>
      </c>
      <c r="E31">
        <v>2.21</v>
      </c>
      <c r="F31" t="s">
        <v>103</v>
      </c>
      <c r="G31" t="s">
        <v>104</v>
      </c>
      <c r="H31" t="s">
        <v>105</v>
      </c>
      <c r="I31" s="18">
        <v>44136</v>
      </c>
      <c r="J31" t="s">
        <v>110</v>
      </c>
      <c r="K31" s="19" t="s">
        <v>111</v>
      </c>
    </row>
    <row r="32" spans="2:12" ht="156.75" x14ac:dyDescent="0.45">
      <c r="B32">
        <v>2030</v>
      </c>
      <c r="C32" t="s">
        <v>116</v>
      </c>
      <c r="D32" t="s">
        <v>117</v>
      </c>
      <c r="E32">
        <v>4.28</v>
      </c>
      <c r="F32" t="s">
        <v>103</v>
      </c>
      <c r="G32" t="s">
        <v>104</v>
      </c>
      <c r="H32" t="s">
        <v>105</v>
      </c>
      <c r="I32" s="18">
        <v>45488</v>
      </c>
      <c r="J32" t="s">
        <v>106</v>
      </c>
      <c r="K32" t="s">
        <v>107</v>
      </c>
      <c r="L32" s="19" t="s">
        <v>108</v>
      </c>
    </row>
    <row r="33" spans="2:12" ht="409.5" x14ac:dyDescent="0.45">
      <c r="B33">
        <v>2030</v>
      </c>
      <c r="C33" t="s">
        <v>101</v>
      </c>
      <c r="D33" t="s">
        <v>118</v>
      </c>
      <c r="E33">
        <v>9.25</v>
      </c>
      <c r="F33" t="s">
        <v>103</v>
      </c>
      <c r="G33" t="s">
        <v>104</v>
      </c>
      <c r="H33" t="s">
        <v>105</v>
      </c>
      <c r="I33" s="18">
        <v>44136</v>
      </c>
      <c r="J33" t="s">
        <v>110</v>
      </c>
      <c r="K33" s="19" t="s">
        <v>111</v>
      </c>
    </row>
    <row r="34" spans="2:12" ht="156.75" x14ac:dyDescent="0.45">
      <c r="B34">
        <v>2030</v>
      </c>
      <c r="C34" t="s">
        <v>101</v>
      </c>
      <c r="D34" t="s">
        <v>118</v>
      </c>
      <c r="E34">
        <v>6.31</v>
      </c>
      <c r="F34" t="s">
        <v>103</v>
      </c>
      <c r="G34" t="s">
        <v>104</v>
      </c>
      <c r="H34" t="s">
        <v>105</v>
      </c>
      <c r="I34" s="18">
        <v>45488</v>
      </c>
      <c r="J34" t="s">
        <v>106</v>
      </c>
      <c r="K34" t="s">
        <v>107</v>
      </c>
      <c r="L34" s="19" t="s">
        <v>108</v>
      </c>
    </row>
    <row r="35" spans="2:12" ht="409.5" x14ac:dyDescent="0.45">
      <c r="B35">
        <v>2030</v>
      </c>
      <c r="C35" t="s">
        <v>109</v>
      </c>
      <c r="D35" t="s">
        <v>118</v>
      </c>
      <c r="E35">
        <v>23.76</v>
      </c>
      <c r="F35" t="s">
        <v>103</v>
      </c>
      <c r="G35" t="s">
        <v>104</v>
      </c>
      <c r="H35" t="s">
        <v>105</v>
      </c>
      <c r="I35" s="18">
        <v>44136</v>
      </c>
      <c r="J35" t="s">
        <v>110</v>
      </c>
      <c r="K35" s="19" t="s">
        <v>111</v>
      </c>
    </row>
    <row r="36" spans="2:12" ht="156.75" x14ac:dyDescent="0.45">
      <c r="B36">
        <v>2030</v>
      </c>
      <c r="C36" t="s">
        <v>109</v>
      </c>
      <c r="D36" t="s">
        <v>118</v>
      </c>
      <c r="E36">
        <v>4.28</v>
      </c>
      <c r="F36" t="s">
        <v>103</v>
      </c>
      <c r="G36" t="s">
        <v>104</v>
      </c>
      <c r="H36" t="s">
        <v>105</v>
      </c>
      <c r="I36" s="18">
        <v>45488</v>
      </c>
      <c r="J36" t="s">
        <v>106</v>
      </c>
      <c r="K36" t="s">
        <v>107</v>
      </c>
      <c r="L36" s="19" t="s">
        <v>108</v>
      </c>
    </row>
    <row r="37" spans="2:12" ht="409.5" x14ac:dyDescent="0.45">
      <c r="B37">
        <v>2030</v>
      </c>
      <c r="C37" t="s">
        <v>112</v>
      </c>
      <c r="D37" t="s">
        <v>118</v>
      </c>
      <c r="E37">
        <v>38.659999999999997</v>
      </c>
      <c r="F37" t="s">
        <v>103</v>
      </c>
      <c r="G37" t="s">
        <v>104</v>
      </c>
      <c r="H37" t="s">
        <v>105</v>
      </c>
      <c r="I37" s="18">
        <v>44136</v>
      </c>
      <c r="J37" t="s">
        <v>110</v>
      </c>
      <c r="K37" s="19" t="s">
        <v>111</v>
      </c>
    </row>
    <row r="38" spans="2:12" ht="156.75" x14ac:dyDescent="0.45">
      <c r="B38">
        <v>2030</v>
      </c>
      <c r="C38" t="s">
        <v>112</v>
      </c>
      <c r="D38" t="s">
        <v>118</v>
      </c>
      <c r="E38">
        <v>29.98</v>
      </c>
      <c r="F38" t="s">
        <v>103</v>
      </c>
      <c r="G38" t="s">
        <v>104</v>
      </c>
      <c r="H38" t="s">
        <v>105</v>
      </c>
      <c r="I38" s="18">
        <v>45488</v>
      </c>
      <c r="J38" t="s">
        <v>106</v>
      </c>
      <c r="K38" t="s">
        <v>107</v>
      </c>
      <c r="L38" s="19" t="s">
        <v>108</v>
      </c>
    </row>
    <row r="39" spans="2:12" ht="156.75" x14ac:dyDescent="0.45">
      <c r="B39">
        <v>2030</v>
      </c>
      <c r="C39" t="s">
        <v>113</v>
      </c>
      <c r="D39" t="s">
        <v>118</v>
      </c>
      <c r="E39">
        <v>0.22</v>
      </c>
      <c r="F39" t="s">
        <v>103</v>
      </c>
      <c r="G39" t="s">
        <v>104</v>
      </c>
      <c r="H39" t="s">
        <v>105</v>
      </c>
      <c r="I39" s="18">
        <v>45488</v>
      </c>
      <c r="J39" t="s">
        <v>106</v>
      </c>
      <c r="K39" t="s">
        <v>107</v>
      </c>
      <c r="L39" s="19" t="s">
        <v>108</v>
      </c>
    </row>
    <row r="40" spans="2:12" ht="409.5" x14ac:dyDescent="0.45">
      <c r="B40">
        <v>2030</v>
      </c>
      <c r="C40" t="s">
        <v>113</v>
      </c>
      <c r="D40" t="s">
        <v>118</v>
      </c>
      <c r="E40">
        <v>0.55000000000000004</v>
      </c>
      <c r="F40" t="s">
        <v>103</v>
      </c>
      <c r="G40" t="s">
        <v>104</v>
      </c>
      <c r="H40" t="s">
        <v>105</v>
      </c>
      <c r="I40" s="18">
        <v>44136</v>
      </c>
      <c r="J40" t="s">
        <v>110</v>
      </c>
      <c r="K40" s="19" t="s">
        <v>111</v>
      </c>
    </row>
    <row r="41" spans="2:12" ht="409.5" x14ac:dyDescent="0.45">
      <c r="B41">
        <v>2030</v>
      </c>
      <c r="C41" t="s">
        <v>114</v>
      </c>
      <c r="D41" t="s">
        <v>118</v>
      </c>
      <c r="E41">
        <v>0.26</v>
      </c>
      <c r="F41" t="s">
        <v>103</v>
      </c>
      <c r="G41" t="s">
        <v>104</v>
      </c>
      <c r="H41" t="s">
        <v>105</v>
      </c>
      <c r="I41" s="18">
        <v>44136</v>
      </c>
      <c r="J41" t="s">
        <v>110</v>
      </c>
      <c r="K41" s="19" t="s">
        <v>111</v>
      </c>
    </row>
    <row r="42" spans="2:12" ht="156.75" x14ac:dyDescent="0.45">
      <c r="B42">
        <v>2030</v>
      </c>
      <c r="C42" t="s">
        <v>114</v>
      </c>
      <c r="D42" t="s">
        <v>118</v>
      </c>
      <c r="E42">
        <v>18.72</v>
      </c>
      <c r="F42" t="s">
        <v>103</v>
      </c>
      <c r="G42" t="s">
        <v>104</v>
      </c>
      <c r="H42" t="s">
        <v>105</v>
      </c>
      <c r="I42" s="18">
        <v>45488</v>
      </c>
      <c r="J42" t="s">
        <v>106</v>
      </c>
      <c r="K42" t="s">
        <v>107</v>
      </c>
      <c r="L42" s="19" t="s">
        <v>108</v>
      </c>
    </row>
    <row r="43" spans="2:12" ht="409.5" x14ac:dyDescent="0.45">
      <c r="B43">
        <v>2030</v>
      </c>
      <c r="C43" t="s">
        <v>116</v>
      </c>
      <c r="D43" t="s">
        <v>118</v>
      </c>
      <c r="E43">
        <v>27.52</v>
      </c>
      <c r="F43" t="s">
        <v>103</v>
      </c>
      <c r="G43" t="s">
        <v>104</v>
      </c>
      <c r="H43" t="s">
        <v>105</v>
      </c>
      <c r="I43" s="18">
        <v>44136</v>
      </c>
      <c r="J43" t="s">
        <v>110</v>
      </c>
      <c r="K43" s="19" t="s">
        <v>111</v>
      </c>
    </row>
    <row r="44" spans="2:12" ht="156.75" x14ac:dyDescent="0.45">
      <c r="B44">
        <v>2030</v>
      </c>
      <c r="C44" t="s">
        <v>116</v>
      </c>
      <c r="D44" t="s">
        <v>118</v>
      </c>
      <c r="E44">
        <v>40.49</v>
      </c>
      <c r="F44" t="s">
        <v>103</v>
      </c>
      <c r="G44" t="s">
        <v>104</v>
      </c>
      <c r="H44" t="s">
        <v>105</v>
      </c>
      <c r="I44" s="18">
        <v>45488</v>
      </c>
      <c r="J44" t="s">
        <v>106</v>
      </c>
      <c r="K44" t="s">
        <v>107</v>
      </c>
      <c r="L44" s="19" t="s">
        <v>108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B5" sqref="B5"/>
    </sheetView>
  </sheetViews>
  <sheetFormatPr defaultRowHeight="14.25" x14ac:dyDescent="0.45"/>
  <cols>
    <col min="2" max="2" width="10.9296875" bestFit="1" customWidth="1"/>
    <col min="3" max="3" width="10.73046875" bestFit="1" customWidth="1"/>
    <col min="4" max="4" width="8.59765625" customWidth="1"/>
    <col min="5" max="5" width="9.53125" customWidth="1"/>
    <col min="6" max="6" width="9.73046875" bestFit="1" customWidth="1"/>
    <col min="7"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4.7304687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0.11415525114155252</v>
      </c>
      <c r="H3" s="3">
        <v>0.82543027748507192</v>
      </c>
      <c r="I3" s="3">
        <v>0.19025875190258751</v>
      </c>
      <c r="J3" s="3">
        <v>0.6967094295861419</v>
      </c>
      <c r="V3" t="s">
        <v>1</v>
      </c>
    </row>
    <row r="4" spans="1:38" x14ac:dyDescent="0.45">
      <c r="A4" t="s">
        <v>48</v>
      </c>
      <c r="B4" t="s">
        <v>2</v>
      </c>
      <c r="C4" t="s">
        <v>3</v>
      </c>
      <c r="D4" t="s">
        <v>4</v>
      </c>
      <c r="F4" t="s">
        <v>5</v>
      </c>
      <c r="G4" s="3"/>
      <c r="H4" s="3"/>
      <c r="I4" s="3"/>
      <c r="J4" s="3"/>
    </row>
    <row r="5" spans="1:38" x14ac:dyDescent="0.45">
      <c r="B5" t="s">
        <v>87</v>
      </c>
      <c r="C5" t="s">
        <v>43</v>
      </c>
      <c r="D5" s="4"/>
      <c r="F5" t="s">
        <v>8</v>
      </c>
      <c r="G5" s="3">
        <v>0.12672280172594361</v>
      </c>
      <c r="H5" s="3">
        <v>0.41332073689182813</v>
      </c>
      <c r="I5" s="3"/>
      <c r="J5" s="3"/>
    </row>
    <row r="6" spans="1:38" x14ac:dyDescent="0.45">
      <c r="A6" s="5">
        <v>0.28000000000000003</v>
      </c>
      <c r="B6" t="s">
        <v>82</v>
      </c>
      <c r="C6" t="s">
        <v>7</v>
      </c>
      <c r="D6" s="4" t="str">
        <f>IFERROR(MIN(VLOOKUP(B6,$F$3:$J$11,5,FALSE),$A$6),"")</f>
        <v/>
      </c>
      <c r="F6" t="s">
        <v>6</v>
      </c>
      <c r="G6" s="3">
        <v>0.13354010510898595</v>
      </c>
      <c r="H6" s="3">
        <v>0.32051282051282054</v>
      </c>
      <c r="I6" s="3">
        <v>0.13375958606472213</v>
      </c>
      <c r="J6" s="3">
        <v>0.31967335046691769</v>
      </c>
      <c r="U6" t="s">
        <v>11</v>
      </c>
      <c r="AF6" t="s">
        <v>10</v>
      </c>
    </row>
    <row r="7" spans="1:38" x14ac:dyDescent="0.45">
      <c r="B7" t="s">
        <v>83</v>
      </c>
      <c r="C7" t="s">
        <v>7</v>
      </c>
      <c r="D7" s="4" t="str">
        <f t="shared" ref="D7" si="0">IFERROR(VLOOKUP(B7,$F$3:$J$11,5,FALSE),"")</f>
        <v/>
      </c>
      <c r="F7" t="s">
        <v>19</v>
      </c>
      <c r="G7" s="3"/>
      <c r="H7" s="3"/>
      <c r="I7" s="3"/>
      <c r="J7" s="3"/>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v>
      </c>
      <c r="F8" t="s">
        <v>23</v>
      </c>
      <c r="G8" s="3">
        <v>65535</v>
      </c>
      <c r="H8" s="3">
        <v>65535</v>
      </c>
      <c r="I8" s="3">
        <v>1.0824613545467983E-5</v>
      </c>
      <c r="J8" s="3">
        <v>2.7217118196699489E-2</v>
      </c>
      <c r="U8" t="s">
        <v>20</v>
      </c>
      <c r="V8" t="s">
        <v>5</v>
      </c>
      <c r="W8" s="1" t="s">
        <v>21</v>
      </c>
      <c r="X8" s="2">
        <f>-1/8.76</f>
        <v>-0.11415525114155252</v>
      </c>
      <c r="Z8" s="2">
        <f>VLOOKUP(V8,$F$3:$J$11,3,FALSE)</f>
        <v>0</v>
      </c>
      <c r="AA8" s="2">
        <f>Z8*$AB$1</f>
        <v>0</v>
      </c>
      <c r="AB8">
        <v>0</v>
      </c>
      <c r="AC8">
        <v>3</v>
      </c>
      <c r="AF8" t="s">
        <v>22</v>
      </c>
      <c r="AG8" t="s">
        <v>5</v>
      </c>
      <c r="AH8">
        <f>-1/8.76</f>
        <v>-0.11415525114155252</v>
      </c>
      <c r="AI8" s="2">
        <f>VLOOKUP(AG8,$F$3:$J$11,2,FALSE)</f>
        <v>0</v>
      </c>
      <c r="AJ8">
        <f>AI8*$AD$1</f>
        <v>0</v>
      </c>
      <c r="AK8">
        <v>0</v>
      </c>
      <c r="AL8">
        <v>3</v>
      </c>
    </row>
    <row r="9" spans="1:38" x14ac:dyDescent="0.45">
      <c r="F9" t="s">
        <v>9</v>
      </c>
      <c r="G9" s="3">
        <v>0</v>
      </c>
      <c r="H9" s="3">
        <v>0.11415525114155252</v>
      </c>
      <c r="I9" s="3">
        <v>4.1697983593970984E-2</v>
      </c>
      <c r="J9" s="3">
        <v>0.10845094573926414</v>
      </c>
      <c r="U9" t="s">
        <v>24</v>
      </c>
      <c r="V9" t="s">
        <v>8</v>
      </c>
      <c r="W9" s="1" t="s">
        <v>21</v>
      </c>
      <c r="X9" s="2">
        <f>-1/8.76</f>
        <v>-0.11415525114155252</v>
      </c>
      <c r="Z9" s="2">
        <f>VLOOKUP(V9,$F$3:$J$11,3,FALSE)</f>
        <v>0.41332073689182813</v>
      </c>
      <c r="AA9" s="2">
        <f>Z9*$AB$1</f>
        <v>0.45465281058101098</v>
      </c>
      <c r="AB9">
        <v>0</v>
      </c>
      <c r="AC9">
        <v>3</v>
      </c>
      <c r="AF9" t="s">
        <v>25</v>
      </c>
      <c r="AG9" t="s">
        <v>8</v>
      </c>
      <c r="AH9">
        <f>-1/8.76</f>
        <v>-0.11415525114155252</v>
      </c>
      <c r="AI9" s="2">
        <f>VLOOKUP(AG9,$F$3:$J$11,2,FALSE)</f>
        <v>0.12672280172594361</v>
      </c>
      <c r="AJ9">
        <f>AI9*$AD$1</f>
        <v>2.5344560345188723E-2</v>
      </c>
      <c r="AK9">
        <v>0</v>
      </c>
      <c r="AL9">
        <v>3</v>
      </c>
    </row>
    <row r="10" spans="1:38" ht="14.65" customHeight="1" x14ac:dyDescent="0.45">
      <c r="F10" t="s">
        <v>88</v>
      </c>
      <c r="G10" s="3">
        <v>5.7077625570776259E-2</v>
      </c>
      <c r="H10" s="3">
        <v>0.27111872146118721</v>
      </c>
      <c r="I10" s="3">
        <v>5.8333333333333341E-2</v>
      </c>
      <c r="J10" s="3">
        <v>0.26339247479986755</v>
      </c>
    </row>
    <row r="11" spans="1:38" ht="14.65" customHeight="1" x14ac:dyDescent="0.45">
      <c r="G11" s="3"/>
      <c r="H11" s="3"/>
      <c r="I11" s="3"/>
      <c r="J11" s="3"/>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13" t="s">
        <v>68</v>
      </c>
      <c r="U15" t="s">
        <v>64</v>
      </c>
      <c r="V15" t="s">
        <v>19</v>
      </c>
      <c r="Y15">
        <v>1</v>
      </c>
      <c r="AB15">
        <f>AE15*2.5</f>
        <v>16.95</v>
      </c>
      <c r="AC15">
        <v>3</v>
      </c>
      <c r="AE15" s="17">
        <f>SUMIFS(historical_data_long!$D$3:$D$626,historical_data_long!$A$3:$A$626,Veda!$V15,historical_data_long!$C$3:$C$626,"GW",historical_data_long!$B$3:$B$626,2022)</f>
        <v>6.78</v>
      </c>
      <c r="AF15" s="16" t="s">
        <v>86</v>
      </c>
    </row>
    <row r="16" spans="1:38" x14ac:dyDescent="0.45">
      <c r="L16" s="13" t="s">
        <v>34</v>
      </c>
    </row>
    <row r="17" spans="2:12" x14ac:dyDescent="0.45">
      <c r="L17" s="13" t="s">
        <v>35</v>
      </c>
    </row>
    <row r="18" spans="2:12" x14ac:dyDescent="0.45">
      <c r="L18" s="13"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A7" sqref="A7"/>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119</v>
      </c>
    </row>
    <row r="10" spans="2:10" x14ac:dyDescent="0.45">
      <c r="B10" t="s">
        <v>120</v>
      </c>
      <c r="C10" t="s">
        <v>69</v>
      </c>
      <c r="D10" t="s">
        <v>70</v>
      </c>
      <c r="E10" t="s">
        <v>71</v>
      </c>
      <c r="F10" t="s">
        <v>72</v>
      </c>
      <c r="G10" t="s">
        <v>73</v>
      </c>
      <c r="H10" t="s">
        <v>74</v>
      </c>
      <c r="I10" t="s">
        <v>75</v>
      </c>
      <c r="J10" t="s">
        <v>76</v>
      </c>
    </row>
    <row r="11" spans="2:10" x14ac:dyDescent="0.45">
      <c r="B11" t="s">
        <v>121</v>
      </c>
      <c r="C11">
        <v>0.5</v>
      </c>
      <c r="D11">
        <v>0.8</v>
      </c>
      <c r="E11">
        <v>0.3</v>
      </c>
      <c r="F11">
        <v>0.5</v>
      </c>
      <c r="G11">
        <v>0.01</v>
      </c>
      <c r="H11">
        <v>0.02</v>
      </c>
      <c r="I11">
        <v>0</v>
      </c>
      <c r="J11">
        <v>0</v>
      </c>
    </row>
    <row r="14" spans="2:10" x14ac:dyDescent="0.45">
      <c r="B14" t="s">
        <v>1</v>
      </c>
    </row>
    <row r="18" spans="1:8" ht="14.65" thickBot="1" x14ac:dyDescent="0.5">
      <c r="B18" s="15" t="s">
        <v>81</v>
      </c>
    </row>
    <row r="19" spans="1:8" ht="15" thickTop="1" thickBot="1" x14ac:dyDescent="0.5">
      <c r="A19" s="14" t="s">
        <v>48</v>
      </c>
      <c r="B19" s="14" t="s">
        <v>77</v>
      </c>
      <c r="C19" s="14" t="s">
        <v>2</v>
      </c>
      <c r="D19" s="14" t="s">
        <v>78</v>
      </c>
      <c r="E19" s="14" t="s">
        <v>79</v>
      </c>
      <c r="F19" s="14">
        <v>2025</v>
      </c>
      <c r="G19" s="14">
        <v>2040</v>
      </c>
      <c r="H19" s="14">
        <v>0</v>
      </c>
    </row>
    <row r="20" spans="1:8" x14ac:dyDescent="0.45">
      <c r="A20" t="s">
        <v>9</v>
      </c>
      <c r="B20" t="str">
        <f>"uce_buildrate_"&amp;A20</f>
        <v>uce_buildrate_solar</v>
      </c>
      <c r="C20" t="str">
        <f>A20</f>
        <v>solar</v>
      </c>
      <c r="D20" t="s">
        <v>80</v>
      </c>
      <c r="E20">
        <v>1</v>
      </c>
      <c r="F20">
        <f>C11</f>
        <v>0.5</v>
      </c>
      <c r="G20">
        <f>D11</f>
        <v>0.8</v>
      </c>
      <c r="H20">
        <v>4</v>
      </c>
    </row>
    <row r="21" spans="1:8" x14ac:dyDescent="0.45">
      <c r="A21" t="s">
        <v>12</v>
      </c>
      <c r="B21" t="str">
        <f t="shared" ref="B21:B23" si="0">"uce_buildrate_"&amp;A21</f>
        <v>uce_buildrate_wind</v>
      </c>
      <c r="C21" t="str">
        <f>A21&amp;"*"</f>
        <v>wind*</v>
      </c>
      <c r="D21" t="s">
        <v>80</v>
      </c>
      <c r="E21">
        <v>1</v>
      </c>
      <c r="F21">
        <f>E11</f>
        <v>0.3</v>
      </c>
      <c r="G21">
        <f>F11</f>
        <v>0.5</v>
      </c>
      <c r="H21">
        <v>4</v>
      </c>
    </row>
    <row r="22" spans="1:8" x14ac:dyDescent="0.45">
      <c r="A22" t="s">
        <v>6</v>
      </c>
      <c r="B22" t="str">
        <f t="shared" si="0"/>
        <v>uce_buildrate_hydro</v>
      </c>
      <c r="C22" t="str">
        <f t="shared" ref="C22:C23" si="1">A22</f>
        <v>hydro</v>
      </c>
      <c r="D22" t="s">
        <v>80</v>
      </c>
      <c r="E22">
        <v>1</v>
      </c>
      <c r="F22">
        <f>G11</f>
        <v>0.01</v>
      </c>
      <c r="G22">
        <f>H11</f>
        <v>0.02</v>
      </c>
      <c r="H22">
        <v>4</v>
      </c>
    </row>
    <row r="23" spans="1:8" x14ac:dyDescent="0.45">
      <c r="A23" t="s">
        <v>19</v>
      </c>
      <c r="B23" t="str">
        <f t="shared" si="0"/>
        <v>uce_buildrate_nuclear</v>
      </c>
      <c r="C23" t="str">
        <f t="shared" si="1"/>
        <v>nuclear</v>
      </c>
      <c r="D23" t="s">
        <v>80</v>
      </c>
      <c r="E23">
        <v>1</v>
      </c>
      <c r="F23">
        <f>I11</f>
        <v>0</v>
      </c>
      <c r="G23">
        <f>J11</f>
        <v>0</v>
      </c>
      <c r="H23">
        <v>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626"/>
  <sheetViews>
    <sheetView workbookViewId="0"/>
  </sheetViews>
  <sheetFormatPr defaultRowHeight="14.25" x14ac:dyDescent="0.45"/>
  <sheetData>
    <row r="1" spans="1:4" ht="14.65" thickBot="1" x14ac:dyDescent="0.5">
      <c r="A1" s="7"/>
    </row>
    <row r="2" spans="1:4" ht="19.149999999999999" thickBot="1" x14ac:dyDescent="0.75">
      <c r="A2" s="8" t="s">
        <v>50</v>
      </c>
      <c r="B2" s="8" t="s">
        <v>56</v>
      </c>
      <c r="C2" s="8" t="s">
        <v>57</v>
      </c>
      <c r="D2" s="8" t="s">
        <v>58</v>
      </c>
    </row>
    <row r="3" spans="1:4" ht="16.5" x14ac:dyDescent="0.6">
      <c r="A3" s="9" t="s">
        <v>55</v>
      </c>
      <c r="B3" s="9">
        <v>2000</v>
      </c>
      <c r="C3" s="9" t="s">
        <v>59</v>
      </c>
      <c r="D3" s="10">
        <v>1.69</v>
      </c>
    </row>
    <row r="4" spans="1:4" ht="16.5" x14ac:dyDescent="0.6">
      <c r="A4" s="11" t="s">
        <v>5</v>
      </c>
      <c r="B4" s="11">
        <v>2000</v>
      </c>
      <c r="C4" s="11" t="s">
        <v>59</v>
      </c>
      <c r="D4" s="12">
        <v>390.23</v>
      </c>
    </row>
    <row r="5" spans="1:4" ht="16.5" x14ac:dyDescent="0.6">
      <c r="A5" s="9" t="s">
        <v>8</v>
      </c>
      <c r="B5" s="9">
        <v>2000</v>
      </c>
      <c r="C5" s="9" t="s">
        <v>59</v>
      </c>
      <c r="D5" s="10">
        <v>55.96</v>
      </c>
    </row>
    <row r="6" spans="1:4" ht="16.5" x14ac:dyDescent="0.6">
      <c r="A6" s="11" t="s">
        <v>6</v>
      </c>
      <c r="B6" s="11">
        <v>2000</v>
      </c>
      <c r="C6" s="11" t="s">
        <v>59</v>
      </c>
      <c r="D6" s="12">
        <v>76.989999999999995</v>
      </c>
    </row>
    <row r="7" spans="1:4" ht="16.5" x14ac:dyDescent="0.6">
      <c r="A7" s="9" t="s">
        <v>19</v>
      </c>
      <c r="B7" s="9">
        <v>2000</v>
      </c>
      <c r="C7" s="9" t="s">
        <v>59</v>
      </c>
      <c r="D7" s="10">
        <v>15.77</v>
      </c>
    </row>
    <row r="8" spans="1:4" ht="16.5" x14ac:dyDescent="0.6">
      <c r="A8" s="11" t="s">
        <v>23</v>
      </c>
      <c r="B8" s="11">
        <v>2000</v>
      </c>
      <c r="C8" s="11" t="s">
        <v>59</v>
      </c>
      <c r="D8" s="12">
        <v>29.16</v>
      </c>
    </row>
    <row r="9" spans="1:4" ht="16.5" x14ac:dyDescent="0.6">
      <c r="A9" s="9" t="s">
        <v>9</v>
      </c>
      <c r="B9" s="9">
        <v>2000</v>
      </c>
      <c r="C9" s="9" t="s">
        <v>59</v>
      </c>
      <c r="D9" s="10">
        <v>0.01</v>
      </c>
    </row>
    <row r="10" spans="1:4" ht="16.5" x14ac:dyDescent="0.6">
      <c r="A10" s="11" t="s">
        <v>12</v>
      </c>
      <c r="B10" s="11">
        <v>2000</v>
      </c>
      <c r="C10" s="11" t="s">
        <v>59</v>
      </c>
      <c r="D10" s="12">
        <v>1.58</v>
      </c>
    </row>
    <row r="11" spans="1:4" ht="16.5" x14ac:dyDescent="0.6">
      <c r="A11" s="9" t="s">
        <v>55</v>
      </c>
      <c r="B11" s="9">
        <v>2001</v>
      </c>
      <c r="C11" s="9" t="s">
        <v>59</v>
      </c>
      <c r="D11" s="10">
        <v>2.0699999999999998</v>
      </c>
    </row>
    <row r="12" spans="1:4" ht="16.5" x14ac:dyDescent="0.6">
      <c r="A12" s="11" t="s">
        <v>5</v>
      </c>
      <c r="B12" s="11">
        <v>2001</v>
      </c>
      <c r="C12" s="11" t="s">
        <v>59</v>
      </c>
      <c r="D12" s="12">
        <v>408.29</v>
      </c>
    </row>
    <row r="13" spans="1:4" ht="16.5" x14ac:dyDescent="0.6">
      <c r="A13" s="9" t="s">
        <v>8</v>
      </c>
      <c r="B13" s="9">
        <v>2001</v>
      </c>
      <c r="C13" s="9" t="s">
        <v>59</v>
      </c>
      <c r="D13" s="10">
        <v>55.93</v>
      </c>
    </row>
    <row r="14" spans="1:4" ht="16.5" x14ac:dyDescent="0.6">
      <c r="A14" s="11" t="s">
        <v>6</v>
      </c>
      <c r="B14" s="11">
        <v>2001</v>
      </c>
      <c r="C14" s="11" t="s">
        <v>59</v>
      </c>
      <c r="D14" s="12">
        <v>72.02</v>
      </c>
    </row>
    <row r="15" spans="1:4" ht="16.5" x14ac:dyDescent="0.6">
      <c r="A15" s="9" t="s">
        <v>19</v>
      </c>
      <c r="B15" s="9">
        <v>2001</v>
      </c>
      <c r="C15" s="9" t="s">
        <v>59</v>
      </c>
      <c r="D15" s="10">
        <v>18.89</v>
      </c>
    </row>
    <row r="16" spans="1:4" ht="16.5" x14ac:dyDescent="0.6">
      <c r="A16" s="11" t="s">
        <v>23</v>
      </c>
      <c r="B16" s="11">
        <v>2001</v>
      </c>
      <c r="C16" s="11" t="s">
        <v>59</v>
      </c>
      <c r="D16" s="12">
        <v>26.79</v>
      </c>
    </row>
    <row r="17" spans="1:4" ht="16.5" x14ac:dyDescent="0.6">
      <c r="A17" s="9" t="s">
        <v>9</v>
      </c>
      <c r="B17" s="9">
        <v>2001</v>
      </c>
      <c r="C17" s="9" t="s">
        <v>59</v>
      </c>
      <c r="D17" s="10">
        <v>0.01</v>
      </c>
    </row>
    <row r="18" spans="1:4" ht="16.5" x14ac:dyDescent="0.6">
      <c r="A18" s="11" t="s">
        <v>12</v>
      </c>
      <c r="B18" s="11">
        <v>2001</v>
      </c>
      <c r="C18" s="11" t="s">
        <v>59</v>
      </c>
      <c r="D18" s="12">
        <v>2.09</v>
      </c>
    </row>
    <row r="19" spans="1:4" ht="16.5" x14ac:dyDescent="0.6">
      <c r="A19" s="9" t="s">
        <v>55</v>
      </c>
      <c r="B19" s="9">
        <v>2002</v>
      </c>
      <c r="C19" s="9" t="s">
        <v>59</v>
      </c>
      <c r="D19" s="10">
        <v>2.14</v>
      </c>
    </row>
    <row r="20" spans="1:4" ht="16.5" x14ac:dyDescent="0.6">
      <c r="A20" s="11" t="s">
        <v>5</v>
      </c>
      <c r="B20" s="11">
        <v>2002</v>
      </c>
      <c r="C20" s="11" t="s">
        <v>59</v>
      </c>
      <c r="D20" s="12">
        <v>426.7</v>
      </c>
    </row>
    <row r="21" spans="1:4" ht="16.5" x14ac:dyDescent="0.6">
      <c r="A21" s="9" t="s">
        <v>8</v>
      </c>
      <c r="B21" s="9">
        <v>2002</v>
      </c>
      <c r="C21" s="9" t="s">
        <v>59</v>
      </c>
      <c r="D21" s="10">
        <v>62.88</v>
      </c>
    </row>
    <row r="22" spans="1:4" ht="16.5" x14ac:dyDescent="0.6">
      <c r="A22" s="11" t="s">
        <v>6</v>
      </c>
      <c r="B22" s="11">
        <v>2002</v>
      </c>
      <c r="C22" s="11" t="s">
        <v>59</v>
      </c>
      <c r="D22" s="12">
        <v>68.540000000000006</v>
      </c>
    </row>
    <row r="23" spans="1:4" ht="16.5" x14ac:dyDescent="0.6">
      <c r="A23" s="9" t="s">
        <v>19</v>
      </c>
      <c r="B23" s="9">
        <v>2002</v>
      </c>
      <c r="C23" s="9" t="s">
        <v>59</v>
      </c>
      <c r="D23" s="10">
        <v>19.350000000000001</v>
      </c>
    </row>
    <row r="24" spans="1:4" ht="16.5" x14ac:dyDescent="0.6">
      <c r="A24" s="11" t="s">
        <v>23</v>
      </c>
      <c r="B24" s="11">
        <v>2002</v>
      </c>
      <c r="C24" s="11" t="s">
        <v>59</v>
      </c>
      <c r="D24" s="12">
        <v>27.93</v>
      </c>
    </row>
    <row r="25" spans="1:4" ht="16.5" x14ac:dyDescent="0.6">
      <c r="A25" s="9" t="s">
        <v>9</v>
      </c>
      <c r="B25" s="9">
        <v>2002</v>
      </c>
      <c r="C25" s="9" t="s">
        <v>59</v>
      </c>
      <c r="D25" s="10">
        <v>0.01</v>
      </c>
    </row>
    <row r="26" spans="1:4" ht="16.5" x14ac:dyDescent="0.6">
      <c r="A26" s="11" t="s">
        <v>12</v>
      </c>
      <c r="B26" s="11">
        <v>2002</v>
      </c>
      <c r="C26" s="11" t="s">
        <v>59</v>
      </c>
      <c r="D26" s="12">
        <v>2.09</v>
      </c>
    </row>
    <row r="27" spans="1:4" ht="16.5" x14ac:dyDescent="0.6">
      <c r="A27" s="9" t="s">
        <v>55</v>
      </c>
      <c r="B27" s="9">
        <v>2003</v>
      </c>
      <c r="C27" s="9" t="s">
        <v>59</v>
      </c>
      <c r="D27" s="10">
        <v>2.71</v>
      </c>
    </row>
    <row r="28" spans="1:4" ht="16.5" x14ac:dyDescent="0.6">
      <c r="A28" s="11" t="s">
        <v>5</v>
      </c>
      <c r="B28" s="11">
        <v>2003</v>
      </c>
      <c r="C28" s="11" t="s">
        <v>59</v>
      </c>
      <c r="D28" s="12">
        <v>441.47</v>
      </c>
    </row>
    <row r="29" spans="1:4" ht="16.5" x14ac:dyDescent="0.6">
      <c r="A29" s="9" t="s">
        <v>8</v>
      </c>
      <c r="B29" s="9">
        <v>2003</v>
      </c>
      <c r="C29" s="9" t="s">
        <v>59</v>
      </c>
      <c r="D29" s="10">
        <v>72.8</v>
      </c>
    </row>
    <row r="30" spans="1:4" ht="16.5" x14ac:dyDescent="0.6">
      <c r="A30" s="11" t="s">
        <v>6</v>
      </c>
      <c r="B30" s="11">
        <v>2003</v>
      </c>
      <c r="C30" s="11" t="s">
        <v>59</v>
      </c>
      <c r="D30" s="12">
        <v>69.3</v>
      </c>
    </row>
    <row r="31" spans="1:4" ht="16.5" x14ac:dyDescent="0.6">
      <c r="A31" s="9" t="s">
        <v>19</v>
      </c>
      <c r="B31" s="9">
        <v>2003</v>
      </c>
      <c r="C31" s="9" t="s">
        <v>59</v>
      </c>
      <c r="D31" s="10">
        <v>18.14</v>
      </c>
    </row>
    <row r="32" spans="1:4" ht="16.5" x14ac:dyDescent="0.6">
      <c r="A32" s="11" t="s">
        <v>23</v>
      </c>
      <c r="B32" s="11">
        <v>2003</v>
      </c>
      <c r="C32" s="11" t="s">
        <v>59</v>
      </c>
      <c r="D32" s="12">
        <v>31.09</v>
      </c>
    </row>
    <row r="33" spans="1:4" ht="16.5" x14ac:dyDescent="0.6">
      <c r="A33" s="9" t="s">
        <v>9</v>
      </c>
      <c r="B33" s="9">
        <v>2003</v>
      </c>
      <c r="C33" s="9" t="s">
        <v>59</v>
      </c>
      <c r="D33" s="10">
        <v>0.02</v>
      </c>
    </row>
    <row r="34" spans="1:4" ht="16.5" x14ac:dyDescent="0.6">
      <c r="A34" s="11" t="s">
        <v>12</v>
      </c>
      <c r="B34" s="11">
        <v>2003</v>
      </c>
      <c r="C34" s="11" t="s">
        <v>59</v>
      </c>
      <c r="D34" s="12">
        <v>2.6</v>
      </c>
    </row>
    <row r="35" spans="1:4" ht="16.5" x14ac:dyDescent="0.6">
      <c r="A35" s="9" t="s">
        <v>55</v>
      </c>
      <c r="B35" s="9">
        <v>2004</v>
      </c>
      <c r="C35" s="9" t="s">
        <v>59</v>
      </c>
      <c r="D35" s="10">
        <v>3.31</v>
      </c>
    </row>
    <row r="36" spans="1:4" ht="16.5" x14ac:dyDescent="0.6">
      <c r="A36" s="11" t="s">
        <v>5</v>
      </c>
      <c r="B36" s="11">
        <v>2004</v>
      </c>
      <c r="C36" s="11" t="s">
        <v>59</v>
      </c>
      <c r="D36" s="12">
        <v>463.01</v>
      </c>
    </row>
    <row r="37" spans="1:4" ht="16.5" x14ac:dyDescent="0.6">
      <c r="A37" s="9" t="s">
        <v>8</v>
      </c>
      <c r="B37" s="9">
        <v>2004</v>
      </c>
      <c r="C37" s="9" t="s">
        <v>59</v>
      </c>
      <c r="D37" s="10">
        <v>76.58</v>
      </c>
    </row>
    <row r="38" spans="1:4" ht="16.5" x14ac:dyDescent="0.6">
      <c r="A38" s="11" t="s">
        <v>6</v>
      </c>
      <c r="B38" s="11">
        <v>2004</v>
      </c>
      <c r="C38" s="11" t="s">
        <v>59</v>
      </c>
      <c r="D38" s="12">
        <v>100.64</v>
      </c>
    </row>
    <row r="39" spans="1:4" ht="16.5" x14ac:dyDescent="0.6">
      <c r="A39" s="9" t="s">
        <v>19</v>
      </c>
      <c r="B39" s="9">
        <v>2004</v>
      </c>
      <c r="C39" s="9" t="s">
        <v>59</v>
      </c>
      <c r="D39" s="10">
        <v>21.26</v>
      </c>
    </row>
    <row r="40" spans="1:4" ht="16.5" x14ac:dyDescent="0.6">
      <c r="A40" s="11" t="s">
        <v>23</v>
      </c>
      <c r="B40" s="11">
        <v>2004</v>
      </c>
      <c r="C40" s="11" t="s">
        <v>59</v>
      </c>
      <c r="D40" s="12">
        <v>28.27</v>
      </c>
    </row>
    <row r="41" spans="1:4" ht="16.5" x14ac:dyDescent="0.6">
      <c r="A41" s="9" t="s">
        <v>9</v>
      </c>
      <c r="B41" s="9">
        <v>2004</v>
      </c>
      <c r="C41" s="9" t="s">
        <v>59</v>
      </c>
      <c r="D41" s="10">
        <v>0.02</v>
      </c>
    </row>
    <row r="42" spans="1:4" ht="16.5" x14ac:dyDescent="0.6">
      <c r="A42" s="11" t="s">
        <v>12</v>
      </c>
      <c r="B42" s="11">
        <v>2004</v>
      </c>
      <c r="C42" s="11" t="s">
        <v>59</v>
      </c>
      <c r="D42" s="12">
        <v>5.23</v>
      </c>
    </row>
    <row r="43" spans="1:4" ht="16.5" x14ac:dyDescent="0.6">
      <c r="A43" s="9" t="s">
        <v>55</v>
      </c>
      <c r="B43" s="9">
        <v>2005</v>
      </c>
      <c r="C43" s="9" t="s">
        <v>59</v>
      </c>
      <c r="D43" s="10">
        <v>4.04</v>
      </c>
    </row>
    <row r="44" spans="1:4" ht="16.5" x14ac:dyDescent="0.6">
      <c r="A44" s="11" t="s">
        <v>5</v>
      </c>
      <c r="B44" s="11">
        <v>2005</v>
      </c>
      <c r="C44" s="11" t="s">
        <v>59</v>
      </c>
      <c r="D44" s="12">
        <v>478.48</v>
      </c>
    </row>
    <row r="45" spans="1:4" ht="16.5" x14ac:dyDescent="0.6">
      <c r="A45" s="9" t="s">
        <v>8</v>
      </c>
      <c r="B45" s="9">
        <v>2005</v>
      </c>
      <c r="C45" s="9" t="s">
        <v>59</v>
      </c>
      <c r="D45" s="10">
        <v>75.47</v>
      </c>
    </row>
    <row r="46" spans="1:4" ht="16.5" x14ac:dyDescent="0.6">
      <c r="A46" s="11" t="s">
        <v>6</v>
      </c>
      <c r="B46" s="11">
        <v>2005</v>
      </c>
      <c r="C46" s="11" t="s">
        <v>59</v>
      </c>
      <c r="D46" s="12">
        <v>97.42</v>
      </c>
    </row>
    <row r="47" spans="1:4" ht="16.5" x14ac:dyDescent="0.6">
      <c r="A47" s="9" t="s">
        <v>19</v>
      </c>
      <c r="B47" s="9">
        <v>2005</v>
      </c>
      <c r="C47" s="9" t="s">
        <v>59</v>
      </c>
      <c r="D47" s="10">
        <v>17.73</v>
      </c>
    </row>
    <row r="48" spans="1:4" ht="16.5" x14ac:dyDescent="0.6">
      <c r="A48" s="11" t="s">
        <v>23</v>
      </c>
      <c r="B48" s="11">
        <v>2005</v>
      </c>
      <c r="C48" s="11" t="s">
        <v>59</v>
      </c>
      <c r="D48" s="12">
        <v>25.37</v>
      </c>
    </row>
    <row r="49" spans="1:4" ht="16.5" x14ac:dyDescent="0.6">
      <c r="A49" s="9" t="s">
        <v>9</v>
      </c>
      <c r="B49" s="9">
        <v>2005</v>
      </c>
      <c r="C49" s="9" t="s">
        <v>59</v>
      </c>
      <c r="D49" s="10">
        <v>0.02</v>
      </c>
    </row>
    <row r="50" spans="1:4" ht="16.5" x14ac:dyDescent="0.6">
      <c r="A50" s="11" t="s">
        <v>12</v>
      </c>
      <c r="B50" s="11">
        <v>2005</v>
      </c>
      <c r="C50" s="11" t="s">
        <v>59</v>
      </c>
      <c r="D50" s="12">
        <v>5.99</v>
      </c>
    </row>
    <row r="51" spans="1:4" ht="16.5" x14ac:dyDescent="0.6">
      <c r="A51" s="9" t="s">
        <v>55</v>
      </c>
      <c r="B51" s="9">
        <v>2006</v>
      </c>
      <c r="C51" s="9" t="s">
        <v>59</v>
      </c>
      <c r="D51" s="10">
        <v>5.59</v>
      </c>
    </row>
    <row r="52" spans="1:4" ht="16.5" x14ac:dyDescent="0.6">
      <c r="A52" s="11" t="s">
        <v>5</v>
      </c>
      <c r="B52" s="11">
        <v>2006</v>
      </c>
      <c r="C52" s="11" t="s">
        <v>59</v>
      </c>
      <c r="D52" s="12">
        <v>505.46</v>
      </c>
    </row>
    <row r="53" spans="1:4" ht="16.5" x14ac:dyDescent="0.6">
      <c r="A53" s="9" t="s">
        <v>8</v>
      </c>
      <c r="B53" s="9">
        <v>2006</v>
      </c>
      <c r="C53" s="9" t="s">
        <v>59</v>
      </c>
      <c r="D53" s="10">
        <v>74.7</v>
      </c>
    </row>
    <row r="54" spans="1:4" ht="16.5" x14ac:dyDescent="0.6">
      <c r="A54" s="11" t="s">
        <v>6</v>
      </c>
      <c r="B54" s="11">
        <v>2006</v>
      </c>
      <c r="C54" s="11" t="s">
        <v>59</v>
      </c>
      <c r="D54" s="12">
        <v>112.62</v>
      </c>
    </row>
    <row r="55" spans="1:4" ht="16.5" x14ac:dyDescent="0.6">
      <c r="A55" s="9" t="s">
        <v>19</v>
      </c>
      <c r="B55" s="9">
        <v>2006</v>
      </c>
      <c r="C55" s="9" t="s">
        <v>59</v>
      </c>
      <c r="D55" s="10">
        <v>17.63</v>
      </c>
    </row>
    <row r="56" spans="1:4" ht="16.5" x14ac:dyDescent="0.6">
      <c r="A56" s="11" t="s">
        <v>23</v>
      </c>
      <c r="B56" s="11">
        <v>2006</v>
      </c>
      <c r="C56" s="11" t="s">
        <v>59</v>
      </c>
      <c r="D56" s="12">
        <v>19.079999999999998</v>
      </c>
    </row>
    <row r="57" spans="1:4" ht="16.5" x14ac:dyDescent="0.6">
      <c r="A57" s="9" t="s">
        <v>9</v>
      </c>
      <c r="B57" s="9">
        <v>2006</v>
      </c>
      <c r="C57" s="9" t="s">
        <v>59</v>
      </c>
      <c r="D57" s="10">
        <v>0.01</v>
      </c>
    </row>
    <row r="58" spans="1:4" ht="16.5" x14ac:dyDescent="0.6">
      <c r="A58" s="11" t="s">
        <v>12</v>
      </c>
      <c r="B58" s="11">
        <v>2006</v>
      </c>
      <c r="C58" s="11" t="s">
        <v>59</v>
      </c>
      <c r="D58" s="12">
        <v>9.34</v>
      </c>
    </row>
    <row r="59" spans="1:4" ht="16.5" x14ac:dyDescent="0.6">
      <c r="A59" s="9" t="s">
        <v>55</v>
      </c>
      <c r="B59" s="9">
        <v>2007</v>
      </c>
      <c r="C59" s="9" t="s">
        <v>59</v>
      </c>
      <c r="D59" s="10">
        <v>7.4</v>
      </c>
    </row>
    <row r="60" spans="1:4" ht="16.5" x14ac:dyDescent="0.6">
      <c r="A60" s="11" t="s">
        <v>5</v>
      </c>
      <c r="B60" s="11">
        <v>2007</v>
      </c>
      <c r="C60" s="11" t="s">
        <v>59</v>
      </c>
      <c r="D60" s="12">
        <v>533.27</v>
      </c>
    </row>
    <row r="61" spans="1:4" ht="16.5" x14ac:dyDescent="0.6">
      <c r="A61" s="9" t="s">
        <v>8</v>
      </c>
      <c r="B61" s="9">
        <v>2007</v>
      </c>
      <c r="C61" s="9" t="s">
        <v>59</v>
      </c>
      <c r="D61" s="10">
        <v>90.05</v>
      </c>
    </row>
    <row r="62" spans="1:4" ht="16.5" x14ac:dyDescent="0.6">
      <c r="A62" s="11" t="s">
        <v>6</v>
      </c>
      <c r="B62" s="11">
        <v>2007</v>
      </c>
      <c r="C62" s="11" t="s">
        <v>59</v>
      </c>
      <c r="D62" s="12">
        <v>122.61</v>
      </c>
    </row>
    <row r="63" spans="1:4" ht="16.5" x14ac:dyDescent="0.6">
      <c r="A63" s="9" t="s">
        <v>19</v>
      </c>
      <c r="B63" s="9">
        <v>2007</v>
      </c>
      <c r="C63" s="9" t="s">
        <v>59</v>
      </c>
      <c r="D63" s="10">
        <v>17.829999999999998</v>
      </c>
    </row>
    <row r="64" spans="1:4" ht="16.5" x14ac:dyDescent="0.6">
      <c r="A64" s="11" t="s">
        <v>23</v>
      </c>
      <c r="B64" s="11">
        <v>2007</v>
      </c>
      <c r="C64" s="11" t="s">
        <v>59</v>
      </c>
      <c r="D64" s="12">
        <v>13.36</v>
      </c>
    </row>
    <row r="65" spans="1:4" ht="16.5" x14ac:dyDescent="0.6">
      <c r="A65" s="9" t="s">
        <v>9</v>
      </c>
      <c r="B65" s="9">
        <v>2007</v>
      </c>
      <c r="C65" s="9" t="s">
        <v>59</v>
      </c>
      <c r="D65" s="10">
        <v>0.06</v>
      </c>
    </row>
    <row r="66" spans="1:4" ht="16.5" x14ac:dyDescent="0.6">
      <c r="A66" s="11" t="s">
        <v>12</v>
      </c>
      <c r="B66" s="11">
        <v>2007</v>
      </c>
      <c r="C66" s="11" t="s">
        <v>59</v>
      </c>
      <c r="D66" s="12">
        <v>11.68</v>
      </c>
    </row>
    <row r="67" spans="1:4" ht="16.5" x14ac:dyDescent="0.6">
      <c r="A67" s="9" t="s">
        <v>55</v>
      </c>
      <c r="B67" s="9">
        <v>2008</v>
      </c>
      <c r="C67" s="9" t="s">
        <v>59</v>
      </c>
      <c r="D67" s="10">
        <v>9.3000000000000007</v>
      </c>
    </row>
    <row r="68" spans="1:4" ht="16.5" x14ac:dyDescent="0.6">
      <c r="A68" s="11" t="s">
        <v>5</v>
      </c>
      <c r="B68" s="11">
        <v>2008</v>
      </c>
      <c r="C68" s="11" t="s">
        <v>59</v>
      </c>
      <c r="D68" s="12">
        <v>573.12</v>
      </c>
    </row>
    <row r="69" spans="1:4" ht="16.5" x14ac:dyDescent="0.6">
      <c r="A69" s="9" t="s">
        <v>8</v>
      </c>
      <c r="B69" s="9">
        <v>2008</v>
      </c>
      <c r="C69" s="9" t="s">
        <v>59</v>
      </c>
      <c r="D69" s="10">
        <v>85.88</v>
      </c>
    </row>
    <row r="70" spans="1:4" ht="16.5" x14ac:dyDescent="0.6">
      <c r="A70" s="11" t="s">
        <v>6</v>
      </c>
      <c r="B70" s="11">
        <v>2008</v>
      </c>
      <c r="C70" s="11" t="s">
        <v>59</v>
      </c>
      <c r="D70" s="12">
        <v>115.17</v>
      </c>
    </row>
    <row r="71" spans="1:4" ht="16.5" x14ac:dyDescent="0.6">
      <c r="A71" s="9" t="s">
        <v>19</v>
      </c>
      <c r="B71" s="9">
        <v>2008</v>
      </c>
      <c r="C71" s="9" t="s">
        <v>59</v>
      </c>
      <c r="D71" s="10">
        <v>15.23</v>
      </c>
    </row>
    <row r="72" spans="1:4" ht="16.5" x14ac:dyDescent="0.6">
      <c r="A72" s="11" t="s">
        <v>23</v>
      </c>
      <c r="B72" s="11">
        <v>2008</v>
      </c>
      <c r="C72" s="11" t="s">
        <v>59</v>
      </c>
      <c r="D72" s="12">
        <v>15.27</v>
      </c>
    </row>
    <row r="73" spans="1:4" ht="16.5" x14ac:dyDescent="0.6">
      <c r="A73" s="9" t="s">
        <v>9</v>
      </c>
      <c r="B73" s="9">
        <v>2008</v>
      </c>
      <c r="C73" s="9" t="s">
        <v>59</v>
      </c>
      <c r="D73" s="10">
        <v>0.06</v>
      </c>
    </row>
    <row r="74" spans="1:4" ht="16.5" x14ac:dyDescent="0.6">
      <c r="A74" s="11" t="s">
        <v>12</v>
      </c>
      <c r="B74" s="11">
        <v>2008</v>
      </c>
      <c r="C74" s="11" t="s">
        <v>59</v>
      </c>
      <c r="D74" s="12">
        <v>14.38</v>
      </c>
    </row>
    <row r="75" spans="1:4" ht="16.5" x14ac:dyDescent="0.6">
      <c r="A75" s="9" t="s">
        <v>55</v>
      </c>
      <c r="B75" s="9">
        <v>2009</v>
      </c>
      <c r="C75" s="9" t="s">
        <v>59</v>
      </c>
      <c r="D75" s="10">
        <v>11.64</v>
      </c>
    </row>
    <row r="76" spans="1:4" ht="16.5" x14ac:dyDescent="0.6">
      <c r="A76" s="11" t="s">
        <v>5</v>
      </c>
      <c r="B76" s="11">
        <v>2009</v>
      </c>
      <c r="C76" s="11" t="s">
        <v>59</v>
      </c>
      <c r="D76" s="12">
        <v>611.11</v>
      </c>
    </row>
    <row r="77" spans="1:4" ht="16.5" x14ac:dyDescent="0.6">
      <c r="A77" s="9" t="s">
        <v>8</v>
      </c>
      <c r="B77" s="9">
        <v>2009</v>
      </c>
      <c r="C77" s="9" t="s">
        <v>59</v>
      </c>
      <c r="D77" s="10">
        <v>104.37</v>
      </c>
    </row>
    <row r="78" spans="1:4" ht="16.5" x14ac:dyDescent="0.6">
      <c r="A78" s="11" t="s">
        <v>6</v>
      </c>
      <c r="B78" s="11">
        <v>2009</v>
      </c>
      <c r="C78" s="11" t="s">
        <v>59</v>
      </c>
      <c r="D78" s="12">
        <v>106.34</v>
      </c>
    </row>
    <row r="79" spans="1:4" ht="16.5" x14ac:dyDescent="0.6">
      <c r="A79" s="9" t="s">
        <v>19</v>
      </c>
      <c r="B79" s="9">
        <v>2009</v>
      </c>
      <c r="C79" s="9" t="s">
        <v>59</v>
      </c>
      <c r="D79" s="10">
        <v>16.82</v>
      </c>
    </row>
    <row r="80" spans="1:4" ht="16.5" x14ac:dyDescent="0.6">
      <c r="A80" s="11" t="s">
        <v>23</v>
      </c>
      <c r="B80" s="11">
        <v>2009</v>
      </c>
      <c r="C80" s="11" t="s">
        <v>59</v>
      </c>
      <c r="D80" s="12">
        <v>13.08</v>
      </c>
    </row>
    <row r="81" spans="1:4" ht="16.5" x14ac:dyDescent="0.6">
      <c r="A81" s="9" t="s">
        <v>9</v>
      </c>
      <c r="B81" s="9">
        <v>2009</v>
      </c>
      <c r="C81" s="9" t="s">
        <v>59</v>
      </c>
      <c r="D81" s="10">
        <v>0.08</v>
      </c>
    </row>
    <row r="82" spans="1:4" ht="16.5" x14ac:dyDescent="0.6">
      <c r="A82" s="11" t="s">
        <v>12</v>
      </c>
      <c r="B82" s="11">
        <v>2009</v>
      </c>
      <c r="C82" s="11" t="s">
        <v>59</v>
      </c>
      <c r="D82" s="12">
        <v>16.27</v>
      </c>
    </row>
    <row r="83" spans="1:4" ht="16.5" x14ac:dyDescent="0.6">
      <c r="A83" s="9" t="s">
        <v>55</v>
      </c>
      <c r="B83" s="9">
        <v>2010</v>
      </c>
      <c r="C83" s="9" t="s">
        <v>59</v>
      </c>
      <c r="D83" s="10">
        <v>14.3</v>
      </c>
    </row>
    <row r="84" spans="1:4" ht="16.5" x14ac:dyDescent="0.6">
      <c r="A84" s="11" t="s">
        <v>5</v>
      </c>
      <c r="B84" s="11">
        <v>2010</v>
      </c>
      <c r="C84" s="11" t="s">
        <v>59</v>
      </c>
      <c r="D84" s="12">
        <v>642.97</v>
      </c>
    </row>
    <row r="85" spans="1:4" ht="16.5" x14ac:dyDescent="0.6">
      <c r="A85" s="9" t="s">
        <v>8</v>
      </c>
      <c r="B85" s="9">
        <v>2010</v>
      </c>
      <c r="C85" s="9" t="s">
        <v>59</v>
      </c>
      <c r="D85" s="10">
        <v>118.03</v>
      </c>
    </row>
    <row r="86" spans="1:4" ht="16.5" x14ac:dyDescent="0.6">
      <c r="A86" s="11" t="s">
        <v>6</v>
      </c>
      <c r="B86" s="11">
        <v>2010</v>
      </c>
      <c r="C86" s="11" t="s">
        <v>59</v>
      </c>
      <c r="D86" s="12">
        <v>108.74</v>
      </c>
    </row>
    <row r="87" spans="1:4" ht="16.5" x14ac:dyDescent="0.6">
      <c r="A87" s="9" t="s">
        <v>19</v>
      </c>
      <c r="B87" s="9">
        <v>2010</v>
      </c>
      <c r="C87" s="9" t="s">
        <v>59</v>
      </c>
      <c r="D87" s="10">
        <v>23.08</v>
      </c>
    </row>
    <row r="88" spans="1:4" ht="16.5" x14ac:dyDescent="0.6">
      <c r="A88" s="11" t="s">
        <v>23</v>
      </c>
      <c r="B88" s="11">
        <v>2010</v>
      </c>
      <c r="C88" s="11" t="s">
        <v>59</v>
      </c>
      <c r="D88" s="12">
        <v>10.78</v>
      </c>
    </row>
    <row r="89" spans="1:4" ht="16.5" x14ac:dyDescent="0.6">
      <c r="A89" s="9" t="s">
        <v>9</v>
      </c>
      <c r="B89" s="9">
        <v>2010</v>
      </c>
      <c r="C89" s="9" t="s">
        <v>59</v>
      </c>
      <c r="D89" s="10">
        <v>0.11</v>
      </c>
    </row>
    <row r="90" spans="1:4" ht="16.5" x14ac:dyDescent="0.6">
      <c r="A90" s="11" t="s">
        <v>12</v>
      </c>
      <c r="B90" s="11">
        <v>2010</v>
      </c>
      <c r="C90" s="11" t="s">
        <v>59</v>
      </c>
      <c r="D90" s="12">
        <v>19.46</v>
      </c>
    </row>
    <row r="91" spans="1:4" ht="16.5" x14ac:dyDescent="0.6">
      <c r="A91" s="9" t="s">
        <v>55</v>
      </c>
      <c r="B91" s="9">
        <v>2011</v>
      </c>
      <c r="C91" s="9" t="s">
        <v>59</v>
      </c>
      <c r="D91" s="10">
        <v>17.14</v>
      </c>
    </row>
    <row r="92" spans="1:4" ht="16.5" x14ac:dyDescent="0.6">
      <c r="A92" s="11" t="s">
        <v>5</v>
      </c>
      <c r="B92" s="11">
        <v>2011</v>
      </c>
      <c r="C92" s="11" t="s">
        <v>59</v>
      </c>
      <c r="D92" s="12">
        <v>701.25</v>
      </c>
    </row>
    <row r="93" spans="1:4" ht="16.5" x14ac:dyDescent="0.6">
      <c r="A93" s="9" t="s">
        <v>8</v>
      </c>
      <c r="B93" s="9">
        <v>2011</v>
      </c>
      <c r="C93" s="9" t="s">
        <v>59</v>
      </c>
      <c r="D93" s="10">
        <v>117.56</v>
      </c>
    </row>
    <row r="94" spans="1:4" ht="16.5" x14ac:dyDescent="0.6">
      <c r="A94" s="11" t="s">
        <v>6</v>
      </c>
      <c r="B94" s="11">
        <v>2011</v>
      </c>
      <c r="C94" s="11" t="s">
        <v>59</v>
      </c>
      <c r="D94" s="12">
        <v>131.69999999999999</v>
      </c>
    </row>
    <row r="95" spans="1:4" ht="16.5" x14ac:dyDescent="0.6">
      <c r="A95" s="9" t="s">
        <v>19</v>
      </c>
      <c r="B95" s="9">
        <v>2011</v>
      </c>
      <c r="C95" s="9" t="s">
        <v>59</v>
      </c>
      <c r="D95" s="10">
        <v>32.22</v>
      </c>
    </row>
    <row r="96" spans="1:4" ht="16.5" x14ac:dyDescent="0.6">
      <c r="A96" s="11" t="s">
        <v>23</v>
      </c>
      <c r="B96" s="11">
        <v>2011</v>
      </c>
      <c r="C96" s="11" t="s">
        <v>59</v>
      </c>
      <c r="D96" s="12">
        <v>9.35</v>
      </c>
    </row>
    <row r="97" spans="1:4" ht="16.5" x14ac:dyDescent="0.6">
      <c r="A97" s="9" t="s">
        <v>9</v>
      </c>
      <c r="B97" s="9">
        <v>2011</v>
      </c>
      <c r="C97" s="9" t="s">
        <v>59</v>
      </c>
      <c r="D97" s="10">
        <v>0.83</v>
      </c>
    </row>
    <row r="98" spans="1:4" ht="16.5" x14ac:dyDescent="0.6">
      <c r="A98" s="11" t="s">
        <v>12</v>
      </c>
      <c r="B98" s="11">
        <v>2011</v>
      </c>
      <c r="C98" s="11" t="s">
        <v>59</v>
      </c>
      <c r="D98" s="12">
        <v>23.95</v>
      </c>
    </row>
    <row r="99" spans="1:4" ht="16.5" x14ac:dyDescent="0.6">
      <c r="A99" s="9" t="s">
        <v>55</v>
      </c>
      <c r="B99" s="9">
        <v>2012</v>
      </c>
      <c r="C99" s="9" t="s">
        <v>59</v>
      </c>
      <c r="D99" s="10">
        <v>19.940000000000001</v>
      </c>
    </row>
    <row r="100" spans="1:4" ht="16.5" x14ac:dyDescent="0.6">
      <c r="A100" s="11" t="s">
        <v>5</v>
      </c>
      <c r="B100" s="11">
        <v>2012</v>
      </c>
      <c r="C100" s="11" t="s">
        <v>59</v>
      </c>
      <c r="D100" s="12">
        <v>787.13</v>
      </c>
    </row>
    <row r="101" spans="1:4" ht="16.5" x14ac:dyDescent="0.6">
      <c r="A101" s="9" t="s">
        <v>8</v>
      </c>
      <c r="B101" s="9">
        <v>2012</v>
      </c>
      <c r="C101" s="9" t="s">
        <v>59</v>
      </c>
      <c r="D101" s="10">
        <v>96.25</v>
      </c>
    </row>
    <row r="102" spans="1:4" ht="16.5" x14ac:dyDescent="0.6">
      <c r="A102" s="11" t="s">
        <v>6</v>
      </c>
      <c r="B102" s="11">
        <v>2012</v>
      </c>
      <c r="C102" s="11" t="s">
        <v>59</v>
      </c>
      <c r="D102" s="12">
        <v>115.78</v>
      </c>
    </row>
    <row r="103" spans="1:4" ht="16.5" x14ac:dyDescent="0.6">
      <c r="A103" s="9" t="s">
        <v>19</v>
      </c>
      <c r="B103" s="9">
        <v>2012</v>
      </c>
      <c r="C103" s="9" t="s">
        <v>59</v>
      </c>
      <c r="D103" s="10">
        <v>33.14</v>
      </c>
    </row>
    <row r="104" spans="1:4" ht="16.5" x14ac:dyDescent="0.6">
      <c r="A104" s="11" t="s">
        <v>23</v>
      </c>
      <c r="B104" s="11">
        <v>2012</v>
      </c>
      <c r="C104" s="11" t="s">
        <v>59</v>
      </c>
      <c r="D104" s="12">
        <v>10.07</v>
      </c>
    </row>
    <row r="105" spans="1:4" ht="16.5" x14ac:dyDescent="0.6">
      <c r="A105" s="9" t="s">
        <v>9</v>
      </c>
      <c r="B105" s="9">
        <v>2012</v>
      </c>
      <c r="C105" s="9" t="s">
        <v>59</v>
      </c>
      <c r="D105" s="10">
        <v>2.1</v>
      </c>
    </row>
    <row r="106" spans="1:4" ht="16.5" x14ac:dyDescent="0.6">
      <c r="A106" s="11" t="s">
        <v>12</v>
      </c>
      <c r="B106" s="11">
        <v>2012</v>
      </c>
      <c r="C106" s="11" t="s">
        <v>59</v>
      </c>
      <c r="D106" s="12">
        <v>27.43</v>
      </c>
    </row>
    <row r="107" spans="1:4" ht="16.5" x14ac:dyDescent="0.6">
      <c r="A107" s="9" t="s">
        <v>55</v>
      </c>
      <c r="B107" s="9">
        <v>2013</v>
      </c>
      <c r="C107" s="9" t="s">
        <v>59</v>
      </c>
      <c r="D107" s="10">
        <v>22.48</v>
      </c>
    </row>
    <row r="108" spans="1:4" ht="16.5" x14ac:dyDescent="0.6">
      <c r="A108" s="11" t="s">
        <v>5</v>
      </c>
      <c r="B108" s="11">
        <v>2013</v>
      </c>
      <c r="C108" s="11" t="s">
        <v>59</v>
      </c>
      <c r="D108" s="12">
        <v>847.97</v>
      </c>
    </row>
    <row r="109" spans="1:4" ht="16.5" x14ac:dyDescent="0.6">
      <c r="A109" s="9" t="s">
        <v>8</v>
      </c>
      <c r="B109" s="9">
        <v>2013</v>
      </c>
      <c r="C109" s="9" t="s">
        <v>59</v>
      </c>
      <c r="D109" s="10">
        <v>66.31</v>
      </c>
    </row>
    <row r="110" spans="1:4" ht="16.5" x14ac:dyDescent="0.6">
      <c r="A110" s="11" t="s">
        <v>6</v>
      </c>
      <c r="B110" s="11">
        <v>2013</v>
      </c>
      <c r="C110" s="11" t="s">
        <v>59</v>
      </c>
      <c r="D110" s="12">
        <v>131.97999999999999</v>
      </c>
    </row>
    <row r="111" spans="1:4" ht="16.5" x14ac:dyDescent="0.6">
      <c r="A111" s="9" t="s">
        <v>19</v>
      </c>
      <c r="B111" s="9">
        <v>2013</v>
      </c>
      <c r="C111" s="9" t="s">
        <v>59</v>
      </c>
      <c r="D111" s="10">
        <v>33.31</v>
      </c>
    </row>
    <row r="112" spans="1:4" ht="16.5" x14ac:dyDescent="0.6">
      <c r="A112" s="11" t="s">
        <v>23</v>
      </c>
      <c r="B112" s="11">
        <v>2013</v>
      </c>
      <c r="C112" s="11" t="s">
        <v>59</v>
      </c>
      <c r="D112" s="12">
        <v>10.65</v>
      </c>
    </row>
    <row r="113" spans="1:4" ht="16.5" x14ac:dyDescent="0.6">
      <c r="A113" s="9" t="s">
        <v>9</v>
      </c>
      <c r="B113" s="9">
        <v>2013</v>
      </c>
      <c r="C113" s="9" t="s">
        <v>59</v>
      </c>
      <c r="D113" s="10">
        <v>3.43</v>
      </c>
    </row>
    <row r="114" spans="1:4" ht="16.5" x14ac:dyDescent="0.6">
      <c r="A114" s="11" t="s">
        <v>12</v>
      </c>
      <c r="B114" s="11">
        <v>2013</v>
      </c>
      <c r="C114" s="11" t="s">
        <v>59</v>
      </c>
      <c r="D114" s="12">
        <v>30.01</v>
      </c>
    </row>
    <row r="115" spans="1:4" ht="16.5" x14ac:dyDescent="0.6">
      <c r="A115" s="9" t="s">
        <v>55</v>
      </c>
      <c r="B115" s="9">
        <v>2014</v>
      </c>
      <c r="C115" s="9" t="s">
        <v>59</v>
      </c>
      <c r="D115" s="10">
        <v>24.68</v>
      </c>
    </row>
    <row r="116" spans="1:4" ht="16.5" x14ac:dyDescent="0.6">
      <c r="A116" s="11" t="s">
        <v>5</v>
      </c>
      <c r="B116" s="11">
        <v>2014</v>
      </c>
      <c r="C116" s="11" t="s">
        <v>59</v>
      </c>
      <c r="D116" s="12">
        <v>949.93</v>
      </c>
    </row>
    <row r="117" spans="1:4" ht="16.5" x14ac:dyDescent="0.6">
      <c r="A117" s="9" t="s">
        <v>8</v>
      </c>
      <c r="B117" s="9">
        <v>2014</v>
      </c>
      <c r="C117" s="9" t="s">
        <v>59</v>
      </c>
      <c r="D117" s="10">
        <v>64.010000000000005</v>
      </c>
    </row>
    <row r="118" spans="1:4" ht="16.5" x14ac:dyDescent="0.6">
      <c r="A118" s="11" t="s">
        <v>6</v>
      </c>
      <c r="B118" s="11">
        <v>2014</v>
      </c>
      <c r="C118" s="11" t="s">
        <v>59</v>
      </c>
      <c r="D118" s="12">
        <v>139</v>
      </c>
    </row>
    <row r="119" spans="1:4" ht="16.5" x14ac:dyDescent="0.6">
      <c r="A119" s="9" t="s">
        <v>19</v>
      </c>
      <c r="B119" s="9">
        <v>2014</v>
      </c>
      <c r="C119" s="9" t="s">
        <v>59</v>
      </c>
      <c r="D119" s="10">
        <v>34.69</v>
      </c>
    </row>
    <row r="120" spans="1:4" ht="16.5" x14ac:dyDescent="0.6">
      <c r="A120" s="11" t="s">
        <v>23</v>
      </c>
      <c r="B120" s="11">
        <v>2014</v>
      </c>
      <c r="C120" s="11" t="s">
        <v>59</v>
      </c>
      <c r="D120" s="12">
        <v>11.55</v>
      </c>
    </row>
    <row r="121" spans="1:4" ht="16.5" x14ac:dyDescent="0.6">
      <c r="A121" s="9" t="s">
        <v>9</v>
      </c>
      <c r="B121" s="9">
        <v>2014</v>
      </c>
      <c r="C121" s="9" t="s">
        <v>59</v>
      </c>
      <c r="D121" s="10">
        <v>4.91</v>
      </c>
    </row>
    <row r="122" spans="1:4" ht="16.5" x14ac:dyDescent="0.6">
      <c r="A122" s="11" t="s">
        <v>12</v>
      </c>
      <c r="B122" s="11">
        <v>2014</v>
      </c>
      <c r="C122" s="11" t="s">
        <v>59</v>
      </c>
      <c r="D122" s="12">
        <v>33.450000000000003</v>
      </c>
    </row>
    <row r="123" spans="1:4" ht="16.5" x14ac:dyDescent="0.6">
      <c r="A123" s="9" t="s">
        <v>55</v>
      </c>
      <c r="B123" s="9">
        <v>2015</v>
      </c>
      <c r="C123" s="9" t="s">
        <v>59</v>
      </c>
      <c r="D123" s="10">
        <v>30.62</v>
      </c>
    </row>
    <row r="124" spans="1:4" ht="16.5" x14ac:dyDescent="0.6">
      <c r="A124" s="11" t="s">
        <v>5</v>
      </c>
      <c r="B124" s="11">
        <v>2015</v>
      </c>
      <c r="C124" s="11" t="s">
        <v>59</v>
      </c>
      <c r="D124" s="12">
        <v>1006.55</v>
      </c>
    </row>
    <row r="125" spans="1:4" ht="16.5" x14ac:dyDescent="0.6">
      <c r="A125" s="9" t="s">
        <v>8</v>
      </c>
      <c r="B125" s="9">
        <v>2015</v>
      </c>
      <c r="C125" s="9" t="s">
        <v>59</v>
      </c>
      <c r="D125" s="10">
        <v>64.77</v>
      </c>
    </row>
    <row r="126" spans="1:4" ht="16.5" x14ac:dyDescent="0.6">
      <c r="A126" s="11" t="s">
        <v>6</v>
      </c>
      <c r="B126" s="11">
        <v>2015</v>
      </c>
      <c r="C126" s="11" t="s">
        <v>59</v>
      </c>
      <c r="D126" s="12">
        <v>133.28</v>
      </c>
    </row>
    <row r="127" spans="1:4" ht="16.5" x14ac:dyDescent="0.6">
      <c r="A127" s="9" t="s">
        <v>19</v>
      </c>
      <c r="B127" s="9">
        <v>2015</v>
      </c>
      <c r="C127" s="9" t="s">
        <v>59</v>
      </c>
      <c r="D127" s="10">
        <v>38.31</v>
      </c>
    </row>
    <row r="128" spans="1:4" ht="16.5" x14ac:dyDescent="0.6">
      <c r="A128" s="11" t="s">
        <v>23</v>
      </c>
      <c r="B128" s="11">
        <v>2015</v>
      </c>
      <c r="C128" s="11" t="s">
        <v>59</v>
      </c>
      <c r="D128" s="12">
        <v>9.26</v>
      </c>
    </row>
    <row r="129" spans="1:4" ht="16.5" x14ac:dyDescent="0.6">
      <c r="A129" s="9" t="s">
        <v>9</v>
      </c>
      <c r="B129" s="9">
        <v>2015</v>
      </c>
      <c r="C129" s="9" t="s">
        <v>59</v>
      </c>
      <c r="D129" s="10">
        <v>6.57</v>
      </c>
    </row>
    <row r="130" spans="1:4" ht="16.5" x14ac:dyDescent="0.6">
      <c r="A130" s="11" t="s">
        <v>12</v>
      </c>
      <c r="B130" s="11">
        <v>2015</v>
      </c>
      <c r="C130" s="11" t="s">
        <v>59</v>
      </c>
      <c r="D130" s="12">
        <v>32.74</v>
      </c>
    </row>
    <row r="131" spans="1:4" ht="16.5" x14ac:dyDescent="0.6">
      <c r="A131" s="9" t="s">
        <v>55</v>
      </c>
      <c r="B131" s="9">
        <v>2016</v>
      </c>
      <c r="C131" s="9" t="s">
        <v>59</v>
      </c>
      <c r="D131" s="10">
        <v>24.82</v>
      </c>
    </row>
    <row r="132" spans="1:4" ht="16.5" x14ac:dyDescent="0.6">
      <c r="A132" s="11" t="s">
        <v>5</v>
      </c>
      <c r="B132" s="11">
        <v>2016</v>
      </c>
      <c r="C132" s="11" t="s">
        <v>59</v>
      </c>
      <c r="D132" s="12">
        <v>1073.5999999999999</v>
      </c>
    </row>
    <row r="133" spans="1:4" ht="16.5" x14ac:dyDescent="0.6">
      <c r="A133" s="9" t="s">
        <v>8</v>
      </c>
      <c r="B133" s="9">
        <v>2016</v>
      </c>
      <c r="C133" s="9" t="s">
        <v>59</v>
      </c>
      <c r="D133" s="10">
        <v>72.62</v>
      </c>
    </row>
    <row r="134" spans="1:4" ht="16.5" x14ac:dyDescent="0.6">
      <c r="A134" s="11" t="s">
        <v>6</v>
      </c>
      <c r="B134" s="11">
        <v>2016</v>
      </c>
      <c r="C134" s="11" t="s">
        <v>59</v>
      </c>
      <c r="D134" s="12">
        <v>128.38</v>
      </c>
    </row>
    <row r="135" spans="1:4" ht="16.5" x14ac:dyDescent="0.6">
      <c r="A135" s="9" t="s">
        <v>19</v>
      </c>
      <c r="B135" s="9">
        <v>2016</v>
      </c>
      <c r="C135" s="9" t="s">
        <v>59</v>
      </c>
      <c r="D135" s="10">
        <v>37.9</v>
      </c>
    </row>
    <row r="136" spans="1:4" ht="16.5" x14ac:dyDescent="0.6">
      <c r="A136" s="11" t="s">
        <v>23</v>
      </c>
      <c r="B136" s="11">
        <v>2016</v>
      </c>
      <c r="C136" s="11" t="s">
        <v>59</v>
      </c>
      <c r="D136" s="12">
        <v>9.41</v>
      </c>
    </row>
    <row r="137" spans="1:4" ht="16.5" x14ac:dyDescent="0.6">
      <c r="A137" s="9" t="s">
        <v>9</v>
      </c>
      <c r="B137" s="9">
        <v>2016</v>
      </c>
      <c r="C137" s="9" t="s">
        <v>59</v>
      </c>
      <c r="D137" s="10">
        <v>11.56</v>
      </c>
    </row>
    <row r="138" spans="1:4" ht="16.5" x14ac:dyDescent="0.6">
      <c r="A138" s="11" t="s">
        <v>12</v>
      </c>
      <c r="B138" s="11">
        <v>2016</v>
      </c>
      <c r="C138" s="11" t="s">
        <v>59</v>
      </c>
      <c r="D138" s="12">
        <v>43.45</v>
      </c>
    </row>
    <row r="139" spans="1:4" ht="16.5" x14ac:dyDescent="0.6">
      <c r="A139" s="9" t="s">
        <v>55</v>
      </c>
      <c r="B139" s="9">
        <v>2017</v>
      </c>
      <c r="C139" s="9" t="s">
        <v>59</v>
      </c>
      <c r="D139" s="10">
        <v>24.91</v>
      </c>
    </row>
    <row r="140" spans="1:4" ht="16.5" x14ac:dyDescent="0.6">
      <c r="A140" s="11" t="s">
        <v>5</v>
      </c>
      <c r="B140" s="11">
        <v>2017</v>
      </c>
      <c r="C140" s="11" t="s">
        <v>59</v>
      </c>
      <c r="D140" s="12">
        <v>1115.24</v>
      </c>
    </row>
    <row r="141" spans="1:4" ht="16.5" x14ac:dyDescent="0.6">
      <c r="A141" s="9" t="s">
        <v>8</v>
      </c>
      <c r="B141" s="9">
        <v>2017</v>
      </c>
      <c r="C141" s="9" t="s">
        <v>59</v>
      </c>
      <c r="D141" s="10">
        <v>74.989999999999995</v>
      </c>
    </row>
    <row r="142" spans="1:4" ht="16.5" x14ac:dyDescent="0.6">
      <c r="A142" s="11" t="s">
        <v>6</v>
      </c>
      <c r="B142" s="11">
        <v>2017</v>
      </c>
      <c r="C142" s="11" t="s">
        <v>59</v>
      </c>
      <c r="D142" s="12">
        <v>135.82</v>
      </c>
    </row>
    <row r="143" spans="1:4" ht="16.5" x14ac:dyDescent="0.6">
      <c r="A143" s="9" t="s">
        <v>19</v>
      </c>
      <c r="B143" s="9">
        <v>2017</v>
      </c>
      <c r="C143" s="9" t="s">
        <v>59</v>
      </c>
      <c r="D143" s="10">
        <v>37.409999999999997</v>
      </c>
    </row>
    <row r="144" spans="1:4" ht="16.5" x14ac:dyDescent="0.6">
      <c r="A144" s="11" t="s">
        <v>23</v>
      </c>
      <c r="B144" s="11">
        <v>2017</v>
      </c>
      <c r="C144" s="11" t="s">
        <v>59</v>
      </c>
      <c r="D144" s="12">
        <v>8.7899999999999991</v>
      </c>
    </row>
    <row r="145" spans="1:4" ht="16.5" x14ac:dyDescent="0.6">
      <c r="A145" s="9" t="s">
        <v>9</v>
      </c>
      <c r="B145" s="9">
        <v>2017</v>
      </c>
      <c r="C145" s="9" t="s">
        <v>59</v>
      </c>
      <c r="D145" s="10">
        <v>21.54</v>
      </c>
    </row>
    <row r="146" spans="1:4" ht="16.5" x14ac:dyDescent="0.6">
      <c r="A146" s="11" t="s">
        <v>12</v>
      </c>
      <c r="B146" s="11">
        <v>2017</v>
      </c>
      <c r="C146" s="11" t="s">
        <v>59</v>
      </c>
      <c r="D146" s="12">
        <v>52.63</v>
      </c>
    </row>
    <row r="147" spans="1:4" ht="16.5" x14ac:dyDescent="0.6">
      <c r="A147" s="9" t="s">
        <v>55</v>
      </c>
      <c r="B147" s="9">
        <v>2018</v>
      </c>
      <c r="C147" s="9" t="s">
        <v>59</v>
      </c>
      <c r="D147" s="10">
        <v>27.22</v>
      </c>
    </row>
    <row r="148" spans="1:4" ht="16.5" x14ac:dyDescent="0.6">
      <c r="A148" s="11" t="s">
        <v>5</v>
      </c>
      <c r="B148" s="11">
        <v>2018</v>
      </c>
      <c r="C148" s="11" t="s">
        <v>59</v>
      </c>
      <c r="D148" s="12">
        <v>1198.8599999999999</v>
      </c>
    </row>
    <row r="149" spans="1:4" ht="16.5" x14ac:dyDescent="0.6">
      <c r="A149" s="9" t="s">
        <v>8</v>
      </c>
      <c r="B149" s="9">
        <v>2018</v>
      </c>
      <c r="C149" s="9" t="s">
        <v>59</v>
      </c>
      <c r="D149" s="10">
        <v>71.260000000000005</v>
      </c>
    </row>
    <row r="150" spans="1:4" ht="16.5" x14ac:dyDescent="0.6">
      <c r="A150" s="11" t="s">
        <v>6</v>
      </c>
      <c r="B150" s="11">
        <v>2018</v>
      </c>
      <c r="C150" s="11" t="s">
        <v>59</v>
      </c>
      <c r="D150" s="12">
        <v>139.75</v>
      </c>
    </row>
    <row r="151" spans="1:4" ht="16.5" x14ac:dyDescent="0.6">
      <c r="A151" s="9" t="s">
        <v>19</v>
      </c>
      <c r="B151" s="9">
        <v>2018</v>
      </c>
      <c r="C151" s="9" t="s">
        <v>59</v>
      </c>
      <c r="D151" s="10">
        <v>39.049999999999997</v>
      </c>
    </row>
    <row r="152" spans="1:4" ht="16.5" x14ac:dyDescent="0.6">
      <c r="A152" s="11" t="s">
        <v>23</v>
      </c>
      <c r="B152" s="11">
        <v>2018</v>
      </c>
      <c r="C152" s="11" t="s">
        <v>59</v>
      </c>
      <c r="D152" s="12">
        <v>6.4</v>
      </c>
    </row>
    <row r="153" spans="1:4" ht="16.5" x14ac:dyDescent="0.6">
      <c r="A153" s="9" t="s">
        <v>9</v>
      </c>
      <c r="B153" s="9">
        <v>2018</v>
      </c>
      <c r="C153" s="9" t="s">
        <v>59</v>
      </c>
      <c r="D153" s="10">
        <v>36.33</v>
      </c>
    </row>
    <row r="154" spans="1:4" ht="16.5" x14ac:dyDescent="0.6">
      <c r="A154" s="11" t="s">
        <v>12</v>
      </c>
      <c r="B154" s="11">
        <v>2018</v>
      </c>
      <c r="C154" s="11" t="s">
        <v>59</v>
      </c>
      <c r="D154" s="12">
        <v>60.31</v>
      </c>
    </row>
    <row r="155" spans="1:4" ht="16.5" x14ac:dyDescent="0.6">
      <c r="A155" s="9" t="s">
        <v>55</v>
      </c>
      <c r="B155" s="9">
        <v>2019</v>
      </c>
      <c r="C155" s="9" t="s">
        <v>59</v>
      </c>
      <c r="D155" s="10">
        <v>31.51</v>
      </c>
    </row>
    <row r="156" spans="1:4" ht="16.5" x14ac:dyDescent="0.6">
      <c r="A156" s="11" t="s">
        <v>5</v>
      </c>
      <c r="B156" s="11">
        <v>2019</v>
      </c>
      <c r="C156" s="11" t="s">
        <v>59</v>
      </c>
      <c r="D156" s="12">
        <v>1198.76</v>
      </c>
    </row>
    <row r="157" spans="1:4" ht="16.5" x14ac:dyDescent="0.6">
      <c r="A157" s="9" t="s">
        <v>8</v>
      </c>
      <c r="B157" s="9">
        <v>2019</v>
      </c>
      <c r="C157" s="9" t="s">
        <v>59</v>
      </c>
      <c r="D157" s="10">
        <v>71.95</v>
      </c>
    </row>
    <row r="158" spans="1:4" ht="16.5" x14ac:dyDescent="0.6">
      <c r="A158" s="11" t="s">
        <v>6</v>
      </c>
      <c r="B158" s="11">
        <v>2019</v>
      </c>
      <c r="C158" s="11" t="s">
        <v>59</v>
      </c>
      <c r="D158" s="12">
        <v>162.07</v>
      </c>
    </row>
    <row r="159" spans="1:4" ht="16.5" x14ac:dyDescent="0.6">
      <c r="A159" s="9" t="s">
        <v>19</v>
      </c>
      <c r="B159" s="9">
        <v>2019</v>
      </c>
      <c r="C159" s="9" t="s">
        <v>59</v>
      </c>
      <c r="D159" s="10">
        <v>45.16</v>
      </c>
    </row>
    <row r="160" spans="1:4" ht="16.5" x14ac:dyDescent="0.6">
      <c r="A160" s="11" t="s">
        <v>23</v>
      </c>
      <c r="B160" s="11">
        <v>2019</v>
      </c>
      <c r="C160" s="11" t="s">
        <v>59</v>
      </c>
      <c r="D160" s="12">
        <v>3.07</v>
      </c>
    </row>
    <row r="161" spans="1:4" ht="16.5" x14ac:dyDescent="0.6">
      <c r="A161" s="9" t="s">
        <v>9</v>
      </c>
      <c r="B161" s="9">
        <v>2019</v>
      </c>
      <c r="C161" s="9" t="s">
        <v>59</v>
      </c>
      <c r="D161" s="10">
        <v>46.27</v>
      </c>
    </row>
    <row r="162" spans="1:4" ht="16.5" x14ac:dyDescent="0.6">
      <c r="A162" s="11" t="s">
        <v>12</v>
      </c>
      <c r="B162" s="11">
        <v>2019</v>
      </c>
      <c r="C162" s="11" t="s">
        <v>59</v>
      </c>
      <c r="D162" s="12">
        <v>63.31</v>
      </c>
    </row>
    <row r="163" spans="1:4" ht="16.5" x14ac:dyDescent="0.6">
      <c r="A163" s="9" t="s">
        <v>55</v>
      </c>
      <c r="B163" s="9">
        <v>2020</v>
      </c>
      <c r="C163" s="9" t="s">
        <v>59</v>
      </c>
      <c r="D163" s="10">
        <v>32.86</v>
      </c>
    </row>
    <row r="164" spans="1:4" ht="16.5" x14ac:dyDescent="0.6">
      <c r="A164" s="11" t="s">
        <v>5</v>
      </c>
      <c r="B164" s="11">
        <v>2020</v>
      </c>
      <c r="C164" s="11" t="s">
        <v>59</v>
      </c>
      <c r="D164" s="12">
        <v>1143.78</v>
      </c>
    </row>
    <row r="165" spans="1:4" ht="16.5" x14ac:dyDescent="0.6">
      <c r="A165" s="9" t="s">
        <v>8</v>
      </c>
      <c r="B165" s="9">
        <v>2020</v>
      </c>
      <c r="C165" s="9" t="s">
        <v>59</v>
      </c>
      <c r="D165" s="10">
        <v>74.790000000000006</v>
      </c>
    </row>
    <row r="166" spans="1:4" ht="16.5" x14ac:dyDescent="0.6">
      <c r="A166" s="11" t="s">
        <v>6</v>
      </c>
      <c r="B166" s="11">
        <v>2020</v>
      </c>
      <c r="C166" s="11" t="s">
        <v>59</v>
      </c>
      <c r="D166" s="12">
        <v>163.69999999999999</v>
      </c>
    </row>
    <row r="167" spans="1:4" ht="16.5" x14ac:dyDescent="0.6">
      <c r="A167" s="9" t="s">
        <v>19</v>
      </c>
      <c r="B167" s="9">
        <v>2020</v>
      </c>
      <c r="C167" s="9" t="s">
        <v>59</v>
      </c>
      <c r="D167" s="10">
        <v>44.61</v>
      </c>
    </row>
    <row r="168" spans="1:4" ht="16.5" x14ac:dyDescent="0.6">
      <c r="A168" s="11" t="s">
        <v>23</v>
      </c>
      <c r="B168" s="11">
        <v>2020</v>
      </c>
      <c r="C168" s="11" t="s">
        <v>59</v>
      </c>
      <c r="D168" s="12">
        <v>3.09</v>
      </c>
    </row>
    <row r="169" spans="1:4" ht="16.5" x14ac:dyDescent="0.6">
      <c r="A169" s="9" t="s">
        <v>9</v>
      </c>
      <c r="B169" s="9">
        <v>2020</v>
      </c>
      <c r="C169" s="9" t="s">
        <v>59</v>
      </c>
      <c r="D169" s="10">
        <v>58.68</v>
      </c>
    </row>
    <row r="170" spans="1:4" ht="16.5" x14ac:dyDescent="0.6">
      <c r="A170" s="11" t="s">
        <v>12</v>
      </c>
      <c r="B170" s="11">
        <v>2020</v>
      </c>
      <c r="C170" s="11" t="s">
        <v>59</v>
      </c>
      <c r="D170" s="12">
        <v>60.43</v>
      </c>
    </row>
    <row r="171" spans="1:4" ht="16.5" x14ac:dyDescent="0.6">
      <c r="A171" s="9" t="s">
        <v>55</v>
      </c>
      <c r="B171" s="9">
        <v>2021</v>
      </c>
      <c r="C171" s="9" t="s">
        <v>59</v>
      </c>
      <c r="D171" s="10">
        <v>35.5</v>
      </c>
    </row>
    <row r="172" spans="1:4" ht="16.5" x14ac:dyDescent="0.6">
      <c r="A172" s="11" t="s">
        <v>5</v>
      </c>
      <c r="B172" s="11">
        <v>2021</v>
      </c>
      <c r="C172" s="11" t="s">
        <v>59</v>
      </c>
      <c r="D172" s="12">
        <v>1255.56</v>
      </c>
    </row>
    <row r="173" spans="1:4" ht="16.5" x14ac:dyDescent="0.6">
      <c r="A173" s="9" t="s">
        <v>8</v>
      </c>
      <c r="B173" s="9">
        <v>2021</v>
      </c>
      <c r="C173" s="9" t="s">
        <v>59</v>
      </c>
      <c r="D173" s="10">
        <v>60.4</v>
      </c>
    </row>
    <row r="174" spans="1:4" ht="16.5" x14ac:dyDescent="0.6">
      <c r="A174" s="11" t="s">
        <v>6</v>
      </c>
      <c r="B174" s="11">
        <v>2021</v>
      </c>
      <c r="C174" s="11" t="s">
        <v>59</v>
      </c>
      <c r="D174" s="12">
        <v>160.34</v>
      </c>
    </row>
    <row r="175" spans="1:4" ht="16.5" x14ac:dyDescent="0.6">
      <c r="A175" s="9" t="s">
        <v>19</v>
      </c>
      <c r="B175" s="9">
        <v>2021</v>
      </c>
      <c r="C175" s="9" t="s">
        <v>59</v>
      </c>
      <c r="D175" s="10">
        <v>43.92</v>
      </c>
    </row>
    <row r="176" spans="1:4" ht="16.5" x14ac:dyDescent="0.6">
      <c r="A176" s="11" t="s">
        <v>23</v>
      </c>
      <c r="B176" s="11">
        <v>2021</v>
      </c>
      <c r="C176" s="11" t="s">
        <v>59</v>
      </c>
      <c r="D176" s="12">
        <v>3.39</v>
      </c>
    </row>
    <row r="177" spans="1:4" ht="16.5" x14ac:dyDescent="0.6">
      <c r="A177" s="9" t="s">
        <v>9</v>
      </c>
      <c r="B177" s="9">
        <v>2021</v>
      </c>
      <c r="C177" s="9" t="s">
        <v>59</v>
      </c>
      <c r="D177" s="10">
        <v>68.31</v>
      </c>
    </row>
    <row r="178" spans="1:4" ht="16.5" x14ac:dyDescent="0.6">
      <c r="A178" s="11" t="s">
        <v>12</v>
      </c>
      <c r="B178" s="11">
        <v>2021</v>
      </c>
      <c r="C178" s="11" t="s">
        <v>59</v>
      </c>
      <c r="D178" s="12">
        <v>68.09</v>
      </c>
    </row>
    <row r="179" spans="1:4" ht="16.5" x14ac:dyDescent="0.6">
      <c r="A179" s="9" t="s">
        <v>55</v>
      </c>
      <c r="B179" s="9">
        <v>2022</v>
      </c>
      <c r="C179" s="9" t="s">
        <v>59</v>
      </c>
      <c r="D179" s="10">
        <v>38.57</v>
      </c>
    </row>
    <row r="180" spans="1:4" ht="16.5" x14ac:dyDescent="0.6">
      <c r="A180" s="11" t="s">
        <v>5</v>
      </c>
      <c r="B180" s="11">
        <v>2022</v>
      </c>
      <c r="C180" s="11" t="s">
        <v>59</v>
      </c>
      <c r="D180" s="12">
        <v>1354.23</v>
      </c>
    </row>
    <row r="181" spans="1:4" ht="16.5" x14ac:dyDescent="0.6">
      <c r="A181" s="9" t="s">
        <v>8</v>
      </c>
      <c r="B181" s="9">
        <v>2022</v>
      </c>
      <c r="C181" s="9" t="s">
        <v>59</v>
      </c>
      <c r="D181" s="10">
        <v>46.48</v>
      </c>
    </row>
    <row r="182" spans="1:4" ht="16.5" x14ac:dyDescent="0.6">
      <c r="A182" s="11" t="s">
        <v>6</v>
      </c>
      <c r="B182" s="11">
        <v>2022</v>
      </c>
      <c r="C182" s="11" t="s">
        <v>59</v>
      </c>
      <c r="D182" s="12">
        <v>174.94</v>
      </c>
    </row>
    <row r="183" spans="1:4" ht="16.5" x14ac:dyDescent="0.6">
      <c r="A183" s="9" t="s">
        <v>19</v>
      </c>
      <c r="B183" s="9">
        <v>2022</v>
      </c>
      <c r="C183" s="9" t="s">
        <v>59</v>
      </c>
      <c r="D183" s="10">
        <v>46.19</v>
      </c>
    </row>
    <row r="184" spans="1:4" ht="16.5" x14ac:dyDescent="0.6">
      <c r="A184" s="11" t="s">
        <v>23</v>
      </c>
      <c r="B184" s="11">
        <v>2022</v>
      </c>
      <c r="C184" s="11" t="s">
        <v>59</v>
      </c>
      <c r="D184" s="12">
        <v>3.68</v>
      </c>
    </row>
    <row r="185" spans="1:4" ht="16.5" x14ac:dyDescent="0.6">
      <c r="A185" s="9" t="s">
        <v>9</v>
      </c>
      <c r="B185" s="9">
        <v>2022</v>
      </c>
      <c r="C185" s="9" t="s">
        <v>59</v>
      </c>
      <c r="D185" s="10">
        <v>95.16</v>
      </c>
    </row>
    <row r="186" spans="1:4" ht="16.5" x14ac:dyDescent="0.6">
      <c r="A186" s="11" t="s">
        <v>12</v>
      </c>
      <c r="B186" s="11">
        <v>2022</v>
      </c>
      <c r="C186" s="11" t="s">
        <v>59</v>
      </c>
      <c r="D186" s="12">
        <v>70.05</v>
      </c>
    </row>
    <row r="187" spans="1:4" ht="16.5" x14ac:dyDescent="0.6">
      <c r="A187" s="9" t="s">
        <v>55</v>
      </c>
      <c r="B187" s="9">
        <v>2023</v>
      </c>
      <c r="C187" s="9" t="s">
        <v>59</v>
      </c>
      <c r="D187" s="10">
        <v>37.28</v>
      </c>
    </row>
    <row r="188" spans="1:4" ht="16.5" x14ac:dyDescent="0.6">
      <c r="A188" s="11" t="s">
        <v>5</v>
      </c>
      <c r="B188" s="11">
        <v>2023</v>
      </c>
      <c r="C188" s="11" t="s">
        <v>59</v>
      </c>
      <c r="D188" s="12">
        <v>1471.28</v>
      </c>
    </row>
    <row r="189" spans="1:4" ht="16.5" x14ac:dyDescent="0.6">
      <c r="A189" s="9" t="s">
        <v>8</v>
      </c>
      <c r="B189" s="9">
        <v>2023</v>
      </c>
      <c r="C189" s="9" t="s">
        <v>59</v>
      </c>
      <c r="D189" s="10">
        <v>52.61</v>
      </c>
    </row>
    <row r="190" spans="1:4" ht="16.5" x14ac:dyDescent="0.6">
      <c r="A190" s="11" t="s">
        <v>6</v>
      </c>
      <c r="B190" s="11">
        <v>2023</v>
      </c>
      <c r="C190" s="11" t="s">
        <v>59</v>
      </c>
      <c r="D190" s="12">
        <v>149.16999999999999</v>
      </c>
    </row>
    <row r="191" spans="1:4" ht="16.5" x14ac:dyDescent="0.6">
      <c r="A191" s="9" t="s">
        <v>19</v>
      </c>
      <c r="B191" s="9">
        <v>2023</v>
      </c>
      <c r="C191" s="9" t="s">
        <v>59</v>
      </c>
      <c r="D191" s="10">
        <v>48.2</v>
      </c>
    </row>
    <row r="192" spans="1:4" ht="16.5" x14ac:dyDescent="0.6">
      <c r="A192" s="11" t="s">
        <v>23</v>
      </c>
      <c r="B192" s="11">
        <v>2023</v>
      </c>
      <c r="C192" s="11" t="s">
        <v>59</v>
      </c>
      <c r="D192" s="12">
        <v>4.18</v>
      </c>
    </row>
    <row r="193" spans="1:4" ht="16.5" x14ac:dyDescent="0.6">
      <c r="A193" s="9" t="s">
        <v>9</v>
      </c>
      <c r="B193" s="9">
        <v>2023</v>
      </c>
      <c r="C193" s="9" t="s">
        <v>59</v>
      </c>
      <c r="D193" s="10">
        <v>113.41</v>
      </c>
    </row>
    <row r="194" spans="1:4" ht="16.5" x14ac:dyDescent="0.6">
      <c r="A194" s="11" t="s">
        <v>12</v>
      </c>
      <c r="B194" s="11">
        <v>2023</v>
      </c>
      <c r="C194" s="11" t="s">
        <v>59</v>
      </c>
      <c r="D194" s="12">
        <v>82.11</v>
      </c>
    </row>
    <row r="195" spans="1:4" ht="16.5" x14ac:dyDescent="0.6">
      <c r="A195" s="9" t="s">
        <v>55</v>
      </c>
      <c r="B195" s="9">
        <v>2000</v>
      </c>
      <c r="C195" s="9" t="s">
        <v>60</v>
      </c>
      <c r="D195" s="10">
        <v>0.35</v>
      </c>
    </row>
    <row r="196" spans="1:4" ht="16.5" x14ac:dyDescent="0.6">
      <c r="A196" s="11" t="s">
        <v>5</v>
      </c>
      <c r="B196" s="11">
        <v>2000</v>
      </c>
      <c r="C196" s="11" t="s">
        <v>60</v>
      </c>
      <c r="D196" s="12">
        <v>62.17</v>
      </c>
    </row>
    <row r="197" spans="1:4" ht="16.5" x14ac:dyDescent="0.6">
      <c r="A197" s="9" t="s">
        <v>8</v>
      </c>
      <c r="B197" s="9">
        <v>2000</v>
      </c>
      <c r="C197" s="9" t="s">
        <v>60</v>
      </c>
      <c r="D197" s="10">
        <v>12.61</v>
      </c>
    </row>
    <row r="198" spans="1:4" ht="16.5" x14ac:dyDescent="0.6">
      <c r="A198" s="11" t="s">
        <v>6</v>
      </c>
      <c r="B198" s="11">
        <v>2000</v>
      </c>
      <c r="C198" s="11" t="s">
        <v>60</v>
      </c>
      <c r="D198" s="12">
        <v>23.71</v>
      </c>
    </row>
    <row r="199" spans="1:4" ht="16.5" x14ac:dyDescent="0.6">
      <c r="A199" s="9" t="s">
        <v>19</v>
      </c>
      <c r="B199" s="9">
        <v>2000</v>
      </c>
      <c r="C199" s="9" t="s">
        <v>60</v>
      </c>
      <c r="D199" s="10">
        <v>2.86</v>
      </c>
    </row>
    <row r="200" spans="1:4" ht="16.5" x14ac:dyDescent="0.6">
      <c r="A200" s="11" t="s">
        <v>23</v>
      </c>
      <c r="B200" s="11">
        <v>2000</v>
      </c>
      <c r="C200" s="11" t="s">
        <v>60</v>
      </c>
      <c r="D200" s="12">
        <v>6.79</v>
      </c>
    </row>
    <row r="201" spans="1:4" ht="16.5" x14ac:dyDescent="0.6">
      <c r="A201" s="9" t="s">
        <v>9</v>
      </c>
      <c r="B201" s="9">
        <v>2000</v>
      </c>
      <c r="C201" s="9" t="s">
        <v>60</v>
      </c>
      <c r="D201" s="10">
        <v>0</v>
      </c>
    </row>
    <row r="202" spans="1:4" ht="16.5" x14ac:dyDescent="0.6">
      <c r="A202" s="11" t="s">
        <v>12</v>
      </c>
      <c r="B202" s="11">
        <v>2000</v>
      </c>
      <c r="C202" s="11" t="s">
        <v>60</v>
      </c>
      <c r="D202" s="12">
        <v>0.94</v>
      </c>
    </row>
    <row r="203" spans="1:4" ht="16.5" x14ac:dyDescent="0.6">
      <c r="A203" s="9" t="s">
        <v>55</v>
      </c>
      <c r="B203" s="9">
        <v>2001</v>
      </c>
      <c r="C203" s="9" t="s">
        <v>60</v>
      </c>
      <c r="D203" s="10">
        <v>0.42</v>
      </c>
    </row>
    <row r="204" spans="1:4" ht="16.5" x14ac:dyDescent="0.6">
      <c r="A204" s="11" t="s">
        <v>5</v>
      </c>
      <c r="B204" s="11">
        <v>2001</v>
      </c>
      <c r="C204" s="11" t="s">
        <v>60</v>
      </c>
      <c r="D204" s="12">
        <v>63.17</v>
      </c>
    </row>
    <row r="205" spans="1:4" ht="16.5" x14ac:dyDescent="0.6">
      <c r="A205" s="9" t="s">
        <v>8</v>
      </c>
      <c r="B205" s="9">
        <v>2001</v>
      </c>
      <c r="C205" s="9" t="s">
        <v>60</v>
      </c>
      <c r="D205" s="10">
        <v>13.42</v>
      </c>
    </row>
    <row r="206" spans="1:4" ht="16.5" x14ac:dyDescent="0.6">
      <c r="A206" s="11" t="s">
        <v>6</v>
      </c>
      <c r="B206" s="11">
        <v>2001</v>
      </c>
      <c r="C206" s="11" t="s">
        <v>60</v>
      </c>
      <c r="D206" s="12">
        <v>24.68</v>
      </c>
    </row>
    <row r="207" spans="1:4" ht="16.5" x14ac:dyDescent="0.6">
      <c r="A207" s="9" t="s">
        <v>19</v>
      </c>
      <c r="B207" s="9">
        <v>2001</v>
      </c>
      <c r="C207" s="9" t="s">
        <v>60</v>
      </c>
      <c r="D207" s="10">
        <v>2.72</v>
      </c>
    </row>
    <row r="208" spans="1:4" ht="16.5" x14ac:dyDescent="0.6">
      <c r="A208" s="11" t="s">
        <v>23</v>
      </c>
      <c r="B208" s="11">
        <v>2001</v>
      </c>
      <c r="C208" s="11" t="s">
        <v>60</v>
      </c>
      <c r="D208" s="12">
        <v>7.06</v>
      </c>
    </row>
    <row r="209" spans="1:4" ht="16.5" x14ac:dyDescent="0.6">
      <c r="A209" s="9" t="s">
        <v>9</v>
      </c>
      <c r="B209" s="9">
        <v>2001</v>
      </c>
      <c r="C209" s="9" t="s">
        <v>60</v>
      </c>
      <c r="D209" s="10">
        <v>0.01</v>
      </c>
    </row>
    <row r="210" spans="1:4" ht="16.5" x14ac:dyDescent="0.6">
      <c r="A210" s="11" t="s">
        <v>12</v>
      </c>
      <c r="B210" s="11">
        <v>2001</v>
      </c>
      <c r="C210" s="11" t="s">
        <v>60</v>
      </c>
      <c r="D210" s="12">
        <v>1.56</v>
      </c>
    </row>
    <row r="211" spans="1:4" ht="16.5" x14ac:dyDescent="0.6">
      <c r="A211" s="9" t="s">
        <v>55</v>
      </c>
      <c r="B211" s="9">
        <v>2002</v>
      </c>
      <c r="C211" s="9" t="s">
        <v>60</v>
      </c>
      <c r="D211" s="10">
        <v>0.48</v>
      </c>
    </row>
    <row r="212" spans="1:4" ht="16.5" x14ac:dyDescent="0.6">
      <c r="A212" s="11" t="s">
        <v>5</v>
      </c>
      <c r="B212" s="11">
        <v>2002</v>
      </c>
      <c r="C212" s="11" t="s">
        <v>60</v>
      </c>
      <c r="D212" s="12">
        <v>64.209999999999994</v>
      </c>
    </row>
    <row r="213" spans="1:4" ht="16.5" x14ac:dyDescent="0.6">
      <c r="A213" s="9" t="s">
        <v>8</v>
      </c>
      <c r="B213" s="9">
        <v>2002</v>
      </c>
      <c r="C213" s="9" t="s">
        <v>60</v>
      </c>
      <c r="D213" s="10">
        <v>14.03</v>
      </c>
    </row>
    <row r="214" spans="1:4" ht="16.5" x14ac:dyDescent="0.6">
      <c r="A214" s="11" t="s">
        <v>6</v>
      </c>
      <c r="B214" s="11">
        <v>2002</v>
      </c>
      <c r="C214" s="11" t="s">
        <v>60</v>
      </c>
      <c r="D214" s="12">
        <v>24.73</v>
      </c>
    </row>
    <row r="215" spans="1:4" ht="16.5" x14ac:dyDescent="0.6">
      <c r="A215" s="9" t="s">
        <v>19</v>
      </c>
      <c r="B215" s="9">
        <v>2002</v>
      </c>
      <c r="C215" s="9" t="s">
        <v>60</v>
      </c>
      <c r="D215" s="10">
        <v>2.72</v>
      </c>
    </row>
    <row r="216" spans="1:4" ht="16.5" x14ac:dyDescent="0.6">
      <c r="A216" s="11" t="s">
        <v>23</v>
      </c>
      <c r="B216" s="11">
        <v>2002</v>
      </c>
      <c r="C216" s="11" t="s">
        <v>60</v>
      </c>
      <c r="D216" s="12">
        <v>7.43</v>
      </c>
    </row>
    <row r="217" spans="1:4" ht="16.5" x14ac:dyDescent="0.6">
      <c r="A217" s="9" t="s">
        <v>9</v>
      </c>
      <c r="B217" s="9">
        <v>2002</v>
      </c>
      <c r="C217" s="9" t="s">
        <v>60</v>
      </c>
      <c r="D217" s="10">
        <v>0.01</v>
      </c>
    </row>
    <row r="218" spans="1:4" ht="16.5" x14ac:dyDescent="0.6">
      <c r="A218" s="11" t="s">
        <v>12</v>
      </c>
      <c r="B218" s="11">
        <v>2002</v>
      </c>
      <c r="C218" s="11" t="s">
        <v>60</v>
      </c>
      <c r="D218" s="12">
        <v>1.61</v>
      </c>
    </row>
    <row r="219" spans="1:4" ht="16.5" x14ac:dyDescent="0.6">
      <c r="A219" s="9" t="s">
        <v>55</v>
      </c>
      <c r="B219" s="9">
        <v>2003</v>
      </c>
      <c r="C219" s="9" t="s">
        <v>60</v>
      </c>
      <c r="D219" s="10">
        <v>0.61</v>
      </c>
    </row>
    <row r="220" spans="1:4" ht="16.5" x14ac:dyDescent="0.6">
      <c r="A220" s="11" t="s">
        <v>5</v>
      </c>
      <c r="B220" s="11">
        <v>2003</v>
      </c>
      <c r="C220" s="11" t="s">
        <v>60</v>
      </c>
      <c r="D220" s="12">
        <v>65.83</v>
      </c>
    </row>
    <row r="221" spans="1:4" ht="16.5" x14ac:dyDescent="0.6">
      <c r="A221" s="9" t="s">
        <v>8</v>
      </c>
      <c r="B221" s="9">
        <v>2003</v>
      </c>
      <c r="C221" s="9" t="s">
        <v>60</v>
      </c>
      <c r="D221" s="10">
        <v>14.38</v>
      </c>
    </row>
    <row r="222" spans="1:4" ht="16.5" x14ac:dyDescent="0.6">
      <c r="A222" s="11" t="s">
        <v>6</v>
      </c>
      <c r="B222" s="11">
        <v>2003</v>
      </c>
      <c r="C222" s="11" t="s">
        <v>60</v>
      </c>
      <c r="D222" s="12">
        <v>27.18</v>
      </c>
    </row>
    <row r="223" spans="1:4" ht="16.5" x14ac:dyDescent="0.6">
      <c r="A223" s="9" t="s">
        <v>19</v>
      </c>
      <c r="B223" s="9">
        <v>2003</v>
      </c>
      <c r="C223" s="9" t="s">
        <v>60</v>
      </c>
      <c r="D223" s="10">
        <v>2.72</v>
      </c>
    </row>
    <row r="224" spans="1:4" ht="16.5" x14ac:dyDescent="0.6">
      <c r="A224" s="11" t="s">
        <v>23</v>
      </c>
      <c r="B224" s="11">
        <v>2003</v>
      </c>
      <c r="C224" s="11" t="s">
        <v>60</v>
      </c>
      <c r="D224" s="12">
        <v>7.8</v>
      </c>
    </row>
    <row r="225" spans="1:4" ht="16.5" x14ac:dyDescent="0.6">
      <c r="A225" s="9" t="s">
        <v>9</v>
      </c>
      <c r="B225" s="9">
        <v>2003</v>
      </c>
      <c r="C225" s="9" t="s">
        <v>60</v>
      </c>
      <c r="D225" s="10">
        <v>0.01</v>
      </c>
    </row>
    <row r="226" spans="1:4" ht="16.5" x14ac:dyDescent="0.6">
      <c r="A226" s="11" t="s">
        <v>12</v>
      </c>
      <c r="B226" s="11">
        <v>2003</v>
      </c>
      <c r="C226" s="11" t="s">
        <v>60</v>
      </c>
      <c r="D226" s="12">
        <v>2.46</v>
      </c>
    </row>
    <row r="227" spans="1:4" ht="16.5" x14ac:dyDescent="0.6">
      <c r="A227" s="9" t="s">
        <v>55</v>
      </c>
      <c r="B227" s="9">
        <v>2004</v>
      </c>
      <c r="C227" s="9" t="s">
        <v>60</v>
      </c>
      <c r="D227" s="10">
        <v>0.75</v>
      </c>
    </row>
    <row r="228" spans="1:4" ht="16.5" x14ac:dyDescent="0.6">
      <c r="A228" s="11" t="s">
        <v>5</v>
      </c>
      <c r="B228" s="11">
        <v>2004</v>
      </c>
      <c r="C228" s="11" t="s">
        <v>60</v>
      </c>
      <c r="D228" s="12">
        <v>66.319999999999993</v>
      </c>
    </row>
    <row r="229" spans="1:4" ht="16.5" x14ac:dyDescent="0.6">
      <c r="A229" s="9" t="s">
        <v>8</v>
      </c>
      <c r="B229" s="9">
        <v>2004</v>
      </c>
      <c r="C229" s="9" t="s">
        <v>60</v>
      </c>
      <c r="D229" s="10">
        <v>14.59</v>
      </c>
    </row>
    <row r="230" spans="1:4" ht="16.5" x14ac:dyDescent="0.6">
      <c r="A230" s="11" t="s">
        <v>6</v>
      </c>
      <c r="B230" s="11">
        <v>2004</v>
      </c>
      <c r="C230" s="11" t="s">
        <v>60</v>
      </c>
      <c r="D230" s="12">
        <v>28.62</v>
      </c>
    </row>
    <row r="231" spans="1:4" ht="16.5" x14ac:dyDescent="0.6">
      <c r="A231" s="9" t="s">
        <v>19</v>
      </c>
      <c r="B231" s="9">
        <v>2004</v>
      </c>
      <c r="C231" s="9" t="s">
        <v>60</v>
      </c>
      <c r="D231" s="10">
        <v>2.77</v>
      </c>
    </row>
    <row r="232" spans="1:4" ht="16.5" x14ac:dyDescent="0.6">
      <c r="A232" s="11" t="s">
        <v>23</v>
      </c>
      <c r="B232" s="11">
        <v>2004</v>
      </c>
      <c r="C232" s="11" t="s">
        <v>60</v>
      </c>
      <c r="D232" s="12">
        <v>8.16</v>
      </c>
    </row>
    <row r="233" spans="1:4" ht="16.5" x14ac:dyDescent="0.6">
      <c r="A233" s="9" t="s">
        <v>9</v>
      </c>
      <c r="B233" s="9">
        <v>2004</v>
      </c>
      <c r="C233" s="9" t="s">
        <v>60</v>
      </c>
      <c r="D233" s="10">
        <v>0.01</v>
      </c>
    </row>
    <row r="234" spans="1:4" ht="16.5" x14ac:dyDescent="0.6">
      <c r="A234" s="11" t="s">
        <v>12</v>
      </c>
      <c r="B234" s="11">
        <v>2004</v>
      </c>
      <c r="C234" s="11" t="s">
        <v>60</v>
      </c>
      <c r="D234" s="12">
        <v>3.81</v>
      </c>
    </row>
    <row r="235" spans="1:4" ht="16.5" x14ac:dyDescent="0.6">
      <c r="A235" s="9" t="s">
        <v>55</v>
      </c>
      <c r="B235" s="9">
        <v>2005</v>
      </c>
      <c r="C235" s="9" t="s">
        <v>60</v>
      </c>
      <c r="D235" s="10">
        <v>0.94</v>
      </c>
    </row>
    <row r="236" spans="1:4" ht="16.5" x14ac:dyDescent="0.6">
      <c r="A236" s="11" t="s">
        <v>5</v>
      </c>
      <c r="B236" s="11">
        <v>2005</v>
      </c>
      <c r="C236" s="11" t="s">
        <v>60</v>
      </c>
      <c r="D236" s="12">
        <v>69.64</v>
      </c>
    </row>
    <row r="237" spans="1:4" ht="16.5" x14ac:dyDescent="0.6">
      <c r="A237" s="9" t="s">
        <v>8</v>
      </c>
      <c r="B237" s="9">
        <v>2005</v>
      </c>
      <c r="C237" s="9" t="s">
        <v>60</v>
      </c>
      <c r="D237" s="10">
        <v>15.51</v>
      </c>
    </row>
    <row r="238" spans="1:4" ht="16.5" x14ac:dyDescent="0.6">
      <c r="A238" s="11" t="s">
        <v>6</v>
      </c>
      <c r="B238" s="11">
        <v>2005</v>
      </c>
      <c r="C238" s="11" t="s">
        <v>60</v>
      </c>
      <c r="D238" s="12">
        <v>30.96</v>
      </c>
    </row>
    <row r="239" spans="1:4" ht="16.5" x14ac:dyDescent="0.6">
      <c r="A239" s="9" t="s">
        <v>19</v>
      </c>
      <c r="B239" s="9">
        <v>2005</v>
      </c>
      <c r="C239" s="9" t="s">
        <v>60</v>
      </c>
      <c r="D239" s="10">
        <v>3.36</v>
      </c>
    </row>
    <row r="240" spans="1:4" ht="16.5" x14ac:dyDescent="0.6">
      <c r="A240" s="11" t="s">
        <v>23</v>
      </c>
      <c r="B240" s="11">
        <v>2005</v>
      </c>
      <c r="C240" s="11" t="s">
        <v>60</v>
      </c>
      <c r="D240" s="12">
        <v>8.56</v>
      </c>
    </row>
    <row r="241" spans="1:4" ht="16.5" x14ac:dyDescent="0.6">
      <c r="A241" s="9" t="s">
        <v>9</v>
      </c>
      <c r="B241" s="9">
        <v>2005</v>
      </c>
      <c r="C241" s="9" t="s">
        <v>60</v>
      </c>
      <c r="D241" s="10">
        <v>0.01</v>
      </c>
    </row>
    <row r="242" spans="1:4" ht="16.5" x14ac:dyDescent="0.6">
      <c r="A242" s="11" t="s">
        <v>12</v>
      </c>
      <c r="B242" s="11">
        <v>2005</v>
      </c>
      <c r="C242" s="11" t="s">
        <v>60</v>
      </c>
      <c r="D242" s="12">
        <v>4.43</v>
      </c>
    </row>
    <row r="243" spans="1:4" ht="16.5" x14ac:dyDescent="0.6">
      <c r="A243" s="9" t="s">
        <v>55</v>
      </c>
      <c r="B243" s="9">
        <v>2006</v>
      </c>
      <c r="C243" s="9" t="s">
        <v>60</v>
      </c>
      <c r="D243" s="10">
        <v>1.22</v>
      </c>
    </row>
    <row r="244" spans="1:4" ht="16.5" x14ac:dyDescent="0.6">
      <c r="A244" s="11" t="s">
        <v>5</v>
      </c>
      <c r="B244" s="11">
        <v>2006</v>
      </c>
      <c r="C244" s="11" t="s">
        <v>60</v>
      </c>
      <c r="D244" s="12">
        <v>71.930000000000007</v>
      </c>
    </row>
    <row r="245" spans="1:4" ht="16.5" x14ac:dyDescent="0.6">
      <c r="A245" s="9" t="s">
        <v>8</v>
      </c>
      <c r="B245" s="9">
        <v>2006</v>
      </c>
      <c r="C245" s="9" t="s">
        <v>60</v>
      </c>
      <c r="D245" s="10">
        <v>16.64</v>
      </c>
    </row>
    <row r="246" spans="1:4" ht="16.5" x14ac:dyDescent="0.6">
      <c r="A246" s="11" t="s">
        <v>6</v>
      </c>
      <c r="B246" s="11">
        <v>2006</v>
      </c>
      <c r="C246" s="11" t="s">
        <v>60</v>
      </c>
      <c r="D246" s="12">
        <v>33.04</v>
      </c>
    </row>
    <row r="247" spans="1:4" ht="16.5" x14ac:dyDescent="0.6">
      <c r="A247" s="9" t="s">
        <v>19</v>
      </c>
      <c r="B247" s="9">
        <v>2006</v>
      </c>
      <c r="C247" s="9" t="s">
        <v>60</v>
      </c>
      <c r="D247" s="10">
        <v>3.9</v>
      </c>
    </row>
    <row r="248" spans="1:4" ht="16.5" x14ac:dyDescent="0.6">
      <c r="A248" s="11" t="s">
        <v>23</v>
      </c>
      <c r="B248" s="11">
        <v>2006</v>
      </c>
      <c r="C248" s="11" t="s">
        <v>60</v>
      </c>
      <c r="D248" s="12">
        <v>8.8800000000000008</v>
      </c>
    </row>
    <row r="249" spans="1:4" ht="16.5" x14ac:dyDescent="0.6">
      <c r="A249" s="9" t="s">
        <v>9</v>
      </c>
      <c r="B249" s="9">
        <v>2006</v>
      </c>
      <c r="C249" s="9" t="s">
        <v>60</v>
      </c>
      <c r="D249" s="10">
        <v>0.01</v>
      </c>
    </row>
    <row r="250" spans="1:4" ht="16.5" x14ac:dyDescent="0.6">
      <c r="A250" s="11" t="s">
        <v>12</v>
      </c>
      <c r="B250" s="11">
        <v>2006</v>
      </c>
      <c r="C250" s="11" t="s">
        <v>60</v>
      </c>
      <c r="D250" s="12">
        <v>6.32</v>
      </c>
    </row>
    <row r="251" spans="1:4" ht="16.5" x14ac:dyDescent="0.6">
      <c r="A251" s="9" t="s">
        <v>55</v>
      </c>
      <c r="B251" s="9">
        <v>2007</v>
      </c>
      <c r="C251" s="9" t="s">
        <v>60</v>
      </c>
      <c r="D251" s="10">
        <v>1.51</v>
      </c>
    </row>
    <row r="252" spans="1:4" ht="16.5" x14ac:dyDescent="0.6">
      <c r="A252" s="11" t="s">
        <v>5</v>
      </c>
      <c r="B252" s="11">
        <v>2007</v>
      </c>
      <c r="C252" s="11" t="s">
        <v>60</v>
      </c>
      <c r="D252" s="12">
        <v>77.14</v>
      </c>
    </row>
    <row r="253" spans="1:4" ht="16.5" x14ac:dyDescent="0.6">
      <c r="A253" s="9" t="s">
        <v>8</v>
      </c>
      <c r="B253" s="9">
        <v>2007</v>
      </c>
      <c r="C253" s="9" t="s">
        <v>60</v>
      </c>
      <c r="D253" s="10">
        <v>18.59</v>
      </c>
    </row>
    <row r="254" spans="1:4" ht="16.5" x14ac:dyDescent="0.6">
      <c r="A254" s="11" t="s">
        <v>6</v>
      </c>
      <c r="B254" s="11">
        <v>2007</v>
      </c>
      <c r="C254" s="11" t="s">
        <v>60</v>
      </c>
      <c r="D254" s="12">
        <v>34</v>
      </c>
    </row>
    <row r="255" spans="1:4" ht="16.5" x14ac:dyDescent="0.6">
      <c r="A255" s="9" t="s">
        <v>19</v>
      </c>
      <c r="B255" s="9">
        <v>2007</v>
      </c>
      <c r="C255" s="9" t="s">
        <v>60</v>
      </c>
      <c r="D255" s="10">
        <v>4.12</v>
      </c>
    </row>
    <row r="256" spans="1:4" ht="16.5" x14ac:dyDescent="0.6">
      <c r="A256" s="11" t="s">
        <v>23</v>
      </c>
      <c r="B256" s="11">
        <v>2007</v>
      </c>
      <c r="C256" s="11" t="s">
        <v>60</v>
      </c>
      <c r="D256" s="12">
        <v>9.66</v>
      </c>
    </row>
    <row r="257" spans="1:4" ht="16.5" x14ac:dyDescent="0.6">
      <c r="A257" s="9" t="s">
        <v>9</v>
      </c>
      <c r="B257" s="9">
        <v>2007</v>
      </c>
      <c r="C257" s="9" t="s">
        <v>60</v>
      </c>
      <c r="D257" s="10">
        <v>0.03</v>
      </c>
    </row>
    <row r="258" spans="1:4" ht="16.5" x14ac:dyDescent="0.6">
      <c r="A258" s="11" t="s">
        <v>12</v>
      </c>
      <c r="B258" s="11">
        <v>2007</v>
      </c>
      <c r="C258" s="11" t="s">
        <v>60</v>
      </c>
      <c r="D258" s="12">
        <v>7.84</v>
      </c>
    </row>
    <row r="259" spans="1:4" ht="16.5" x14ac:dyDescent="0.6">
      <c r="A259" s="9" t="s">
        <v>55</v>
      </c>
      <c r="B259" s="9">
        <v>2008</v>
      </c>
      <c r="C259" s="9" t="s">
        <v>60</v>
      </c>
      <c r="D259" s="10">
        <v>2.17</v>
      </c>
    </row>
    <row r="260" spans="1:4" ht="16.5" x14ac:dyDescent="0.6">
      <c r="A260" s="11" t="s">
        <v>5</v>
      </c>
      <c r="B260" s="11">
        <v>2008</v>
      </c>
      <c r="C260" s="11" t="s">
        <v>60</v>
      </c>
      <c r="D260" s="12">
        <v>82.33</v>
      </c>
    </row>
    <row r="261" spans="1:4" ht="16.5" x14ac:dyDescent="0.6">
      <c r="A261" s="9" t="s">
        <v>8</v>
      </c>
      <c r="B261" s="9">
        <v>2008</v>
      </c>
      <c r="C261" s="9" t="s">
        <v>60</v>
      </c>
      <c r="D261" s="10">
        <v>18.649999999999999</v>
      </c>
    </row>
    <row r="262" spans="1:4" ht="16.5" x14ac:dyDescent="0.6">
      <c r="A262" s="11" t="s">
        <v>6</v>
      </c>
      <c r="B262" s="11">
        <v>2008</v>
      </c>
      <c r="C262" s="11" t="s">
        <v>60</v>
      </c>
      <c r="D262" s="12">
        <v>34.69</v>
      </c>
    </row>
    <row r="263" spans="1:4" ht="16.5" x14ac:dyDescent="0.6">
      <c r="A263" s="9" t="s">
        <v>19</v>
      </c>
      <c r="B263" s="9">
        <v>2008</v>
      </c>
      <c r="C263" s="9" t="s">
        <v>60</v>
      </c>
      <c r="D263" s="10">
        <v>4.12</v>
      </c>
    </row>
    <row r="264" spans="1:4" ht="16.5" x14ac:dyDescent="0.6">
      <c r="A264" s="11" t="s">
        <v>23</v>
      </c>
      <c r="B264" s="11">
        <v>2008</v>
      </c>
      <c r="C264" s="11" t="s">
        <v>60</v>
      </c>
      <c r="D264" s="12">
        <v>9.9700000000000006</v>
      </c>
    </row>
    <row r="265" spans="1:4" ht="16.5" x14ac:dyDescent="0.6">
      <c r="A265" s="9" t="s">
        <v>9</v>
      </c>
      <c r="B265" s="9">
        <v>2008</v>
      </c>
      <c r="C265" s="9" t="s">
        <v>60</v>
      </c>
      <c r="D265" s="10">
        <v>0.03</v>
      </c>
    </row>
    <row r="266" spans="1:4" ht="16.5" x14ac:dyDescent="0.6">
      <c r="A266" s="11" t="s">
        <v>12</v>
      </c>
      <c r="B266" s="11">
        <v>2008</v>
      </c>
      <c r="C266" s="11" t="s">
        <v>60</v>
      </c>
      <c r="D266" s="12">
        <v>10.24</v>
      </c>
    </row>
    <row r="267" spans="1:4" ht="16.5" x14ac:dyDescent="0.6">
      <c r="A267" s="9" t="s">
        <v>55</v>
      </c>
      <c r="B267" s="9">
        <v>2009</v>
      </c>
      <c r="C267" s="9" t="s">
        <v>60</v>
      </c>
      <c r="D267" s="10">
        <v>2.46</v>
      </c>
    </row>
    <row r="268" spans="1:4" ht="16.5" x14ac:dyDescent="0.6">
      <c r="A268" s="11" t="s">
        <v>5</v>
      </c>
      <c r="B268" s="11">
        <v>2009</v>
      </c>
      <c r="C268" s="11" t="s">
        <v>60</v>
      </c>
      <c r="D268" s="12">
        <v>87.79</v>
      </c>
    </row>
    <row r="269" spans="1:4" ht="16.5" x14ac:dyDescent="0.6">
      <c r="A269" s="9" t="s">
        <v>8</v>
      </c>
      <c r="B269" s="9">
        <v>2009</v>
      </c>
      <c r="C269" s="9" t="s">
        <v>60</v>
      </c>
      <c r="D269" s="10">
        <v>21.24</v>
      </c>
    </row>
    <row r="270" spans="1:4" ht="16.5" x14ac:dyDescent="0.6">
      <c r="A270" s="11" t="s">
        <v>6</v>
      </c>
      <c r="B270" s="11">
        <v>2009</v>
      </c>
      <c r="C270" s="11" t="s">
        <v>60</v>
      </c>
      <c r="D270" s="12">
        <v>34.78</v>
      </c>
    </row>
    <row r="271" spans="1:4" ht="16.5" x14ac:dyDescent="0.6">
      <c r="A271" s="9" t="s">
        <v>19</v>
      </c>
      <c r="B271" s="9">
        <v>2009</v>
      </c>
      <c r="C271" s="9" t="s">
        <v>60</v>
      </c>
      <c r="D271" s="10">
        <v>4.5599999999999996</v>
      </c>
    </row>
    <row r="272" spans="1:4" ht="16.5" x14ac:dyDescent="0.6">
      <c r="A272" s="11" t="s">
        <v>23</v>
      </c>
      <c r="B272" s="11">
        <v>2009</v>
      </c>
      <c r="C272" s="11" t="s">
        <v>60</v>
      </c>
      <c r="D272" s="12">
        <v>10.53</v>
      </c>
    </row>
    <row r="273" spans="1:4" ht="16.5" x14ac:dyDescent="0.6">
      <c r="A273" s="9" t="s">
        <v>9</v>
      </c>
      <c r="B273" s="9">
        <v>2009</v>
      </c>
      <c r="C273" s="9" t="s">
        <v>60</v>
      </c>
      <c r="D273" s="10">
        <v>0.04</v>
      </c>
    </row>
    <row r="274" spans="1:4" ht="16.5" x14ac:dyDescent="0.6">
      <c r="A274" s="11" t="s">
        <v>12</v>
      </c>
      <c r="B274" s="11">
        <v>2009</v>
      </c>
      <c r="C274" s="11" t="s">
        <v>60</v>
      </c>
      <c r="D274" s="12">
        <v>10.93</v>
      </c>
    </row>
    <row r="275" spans="1:4" ht="16.5" x14ac:dyDescent="0.6">
      <c r="A275" s="9" t="s">
        <v>55</v>
      </c>
      <c r="B275" s="9">
        <v>2010</v>
      </c>
      <c r="C275" s="9" t="s">
        <v>60</v>
      </c>
      <c r="D275" s="10">
        <v>3.08</v>
      </c>
    </row>
    <row r="276" spans="1:4" ht="16.5" x14ac:dyDescent="0.6">
      <c r="A276" s="11" t="s">
        <v>5</v>
      </c>
      <c r="B276" s="11">
        <v>2010</v>
      </c>
      <c r="C276" s="11" t="s">
        <v>60</v>
      </c>
      <c r="D276" s="12">
        <v>99.04</v>
      </c>
    </row>
    <row r="277" spans="1:4" ht="16.5" x14ac:dyDescent="0.6">
      <c r="A277" s="9" t="s">
        <v>8</v>
      </c>
      <c r="B277" s="9">
        <v>2010</v>
      </c>
      <c r="C277" s="9" t="s">
        <v>60</v>
      </c>
      <c r="D277" s="10">
        <v>22.35</v>
      </c>
    </row>
    <row r="278" spans="1:4" ht="16.5" x14ac:dyDescent="0.6">
      <c r="A278" s="11" t="s">
        <v>6</v>
      </c>
      <c r="B278" s="11">
        <v>2010</v>
      </c>
      <c r="C278" s="11" t="s">
        <v>60</v>
      </c>
      <c r="D278" s="12">
        <v>35.869999999999997</v>
      </c>
    </row>
    <row r="279" spans="1:4" ht="16.5" x14ac:dyDescent="0.6">
      <c r="A279" s="9" t="s">
        <v>19</v>
      </c>
      <c r="B279" s="9">
        <v>2010</v>
      </c>
      <c r="C279" s="9" t="s">
        <v>60</v>
      </c>
      <c r="D279" s="10">
        <v>4.78</v>
      </c>
    </row>
    <row r="280" spans="1:4" ht="16.5" x14ac:dyDescent="0.6">
      <c r="A280" s="11" t="s">
        <v>23</v>
      </c>
      <c r="B280" s="11">
        <v>2010</v>
      </c>
      <c r="C280" s="11" t="s">
        <v>60</v>
      </c>
      <c r="D280" s="12">
        <v>10.87</v>
      </c>
    </row>
    <row r="281" spans="1:4" ht="16.5" x14ac:dyDescent="0.6">
      <c r="A281" s="9" t="s">
        <v>9</v>
      </c>
      <c r="B281" s="9">
        <v>2010</v>
      </c>
      <c r="C281" s="9" t="s">
        <v>60</v>
      </c>
      <c r="D281" s="10">
        <v>7.0000000000000007E-2</v>
      </c>
    </row>
    <row r="282" spans="1:4" ht="16.5" x14ac:dyDescent="0.6">
      <c r="A282" s="11" t="s">
        <v>12</v>
      </c>
      <c r="B282" s="11">
        <v>2010</v>
      </c>
      <c r="C282" s="11" t="s">
        <v>60</v>
      </c>
      <c r="D282" s="12">
        <v>13.18</v>
      </c>
    </row>
    <row r="283" spans="1:4" ht="16.5" x14ac:dyDescent="0.6">
      <c r="A283" s="9" t="s">
        <v>55</v>
      </c>
      <c r="B283" s="9">
        <v>2011</v>
      </c>
      <c r="C283" s="9" t="s">
        <v>60</v>
      </c>
      <c r="D283" s="10">
        <v>3.6</v>
      </c>
    </row>
    <row r="284" spans="1:4" ht="16.5" x14ac:dyDescent="0.6">
      <c r="A284" s="11" t="s">
        <v>5</v>
      </c>
      <c r="B284" s="11">
        <v>2011</v>
      </c>
      <c r="C284" s="11" t="s">
        <v>60</v>
      </c>
      <c r="D284" s="12">
        <v>113.4</v>
      </c>
    </row>
    <row r="285" spans="1:4" ht="16.5" x14ac:dyDescent="0.6">
      <c r="A285" s="9" t="s">
        <v>8</v>
      </c>
      <c r="B285" s="9">
        <v>2011</v>
      </c>
      <c r="C285" s="9" t="s">
        <v>60</v>
      </c>
      <c r="D285" s="10">
        <v>24.06</v>
      </c>
    </row>
    <row r="286" spans="1:4" ht="16.5" x14ac:dyDescent="0.6">
      <c r="A286" s="11" t="s">
        <v>6</v>
      </c>
      <c r="B286" s="11">
        <v>2011</v>
      </c>
      <c r="C286" s="11" t="s">
        <v>60</v>
      </c>
      <c r="D286" s="12">
        <v>37.630000000000003</v>
      </c>
    </row>
    <row r="287" spans="1:4" ht="16.5" x14ac:dyDescent="0.6">
      <c r="A287" s="9" t="s">
        <v>19</v>
      </c>
      <c r="B287" s="9">
        <v>2011</v>
      </c>
      <c r="C287" s="9" t="s">
        <v>60</v>
      </c>
      <c r="D287" s="10">
        <v>4.78</v>
      </c>
    </row>
    <row r="288" spans="1:4" ht="16.5" x14ac:dyDescent="0.6">
      <c r="A288" s="11" t="s">
        <v>23</v>
      </c>
      <c r="B288" s="11">
        <v>2011</v>
      </c>
      <c r="C288" s="11" t="s">
        <v>60</v>
      </c>
      <c r="D288" s="12">
        <v>11.16</v>
      </c>
    </row>
    <row r="289" spans="1:4" ht="16.5" x14ac:dyDescent="0.6">
      <c r="A289" s="9" t="s">
        <v>9</v>
      </c>
      <c r="B289" s="9">
        <v>2011</v>
      </c>
      <c r="C289" s="9" t="s">
        <v>60</v>
      </c>
      <c r="D289" s="10">
        <v>0.56999999999999995</v>
      </c>
    </row>
    <row r="290" spans="1:4" ht="16.5" x14ac:dyDescent="0.6">
      <c r="A290" s="11" t="s">
        <v>12</v>
      </c>
      <c r="B290" s="11">
        <v>2011</v>
      </c>
      <c r="C290" s="11" t="s">
        <v>60</v>
      </c>
      <c r="D290" s="12">
        <v>16.18</v>
      </c>
    </row>
    <row r="291" spans="1:4" ht="16.5" x14ac:dyDescent="0.6">
      <c r="A291" s="9" t="s">
        <v>55</v>
      </c>
      <c r="B291" s="9">
        <v>2012</v>
      </c>
      <c r="C291" s="9" t="s">
        <v>60</v>
      </c>
      <c r="D291" s="10">
        <v>3.84</v>
      </c>
    </row>
    <row r="292" spans="1:4" ht="16.5" x14ac:dyDescent="0.6">
      <c r="A292" s="11" t="s">
        <v>5</v>
      </c>
      <c r="B292" s="11">
        <v>2012</v>
      </c>
      <c r="C292" s="11" t="s">
        <v>60</v>
      </c>
      <c r="D292" s="12">
        <v>131.56</v>
      </c>
    </row>
    <row r="293" spans="1:4" ht="16.5" x14ac:dyDescent="0.6">
      <c r="A293" s="9" t="s">
        <v>8</v>
      </c>
      <c r="B293" s="9">
        <v>2012</v>
      </c>
      <c r="C293" s="9" t="s">
        <v>60</v>
      </c>
      <c r="D293" s="10">
        <v>23.75</v>
      </c>
    </row>
    <row r="294" spans="1:4" ht="16.5" x14ac:dyDescent="0.6">
      <c r="A294" s="11" t="s">
        <v>6</v>
      </c>
      <c r="B294" s="11">
        <v>2012</v>
      </c>
      <c r="C294" s="11" t="s">
        <v>60</v>
      </c>
      <c r="D294" s="12">
        <v>38.25</v>
      </c>
    </row>
    <row r="295" spans="1:4" ht="16.5" x14ac:dyDescent="0.6">
      <c r="A295" s="9" t="s">
        <v>19</v>
      </c>
      <c r="B295" s="9">
        <v>2012</v>
      </c>
      <c r="C295" s="9" t="s">
        <v>60</v>
      </c>
      <c r="D295" s="10">
        <v>4.78</v>
      </c>
    </row>
    <row r="296" spans="1:4" ht="16.5" x14ac:dyDescent="0.6">
      <c r="A296" s="11" t="s">
        <v>23</v>
      </c>
      <c r="B296" s="11">
        <v>2012</v>
      </c>
      <c r="C296" s="11" t="s">
        <v>60</v>
      </c>
      <c r="D296" s="12">
        <v>12.14</v>
      </c>
    </row>
    <row r="297" spans="1:4" ht="16.5" x14ac:dyDescent="0.6">
      <c r="A297" s="9" t="s">
        <v>9</v>
      </c>
      <c r="B297" s="9">
        <v>2012</v>
      </c>
      <c r="C297" s="9" t="s">
        <v>60</v>
      </c>
      <c r="D297" s="10">
        <v>0.99</v>
      </c>
    </row>
    <row r="298" spans="1:4" ht="16.5" x14ac:dyDescent="0.6">
      <c r="A298" s="11" t="s">
        <v>12</v>
      </c>
      <c r="B298" s="11">
        <v>2012</v>
      </c>
      <c r="C298" s="11" t="s">
        <v>60</v>
      </c>
      <c r="D298" s="12">
        <v>17.3</v>
      </c>
    </row>
    <row r="299" spans="1:4" ht="16.5" x14ac:dyDescent="0.6">
      <c r="A299" s="9" t="s">
        <v>55</v>
      </c>
      <c r="B299" s="9">
        <v>2013</v>
      </c>
      <c r="C299" s="9" t="s">
        <v>60</v>
      </c>
      <c r="D299" s="10">
        <v>4.08</v>
      </c>
    </row>
    <row r="300" spans="1:4" ht="16.5" x14ac:dyDescent="0.6">
      <c r="A300" s="11" t="s">
        <v>5</v>
      </c>
      <c r="B300" s="11">
        <v>2013</v>
      </c>
      <c r="C300" s="11" t="s">
        <v>60</v>
      </c>
      <c r="D300" s="12">
        <v>149.36000000000001</v>
      </c>
    </row>
    <row r="301" spans="1:4" ht="16.5" x14ac:dyDescent="0.6">
      <c r="A301" s="9" t="s">
        <v>8</v>
      </c>
      <c r="B301" s="9">
        <v>2013</v>
      </c>
      <c r="C301" s="9" t="s">
        <v>60</v>
      </c>
      <c r="D301" s="10">
        <v>26.47</v>
      </c>
    </row>
    <row r="302" spans="1:4" ht="16.5" x14ac:dyDescent="0.6">
      <c r="A302" s="11" t="s">
        <v>6</v>
      </c>
      <c r="B302" s="11">
        <v>2013</v>
      </c>
      <c r="C302" s="11" t="s">
        <v>60</v>
      </c>
      <c r="D302" s="12">
        <v>39.39</v>
      </c>
    </row>
    <row r="303" spans="1:4" ht="16.5" x14ac:dyDescent="0.6">
      <c r="A303" s="9" t="s">
        <v>19</v>
      </c>
      <c r="B303" s="9">
        <v>2013</v>
      </c>
      <c r="C303" s="9" t="s">
        <v>60</v>
      </c>
      <c r="D303" s="10">
        <v>4.78</v>
      </c>
    </row>
    <row r="304" spans="1:4" ht="16.5" x14ac:dyDescent="0.6">
      <c r="A304" s="11" t="s">
        <v>23</v>
      </c>
      <c r="B304" s="11">
        <v>2013</v>
      </c>
      <c r="C304" s="11" t="s">
        <v>60</v>
      </c>
      <c r="D304" s="12">
        <v>12.67</v>
      </c>
    </row>
    <row r="305" spans="1:4" ht="16.5" x14ac:dyDescent="0.6">
      <c r="A305" s="9" t="s">
        <v>9</v>
      </c>
      <c r="B305" s="9">
        <v>2013</v>
      </c>
      <c r="C305" s="9" t="s">
        <v>60</v>
      </c>
      <c r="D305" s="10">
        <v>1.6</v>
      </c>
    </row>
    <row r="306" spans="1:4" ht="16.5" x14ac:dyDescent="0.6">
      <c r="A306" s="11" t="s">
        <v>12</v>
      </c>
      <c r="B306" s="11">
        <v>2013</v>
      </c>
      <c r="C306" s="11" t="s">
        <v>60</v>
      </c>
      <c r="D306" s="12">
        <v>18.420000000000002</v>
      </c>
    </row>
    <row r="307" spans="1:4" ht="16.5" x14ac:dyDescent="0.6">
      <c r="A307" s="9" t="s">
        <v>55</v>
      </c>
      <c r="B307" s="9">
        <v>2014</v>
      </c>
      <c r="C307" s="9" t="s">
        <v>60</v>
      </c>
      <c r="D307" s="10">
        <v>4.91</v>
      </c>
    </row>
    <row r="308" spans="1:4" ht="16.5" x14ac:dyDescent="0.6">
      <c r="A308" s="11" t="s">
        <v>5</v>
      </c>
      <c r="B308" s="11">
        <v>2014</v>
      </c>
      <c r="C308" s="11" t="s">
        <v>60</v>
      </c>
      <c r="D308" s="12">
        <v>169.52</v>
      </c>
    </row>
    <row r="309" spans="1:4" ht="16.5" x14ac:dyDescent="0.6">
      <c r="A309" s="9" t="s">
        <v>8</v>
      </c>
      <c r="B309" s="9">
        <v>2014</v>
      </c>
      <c r="C309" s="9" t="s">
        <v>60</v>
      </c>
      <c r="D309" s="10">
        <v>28.14</v>
      </c>
    </row>
    <row r="310" spans="1:4" ht="16.5" x14ac:dyDescent="0.6">
      <c r="A310" s="11" t="s">
        <v>6</v>
      </c>
      <c r="B310" s="11">
        <v>2014</v>
      </c>
      <c r="C310" s="11" t="s">
        <v>60</v>
      </c>
      <c r="D310" s="12">
        <v>40.619999999999997</v>
      </c>
    </row>
    <row r="311" spans="1:4" ht="16.5" x14ac:dyDescent="0.6">
      <c r="A311" s="9" t="s">
        <v>19</v>
      </c>
      <c r="B311" s="9">
        <v>2014</v>
      </c>
      <c r="C311" s="9" t="s">
        <v>60</v>
      </c>
      <c r="D311" s="10">
        <v>5.78</v>
      </c>
    </row>
    <row r="312" spans="1:4" ht="16.5" x14ac:dyDescent="0.6">
      <c r="A312" s="11" t="s">
        <v>23</v>
      </c>
      <c r="B312" s="11">
        <v>2014</v>
      </c>
      <c r="C312" s="11" t="s">
        <v>60</v>
      </c>
      <c r="D312" s="12">
        <v>13.19</v>
      </c>
    </row>
    <row r="313" spans="1:4" ht="16.5" x14ac:dyDescent="0.6">
      <c r="A313" s="9" t="s">
        <v>9</v>
      </c>
      <c r="B313" s="9">
        <v>2014</v>
      </c>
      <c r="C313" s="9" t="s">
        <v>60</v>
      </c>
      <c r="D313" s="10">
        <v>3.78</v>
      </c>
    </row>
    <row r="314" spans="1:4" ht="16.5" x14ac:dyDescent="0.6">
      <c r="A314" s="11" t="s">
        <v>12</v>
      </c>
      <c r="B314" s="11">
        <v>2014</v>
      </c>
      <c r="C314" s="11" t="s">
        <v>60</v>
      </c>
      <c r="D314" s="12">
        <v>22.47</v>
      </c>
    </row>
    <row r="315" spans="1:4" ht="16.5" x14ac:dyDescent="0.6">
      <c r="A315" s="9" t="s">
        <v>55</v>
      </c>
      <c r="B315" s="9">
        <v>2015</v>
      </c>
      <c r="C315" s="9" t="s">
        <v>60</v>
      </c>
      <c r="D315" s="10">
        <v>5.34</v>
      </c>
    </row>
    <row r="316" spans="1:4" ht="16.5" x14ac:dyDescent="0.6">
      <c r="A316" s="11" t="s">
        <v>5</v>
      </c>
      <c r="B316" s="11">
        <v>2015</v>
      </c>
      <c r="C316" s="11" t="s">
        <v>60</v>
      </c>
      <c r="D316" s="12">
        <v>189.57</v>
      </c>
    </row>
    <row r="317" spans="1:4" ht="16.5" x14ac:dyDescent="0.6">
      <c r="A317" s="9" t="s">
        <v>8</v>
      </c>
      <c r="B317" s="9">
        <v>2015</v>
      </c>
      <c r="C317" s="9" t="s">
        <v>60</v>
      </c>
      <c r="D317" s="10">
        <v>30.17</v>
      </c>
    </row>
    <row r="318" spans="1:4" ht="16.5" x14ac:dyDescent="0.6">
      <c r="A318" s="11" t="s">
        <v>6</v>
      </c>
      <c r="B318" s="11">
        <v>2015</v>
      </c>
      <c r="C318" s="11" t="s">
        <v>60</v>
      </c>
      <c r="D318" s="12">
        <v>42.32</v>
      </c>
    </row>
    <row r="319" spans="1:4" ht="16.5" x14ac:dyDescent="0.6">
      <c r="A319" s="9" t="s">
        <v>19</v>
      </c>
      <c r="B319" s="9">
        <v>2015</v>
      </c>
      <c r="C319" s="9" t="s">
        <v>60</v>
      </c>
      <c r="D319" s="10">
        <v>5.78</v>
      </c>
    </row>
    <row r="320" spans="1:4" ht="16.5" x14ac:dyDescent="0.6">
      <c r="A320" s="11" t="s">
        <v>23</v>
      </c>
      <c r="B320" s="11">
        <v>2015</v>
      </c>
      <c r="C320" s="11" t="s">
        <v>60</v>
      </c>
      <c r="D320" s="12">
        <v>13.39</v>
      </c>
    </row>
    <row r="321" spans="1:4" ht="16.5" x14ac:dyDescent="0.6">
      <c r="A321" s="9" t="s">
        <v>9</v>
      </c>
      <c r="B321" s="9">
        <v>2015</v>
      </c>
      <c r="C321" s="9" t="s">
        <v>60</v>
      </c>
      <c r="D321" s="10">
        <v>5.7</v>
      </c>
    </row>
    <row r="322" spans="1:4" ht="16.5" x14ac:dyDescent="0.6">
      <c r="A322" s="11" t="s">
        <v>12</v>
      </c>
      <c r="B322" s="11">
        <v>2015</v>
      </c>
      <c r="C322" s="11" t="s">
        <v>60</v>
      </c>
      <c r="D322" s="12">
        <v>25.09</v>
      </c>
    </row>
    <row r="323" spans="1:4" ht="16.5" x14ac:dyDescent="0.6">
      <c r="A323" s="9" t="s">
        <v>55</v>
      </c>
      <c r="B323" s="9">
        <v>2016</v>
      </c>
      <c r="C323" s="9" t="s">
        <v>60</v>
      </c>
      <c r="D323" s="10">
        <v>8.76</v>
      </c>
    </row>
    <row r="324" spans="1:4" ht="16.5" x14ac:dyDescent="0.6">
      <c r="A324" s="11" t="s">
        <v>5</v>
      </c>
      <c r="B324" s="11">
        <v>2016</v>
      </c>
      <c r="C324" s="11" t="s">
        <v>60</v>
      </c>
      <c r="D324" s="12">
        <v>207.07</v>
      </c>
    </row>
    <row r="325" spans="1:4" ht="16.5" x14ac:dyDescent="0.6">
      <c r="A325" s="9" t="s">
        <v>8</v>
      </c>
      <c r="B325" s="9">
        <v>2016</v>
      </c>
      <c r="C325" s="9" t="s">
        <v>60</v>
      </c>
      <c r="D325" s="10">
        <v>31.37</v>
      </c>
    </row>
    <row r="326" spans="1:4" ht="16.5" x14ac:dyDescent="0.6">
      <c r="A326" s="11" t="s">
        <v>6</v>
      </c>
      <c r="B326" s="11">
        <v>2016</v>
      </c>
      <c r="C326" s="11" t="s">
        <v>60</v>
      </c>
      <c r="D326" s="12">
        <v>42.84</v>
      </c>
    </row>
    <row r="327" spans="1:4" ht="16.5" x14ac:dyDescent="0.6">
      <c r="A327" s="9" t="s">
        <v>19</v>
      </c>
      <c r="B327" s="9">
        <v>2016</v>
      </c>
      <c r="C327" s="9" t="s">
        <v>60</v>
      </c>
      <c r="D327" s="10">
        <v>5.78</v>
      </c>
    </row>
    <row r="328" spans="1:4" ht="16.5" x14ac:dyDescent="0.6">
      <c r="A328" s="11" t="s">
        <v>23</v>
      </c>
      <c r="B328" s="11">
        <v>2016</v>
      </c>
      <c r="C328" s="11" t="s">
        <v>60</v>
      </c>
      <c r="D328" s="12">
        <v>14.08</v>
      </c>
    </row>
    <row r="329" spans="1:4" ht="16.5" x14ac:dyDescent="0.6">
      <c r="A329" s="9" t="s">
        <v>9</v>
      </c>
      <c r="B329" s="9">
        <v>2016</v>
      </c>
      <c r="C329" s="9" t="s">
        <v>60</v>
      </c>
      <c r="D329" s="10">
        <v>9.98</v>
      </c>
    </row>
    <row r="330" spans="1:4" ht="16.5" x14ac:dyDescent="0.6">
      <c r="A330" s="11" t="s">
        <v>12</v>
      </c>
      <c r="B330" s="11">
        <v>2016</v>
      </c>
      <c r="C330" s="11" t="s">
        <v>60</v>
      </c>
      <c r="D330" s="12">
        <v>28.7</v>
      </c>
    </row>
    <row r="331" spans="1:4" ht="16.5" x14ac:dyDescent="0.6">
      <c r="A331" s="9" t="s">
        <v>55</v>
      </c>
      <c r="B331" s="9">
        <v>2017</v>
      </c>
      <c r="C331" s="9" t="s">
        <v>60</v>
      </c>
      <c r="D331" s="10">
        <v>9.27</v>
      </c>
    </row>
    <row r="332" spans="1:4" ht="16.5" x14ac:dyDescent="0.6">
      <c r="A332" s="11" t="s">
        <v>5</v>
      </c>
      <c r="B332" s="11">
        <v>2017</v>
      </c>
      <c r="C332" s="11" t="s">
        <v>60</v>
      </c>
      <c r="D332" s="12">
        <v>212.46</v>
      </c>
    </row>
    <row r="333" spans="1:4" ht="16.5" x14ac:dyDescent="0.6">
      <c r="A333" s="9" t="s">
        <v>8</v>
      </c>
      <c r="B333" s="9">
        <v>2017</v>
      </c>
      <c r="C333" s="9" t="s">
        <v>60</v>
      </c>
      <c r="D333" s="10">
        <v>32.04</v>
      </c>
    </row>
    <row r="334" spans="1:4" ht="16.5" x14ac:dyDescent="0.6">
      <c r="A334" s="11" t="s">
        <v>6</v>
      </c>
      <c r="B334" s="11">
        <v>2017</v>
      </c>
      <c r="C334" s="11" t="s">
        <v>60</v>
      </c>
      <c r="D334" s="12">
        <v>44.74</v>
      </c>
    </row>
    <row r="335" spans="1:4" ht="16.5" x14ac:dyDescent="0.6">
      <c r="A335" s="9" t="s">
        <v>19</v>
      </c>
      <c r="B335" s="9">
        <v>2017</v>
      </c>
      <c r="C335" s="9" t="s">
        <v>60</v>
      </c>
      <c r="D335" s="10">
        <v>6.78</v>
      </c>
    </row>
    <row r="336" spans="1:4" ht="16.5" x14ac:dyDescent="0.6">
      <c r="A336" s="11" t="s">
        <v>23</v>
      </c>
      <c r="B336" s="11">
        <v>2017</v>
      </c>
      <c r="C336" s="11" t="s">
        <v>60</v>
      </c>
      <c r="D336" s="12">
        <v>14.18</v>
      </c>
    </row>
    <row r="337" spans="1:4" ht="16.5" x14ac:dyDescent="0.6">
      <c r="A337" s="9" t="s">
        <v>9</v>
      </c>
      <c r="B337" s="9">
        <v>2017</v>
      </c>
      <c r="C337" s="9" t="s">
        <v>60</v>
      </c>
      <c r="D337" s="10">
        <v>18.260000000000002</v>
      </c>
    </row>
    <row r="338" spans="1:4" ht="16.5" x14ac:dyDescent="0.6">
      <c r="A338" s="11" t="s">
        <v>12</v>
      </c>
      <c r="B338" s="11">
        <v>2017</v>
      </c>
      <c r="C338" s="11" t="s">
        <v>60</v>
      </c>
      <c r="D338" s="12">
        <v>32.85</v>
      </c>
    </row>
    <row r="339" spans="1:4" ht="16.5" x14ac:dyDescent="0.6">
      <c r="A339" s="9" t="s">
        <v>55</v>
      </c>
      <c r="B339" s="9">
        <v>2018</v>
      </c>
      <c r="C339" s="9" t="s">
        <v>60</v>
      </c>
      <c r="D339" s="10">
        <v>9.98</v>
      </c>
    </row>
    <row r="340" spans="1:4" ht="16.5" x14ac:dyDescent="0.6">
      <c r="A340" s="11" t="s">
        <v>5</v>
      </c>
      <c r="B340" s="11">
        <v>2018</v>
      </c>
      <c r="C340" s="11" t="s">
        <v>60</v>
      </c>
      <c r="D340" s="12">
        <v>217.98</v>
      </c>
    </row>
    <row r="341" spans="1:4" ht="16.5" x14ac:dyDescent="0.6">
      <c r="A341" s="9" t="s">
        <v>8</v>
      </c>
      <c r="B341" s="9">
        <v>2018</v>
      </c>
      <c r="C341" s="9" t="s">
        <v>60</v>
      </c>
      <c r="D341" s="10">
        <v>33.32</v>
      </c>
    </row>
    <row r="342" spans="1:4" ht="16.5" x14ac:dyDescent="0.6">
      <c r="A342" s="11" t="s">
        <v>6</v>
      </c>
      <c r="B342" s="11">
        <v>2018</v>
      </c>
      <c r="C342" s="11" t="s">
        <v>60</v>
      </c>
      <c r="D342" s="12">
        <v>45.32</v>
      </c>
    </row>
    <row r="343" spans="1:4" ht="16.5" x14ac:dyDescent="0.6">
      <c r="A343" s="9" t="s">
        <v>19</v>
      </c>
      <c r="B343" s="9">
        <v>2018</v>
      </c>
      <c r="C343" s="9" t="s">
        <v>60</v>
      </c>
      <c r="D343" s="10">
        <v>6.78</v>
      </c>
    </row>
    <row r="344" spans="1:4" ht="16.5" x14ac:dyDescent="0.6">
      <c r="A344" s="11" t="s">
        <v>23</v>
      </c>
      <c r="B344" s="11">
        <v>2018</v>
      </c>
      <c r="C344" s="11" t="s">
        <v>60</v>
      </c>
      <c r="D344" s="12">
        <v>15.76</v>
      </c>
    </row>
    <row r="345" spans="1:4" ht="16.5" x14ac:dyDescent="0.6">
      <c r="A345" s="9" t="s">
        <v>9</v>
      </c>
      <c r="B345" s="9">
        <v>2018</v>
      </c>
      <c r="C345" s="9" t="s">
        <v>60</v>
      </c>
      <c r="D345" s="10">
        <v>27.48</v>
      </c>
    </row>
    <row r="346" spans="1:4" ht="16.5" x14ac:dyDescent="0.6">
      <c r="A346" s="11" t="s">
        <v>12</v>
      </c>
      <c r="B346" s="11">
        <v>2018</v>
      </c>
      <c r="C346" s="11" t="s">
        <v>60</v>
      </c>
      <c r="D346" s="12">
        <v>35.29</v>
      </c>
    </row>
    <row r="347" spans="1:4" ht="16.5" x14ac:dyDescent="0.6">
      <c r="A347" s="9" t="s">
        <v>55</v>
      </c>
      <c r="B347" s="9">
        <v>2019</v>
      </c>
      <c r="C347" s="9" t="s">
        <v>60</v>
      </c>
      <c r="D347" s="10">
        <v>10.06</v>
      </c>
    </row>
    <row r="348" spans="1:4" ht="16.5" x14ac:dyDescent="0.6">
      <c r="A348" s="11" t="s">
        <v>5</v>
      </c>
      <c r="B348" s="11">
        <v>2019</v>
      </c>
      <c r="C348" s="11" t="s">
        <v>60</v>
      </c>
      <c r="D348" s="12">
        <v>225.62</v>
      </c>
    </row>
    <row r="349" spans="1:4" ht="16.5" x14ac:dyDescent="0.6">
      <c r="A349" s="9" t="s">
        <v>8</v>
      </c>
      <c r="B349" s="9">
        <v>2019</v>
      </c>
      <c r="C349" s="9" t="s">
        <v>60</v>
      </c>
      <c r="D349" s="10">
        <v>32.619999999999997</v>
      </c>
    </row>
    <row r="350" spans="1:4" ht="16.5" x14ac:dyDescent="0.6">
      <c r="A350" s="11" t="s">
        <v>6</v>
      </c>
      <c r="B350" s="11">
        <v>2019</v>
      </c>
      <c r="C350" s="11" t="s">
        <v>60</v>
      </c>
      <c r="D350" s="12">
        <v>45.49</v>
      </c>
    </row>
    <row r="351" spans="1:4" ht="16.5" x14ac:dyDescent="0.6">
      <c r="A351" s="9" t="s">
        <v>19</v>
      </c>
      <c r="B351" s="9">
        <v>2019</v>
      </c>
      <c r="C351" s="9" t="s">
        <v>60</v>
      </c>
      <c r="D351" s="10">
        <v>6.78</v>
      </c>
    </row>
    <row r="352" spans="1:4" ht="16.5" x14ac:dyDescent="0.6">
      <c r="A352" s="11" t="s">
        <v>23</v>
      </c>
      <c r="B352" s="11">
        <v>2019</v>
      </c>
      <c r="C352" s="11" t="s">
        <v>60</v>
      </c>
      <c r="D352" s="12">
        <v>14.15</v>
      </c>
    </row>
    <row r="353" spans="1:4" ht="16.5" x14ac:dyDescent="0.6">
      <c r="A353" s="9" t="s">
        <v>9</v>
      </c>
      <c r="B353" s="9">
        <v>2019</v>
      </c>
      <c r="C353" s="9" t="s">
        <v>60</v>
      </c>
      <c r="D353" s="10">
        <v>35.25</v>
      </c>
    </row>
    <row r="354" spans="1:4" ht="16.5" x14ac:dyDescent="0.6">
      <c r="A354" s="11" t="s">
        <v>12</v>
      </c>
      <c r="B354" s="11">
        <v>2019</v>
      </c>
      <c r="C354" s="11" t="s">
        <v>60</v>
      </c>
      <c r="D354" s="12">
        <v>37.51</v>
      </c>
    </row>
    <row r="355" spans="1:4" ht="16.5" x14ac:dyDescent="0.6">
      <c r="A355" s="9" t="s">
        <v>55</v>
      </c>
      <c r="B355" s="9">
        <v>2020</v>
      </c>
      <c r="C355" s="9" t="s">
        <v>60</v>
      </c>
      <c r="D355" s="10">
        <v>10.35</v>
      </c>
    </row>
    <row r="356" spans="1:4" ht="16.5" x14ac:dyDescent="0.6">
      <c r="A356" s="11" t="s">
        <v>5</v>
      </c>
      <c r="B356" s="11">
        <v>2020</v>
      </c>
      <c r="C356" s="11" t="s">
        <v>60</v>
      </c>
      <c r="D356" s="12">
        <v>225.83</v>
      </c>
    </row>
    <row r="357" spans="1:4" ht="16.5" x14ac:dyDescent="0.6">
      <c r="A357" s="9" t="s">
        <v>8</v>
      </c>
      <c r="B357" s="9">
        <v>2020</v>
      </c>
      <c r="C357" s="9" t="s">
        <v>60</v>
      </c>
      <c r="D357" s="10">
        <v>32.31</v>
      </c>
    </row>
    <row r="358" spans="1:4" ht="16.5" x14ac:dyDescent="0.6">
      <c r="A358" s="11" t="s">
        <v>6</v>
      </c>
      <c r="B358" s="11">
        <v>2020</v>
      </c>
      <c r="C358" s="11" t="s">
        <v>60</v>
      </c>
      <c r="D358" s="12">
        <v>45.98</v>
      </c>
    </row>
    <row r="359" spans="1:4" ht="16.5" x14ac:dyDescent="0.6">
      <c r="A359" s="9" t="s">
        <v>19</v>
      </c>
      <c r="B359" s="9">
        <v>2020</v>
      </c>
      <c r="C359" s="9" t="s">
        <v>60</v>
      </c>
      <c r="D359" s="10">
        <v>6.78</v>
      </c>
    </row>
    <row r="360" spans="1:4" ht="16.5" x14ac:dyDescent="0.6">
      <c r="A360" s="11" t="s">
        <v>23</v>
      </c>
      <c r="B360" s="11">
        <v>2020</v>
      </c>
      <c r="C360" s="11" t="s">
        <v>60</v>
      </c>
      <c r="D360" s="12">
        <v>17.059999999999999</v>
      </c>
    </row>
    <row r="361" spans="1:4" ht="16.5" x14ac:dyDescent="0.6">
      <c r="A361" s="9" t="s">
        <v>9</v>
      </c>
      <c r="B361" s="9">
        <v>2020</v>
      </c>
      <c r="C361" s="9" t="s">
        <v>60</v>
      </c>
      <c r="D361" s="10">
        <v>39.71</v>
      </c>
    </row>
    <row r="362" spans="1:4" ht="16.5" x14ac:dyDescent="0.6">
      <c r="A362" s="11" t="s">
        <v>12</v>
      </c>
      <c r="B362" s="11">
        <v>2020</v>
      </c>
      <c r="C362" s="11" t="s">
        <v>60</v>
      </c>
      <c r="D362" s="12">
        <v>38.56</v>
      </c>
    </row>
    <row r="363" spans="1:4" ht="16.5" x14ac:dyDescent="0.6">
      <c r="A363" s="9" t="s">
        <v>55</v>
      </c>
      <c r="B363" s="9">
        <v>2021</v>
      </c>
      <c r="C363" s="9" t="s">
        <v>60</v>
      </c>
      <c r="D363" s="10">
        <v>10.37</v>
      </c>
    </row>
    <row r="364" spans="1:4" ht="16.5" x14ac:dyDescent="0.6">
      <c r="A364" s="11" t="s">
        <v>5</v>
      </c>
      <c r="B364" s="11">
        <v>2021</v>
      </c>
      <c r="C364" s="11" t="s">
        <v>60</v>
      </c>
      <c r="D364" s="12">
        <v>231.14</v>
      </c>
    </row>
    <row r="365" spans="1:4" ht="16.5" x14ac:dyDescent="0.6">
      <c r="A365" s="9" t="s">
        <v>8</v>
      </c>
      <c r="B365" s="9">
        <v>2021</v>
      </c>
      <c r="C365" s="9" t="s">
        <v>60</v>
      </c>
      <c r="D365" s="10">
        <v>32.29</v>
      </c>
    </row>
    <row r="366" spans="1:4" ht="16.5" x14ac:dyDescent="0.6">
      <c r="A366" s="11" t="s">
        <v>6</v>
      </c>
      <c r="B366" s="11">
        <v>2021</v>
      </c>
      <c r="C366" s="11" t="s">
        <v>60</v>
      </c>
      <c r="D366" s="12">
        <v>46.78</v>
      </c>
    </row>
    <row r="367" spans="1:4" ht="16.5" x14ac:dyDescent="0.6">
      <c r="A367" s="9" t="s">
        <v>19</v>
      </c>
      <c r="B367" s="9">
        <v>2021</v>
      </c>
      <c r="C367" s="9" t="s">
        <v>60</v>
      </c>
      <c r="D367" s="10">
        <v>6.78</v>
      </c>
    </row>
    <row r="368" spans="1:4" ht="16.5" x14ac:dyDescent="0.6">
      <c r="A368" s="11" t="s">
        <v>23</v>
      </c>
      <c r="B368" s="11">
        <v>2021</v>
      </c>
      <c r="C368" s="11" t="s">
        <v>60</v>
      </c>
      <c r="D368" s="12">
        <v>18.39</v>
      </c>
    </row>
    <row r="369" spans="1:4" ht="16.5" x14ac:dyDescent="0.6">
      <c r="A369" s="9" t="s">
        <v>9</v>
      </c>
      <c r="B369" s="9">
        <v>2021</v>
      </c>
      <c r="C369" s="9" t="s">
        <v>60</v>
      </c>
      <c r="D369" s="10">
        <v>49.95</v>
      </c>
    </row>
    <row r="370" spans="1:4" ht="16.5" x14ac:dyDescent="0.6">
      <c r="A370" s="11" t="s">
        <v>12</v>
      </c>
      <c r="B370" s="11">
        <v>2021</v>
      </c>
      <c r="C370" s="11" t="s">
        <v>60</v>
      </c>
      <c r="D370" s="12">
        <v>40.07</v>
      </c>
    </row>
    <row r="371" spans="1:4" ht="16.5" x14ac:dyDescent="0.6">
      <c r="A371" s="9" t="s">
        <v>55</v>
      </c>
      <c r="B371" s="9">
        <v>2022</v>
      </c>
      <c r="C371" s="9" t="s">
        <v>60</v>
      </c>
      <c r="D371" s="10">
        <v>10.41</v>
      </c>
    </row>
    <row r="372" spans="1:4" ht="16.5" x14ac:dyDescent="0.6">
      <c r="A372" s="11" t="s">
        <v>5</v>
      </c>
      <c r="B372" s="11">
        <v>2022</v>
      </c>
      <c r="C372" s="11" t="s">
        <v>60</v>
      </c>
      <c r="D372" s="12">
        <v>232.17</v>
      </c>
    </row>
    <row r="373" spans="1:4" ht="16.5" x14ac:dyDescent="0.6">
      <c r="A373" s="9" t="s">
        <v>8</v>
      </c>
      <c r="B373" s="9">
        <v>2022</v>
      </c>
      <c r="C373" s="9" t="s">
        <v>60</v>
      </c>
      <c r="D373" s="10">
        <v>32.22</v>
      </c>
    </row>
    <row r="374" spans="1:4" ht="16.5" x14ac:dyDescent="0.6">
      <c r="A374" s="11" t="s">
        <v>6</v>
      </c>
      <c r="B374" s="11">
        <v>2022</v>
      </c>
      <c r="C374" s="11" t="s">
        <v>60</v>
      </c>
      <c r="D374" s="12">
        <v>47.22</v>
      </c>
    </row>
    <row r="375" spans="1:4" ht="16.5" x14ac:dyDescent="0.6">
      <c r="A375" s="9" t="s">
        <v>19</v>
      </c>
      <c r="B375" s="9">
        <v>2022</v>
      </c>
      <c r="C375" s="9" t="s">
        <v>60</v>
      </c>
      <c r="D375" s="10">
        <v>6.78</v>
      </c>
    </row>
    <row r="376" spans="1:4" ht="16.5" x14ac:dyDescent="0.6">
      <c r="A376" s="11" t="s">
        <v>23</v>
      </c>
      <c r="B376" s="11">
        <v>2022</v>
      </c>
      <c r="C376" s="11" t="s">
        <v>60</v>
      </c>
      <c r="D376" s="12">
        <v>18.55</v>
      </c>
    </row>
    <row r="377" spans="1:4" ht="16.5" x14ac:dyDescent="0.6">
      <c r="A377" s="9" t="s">
        <v>9</v>
      </c>
      <c r="B377" s="9">
        <v>2022</v>
      </c>
      <c r="C377" s="9" t="s">
        <v>60</v>
      </c>
      <c r="D377" s="10">
        <v>63.39</v>
      </c>
    </row>
    <row r="378" spans="1:4" ht="16.5" x14ac:dyDescent="0.6">
      <c r="A378" s="11" t="s">
        <v>12</v>
      </c>
      <c r="B378" s="11">
        <v>2022</v>
      </c>
      <c r="C378" s="11" t="s">
        <v>60</v>
      </c>
      <c r="D378" s="12">
        <v>41.93</v>
      </c>
    </row>
    <row r="379" spans="1:4" ht="16.5" x14ac:dyDescent="0.6">
      <c r="A379" s="9" t="s">
        <v>55</v>
      </c>
      <c r="B379" s="9">
        <v>2023</v>
      </c>
      <c r="C379" s="9" t="s">
        <v>60</v>
      </c>
      <c r="D379" s="10">
        <v>10.46</v>
      </c>
    </row>
    <row r="380" spans="1:4" ht="16.5" x14ac:dyDescent="0.6">
      <c r="A380" s="11" t="s">
        <v>5</v>
      </c>
      <c r="B380" s="11">
        <v>2023</v>
      </c>
      <c r="C380" s="11" t="s">
        <v>60</v>
      </c>
      <c r="D380" s="12">
        <v>237.64</v>
      </c>
    </row>
    <row r="381" spans="1:4" ht="16.5" x14ac:dyDescent="0.6">
      <c r="A381" s="9" t="s">
        <v>8</v>
      </c>
      <c r="B381" s="9">
        <v>2023</v>
      </c>
      <c r="C381" s="9" t="s">
        <v>60</v>
      </c>
      <c r="D381" s="10">
        <v>32.44</v>
      </c>
    </row>
    <row r="382" spans="1:4" ht="16.5" x14ac:dyDescent="0.6">
      <c r="A382" s="11" t="s">
        <v>6</v>
      </c>
      <c r="B382" s="11">
        <v>2023</v>
      </c>
      <c r="C382" s="11" t="s">
        <v>60</v>
      </c>
      <c r="D382" s="12">
        <v>47.33</v>
      </c>
    </row>
    <row r="383" spans="1:4" ht="16.5" x14ac:dyDescent="0.6">
      <c r="A383" s="9" t="s">
        <v>19</v>
      </c>
      <c r="B383" s="9">
        <v>2023</v>
      </c>
      <c r="C383" s="9" t="s">
        <v>60</v>
      </c>
      <c r="D383" s="10">
        <v>7.48</v>
      </c>
    </row>
    <row r="384" spans="1:4" ht="16.5" x14ac:dyDescent="0.6">
      <c r="A384" s="11" t="s">
        <v>23</v>
      </c>
      <c r="B384" s="11">
        <v>2023</v>
      </c>
      <c r="C384" s="11" t="s">
        <v>60</v>
      </c>
      <c r="D384" s="12">
        <v>18.579999999999998</v>
      </c>
    </row>
    <row r="385" spans="1:4" ht="16.5" x14ac:dyDescent="0.6">
      <c r="A385" s="9" t="s">
        <v>9</v>
      </c>
      <c r="B385" s="9">
        <v>2023</v>
      </c>
      <c r="C385" s="9" t="s">
        <v>60</v>
      </c>
      <c r="D385" s="10">
        <v>73.11</v>
      </c>
    </row>
    <row r="386" spans="1:4" ht="16.5" x14ac:dyDescent="0.6">
      <c r="A386" s="11" t="s">
        <v>12</v>
      </c>
      <c r="B386" s="11">
        <v>2023</v>
      </c>
      <c r="C386" s="11" t="s">
        <v>60</v>
      </c>
      <c r="D386" s="12">
        <v>44.74</v>
      </c>
    </row>
    <row r="387" spans="1:4" ht="16.5" x14ac:dyDescent="0.6">
      <c r="A387" s="9" t="s">
        <v>55</v>
      </c>
      <c r="B387" s="9">
        <v>2000</v>
      </c>
      <c r="C387" s="9" t="s">
        <v>61</v>
      </c>
      <c r="D387" s="10">
        <v>0.37</v>
      </c>
    </row>
    <row r="388" spans="1:4" ht="16.5" x14ac:dyDescent="0.6">
      <c r="A388" s="11" t="s">
        <v>5</v>
      </c>
      <c r="B388" s="11">
        <v>2000</v>
      </c>
      <c r="C388" s="11" t="s">
        <v>61</v>
      </c>
      <c r="D388" s="12">
        <v>362.56</v>
      </c>
    </row>
    <row r="389" spans="1:4" ht="16.5" x14ac:dyDescent="0.6">
      <c r="A389" s="9" t="s">
        <v>8</v>
      </c>
      <c r="B389" s="9">
        <v>2000</v>
      </c>
      <c r="C389" s="9" t="s">
        <v>61</v>
      </c>
      <c r="D389" s="10">
        <v>38.78</v>
      </c>
    </row>
    <row r="390" spans="1:4" ht="16.5" x14ac:dyDescent="0.6">
      <c r="A390" s="11" t="s">
        <v>6</v>
      </c>
      <c r="B390" s="11">
        <v>2000</v>
      </c>
      <c r="C390" s="11" t="s">
        <v>61</v>
      </c>
      <c r="D390" s="12">
        <v>1.83</v>
      </c>
    </row>
    <row r="391" spans="1:4" ht="16.5" x14ac:dyDescent="0.6">
      <c r="A391" s="9" t="s">
        <v>19</v>
      </c>
      <c r="B391" s="9">
        <v>2000</v>
      </c>
      <c r="C391" s="9" t="s">
        <v>61</v>
      </c>
      <c r="D391" s="10">
        <v>0.09</v>
      </c>
    </row>
    <row r="392" spans="1:4" ht="16.5" x14ac:dyDescent="0.6">
      <c r="A392" s="11" t="s">
        <v>23</v>
      </c>
      <c r="B392" s="11">
        <v>2000</v>
      </c>
      <c r="C392" s="11" t="s">
        <v>61</v>
      </c>
      <c r="D392" s="12">
        <v>19.190000000000001</v>
      </c>
    </row>
    <row r="393" spans="1:4" ht="16.5" x14ac:dyDescent="0.6">
      <c r="A393" s="9" t="s">
        <v>9</v>
      </c>
      <c r="B393" s="9">
        <v>2000</v>
      </c>
      <c r="C393" s="9" t="s">
        <v>61</v>
      </c>
      <c r="D393" s="10">
        <v>0</v>
      </c>
    </row>
    <row r="394" spans="1:4" ht="16.5" x14ac:dyDescent="0.6">
      <c r="A394" s="11" t="s">
        <v>12</v>
      </c>
      <c r="B394" s="11">
        <v>2000</v>
      </c>
      <c r="C394" s="11" t="s">
        <v>61</v>
      </c>
      <c r="D394" s="12">
        <v>0.03</v>
      </c>
    </row>
    <row r="395" spans="1:4" ht="16.5" x14ac:dyDescent="0.6">
      <c r="A395" s="9" t="s">
        <v>55</v>
      </c>
      <c r="B395" s="9">
        <v>2001</v>
      </c>
      <c r="C395" s="9" t="s">
        <v>61</v>
      </c>
      <c r="D395" s="10">
        <v>0.45</v>
      </c>
    </row>
    <row r="396" spans="1:4" ht="16.5" x14ac:dyDescent="0.6">
      <c r="A396" s="11" t="s">
        <v>5</v>
      </c>
      <c r="B396" s="11">
        <v>2001</v>
      </c>
      <c r="C396" s="11" t="s">
        <v>61</v>
      </c>
      <c r="D396" s="12">
        <v>379.35</v>
      </c>
    </row>
    <row r="397" spans="1:4" ht="16.5" x14ac:dyDescent="0.6">
      <c r="A397" s="9" t="s">
        <v>8</v>
      </c>
      <c r="B397" s="9">
        <v>2001</v>
      </c>
      <c r="C397" s="9" t="s">
        <v>61</v>
      </c>
      <c r="D397" s="10">
        <v>38.76</v>
      </c>
    </row>
    <row r="398" spans="1:4" ht="16.5" x14ac:dyDescent="0.6">
      <c r="A398" s="11" t="s">
        <v>6</v>
      </c>
      <c r="B398" s="11">
        <v>2001</v>
      </c>
      <c r="C398" s="11" t="s">
        <v>61</v>
      </c>
      <c r="D398" s="12">
        <v>1.71</v>
      </c>
    </row>
    <row r="399" spans="1:4" ht="16.5" x14ac:dyDescent="0.6">
      <c r="A399" s="9" t="s">
        <v>19</v>
      </c>
      <c r="B399" s="9">
        <v>2001</v>
      </c>
      <c r="C399" s="9" t="s">
        <v>61</v>
      </c>
      <c r="D399" s="10">
        <v>0.11</v>
      </c>
    </row>
    <row r="400" spans="1:4" ht="16.5" x14ac:dyDescent="0.6">
      <c r="A400" s="11" t="s">
        <v>23</v>
      </c>
      <c r="B400" s="11">
        <v>2001</v>
      </c>
      <c r="C400" s="11" t="s">
        <v>61</v>
      </c>
      <c r="D400" s="12">
        <v>17.63</v>
      </c>
    </row>
    <row r="401" spans="1:4" ht="16.5" x14ac:dyDescent="0.6">
      <c r="A401" s="9" t="s">
        <v>9</v>
      </c>
      <c r="B401" s="9">
        <v>2001</v>
      </c>
      <c r="C401" s="9" t="s">
        <v>61</v>
      </c>
      <c r="D401" s="10">
        <v>0</v>
      </c>
    </row>
    <row r="402" spans="1:4" ht="16.5" x14ac:dyDescent="0.6">
      <c r="A402" s="11" t="s">
        <v>12</v>
      </c>
      <c r="B402" s="11">
        <v>2001</v>
      </c>
      <c r="C402" s="11" t="s">
        <v>61</v>
      </c>
      <c r="D402" s="12">
        <v>0.03</v>
      </c>
    </row>
    <row r="403" spans="1:4" ht="16.5" x14ac:dyDescent="0.6">
      <c r="A403" s="9" t="s">
        <v>55</v>
      </c>
      <c r="B403" s="9">
        <v>2002</v>
      </c>
      <c r="C403" s="9" t="s">
        <v>61</v>
      </c>
      <c r="D403" s="10">
        <v>0.46</v>
      </c>
    </row>
    <row r="404" spans="1:4" ht="16.5" x14ac:dyDescent="0.6">
      <c r="A404" s="11" t="s">
        <v>5</v>
      </c>
      <c r="B404" s="11">
        <v>2002</v>
      </c>
      <c r="C404" s="11" t="s">
        <v>61</v>
      </c>
      <c r="D404" s="12">
        <v>396.55</v>
      </c>
    </row>
    <row r="405" spans="1:4" ht="16.5" x14ac:dyDescent="0.6">
      <c r="A405" s="9" t="s">
        <v>8</v>
      </c>
      <c r="B405" s="9">
        <v>2002</v>
      </c>
      <c r="C405" s="9" t="s">
        <v>61</v>
      </c>
      <c r="D405" s="10">
        <v>43.58</v>
      </c>
    </row>
    <row r="406" spans="1:4" ht="16.5" x14ac:dyDescent="0.6">
      <c r="A406" s="11" t="s">
        <v>6</v>
      </c>
      <c r="B406" s="11">
        <v>2002</v>
      </c>
      <c r="C406" s="11" t="s">
        <v>61</v>
      </c>
      <c r="D406" s="12">
        <v>1.63</v>
      </c>
    </row>
    <row r="407" spans="1:4" ht="16.5" x14ac:dyDescent="0.6">
      <c r="A407" s="9" t="s">
        <v>19</v>
      </c>
      <c r="B407" s="9">
        <v>2002</v>
      </c>
      <c r="C407" s="9" t="s">
        <v>61</v>
      </c>
      <c r="D407" s="10">
        <v>0.11</v>
      </c>
    </row>
    <row r="408" spans="1:4" ht="16.5" x14ac:dyDescent="0.6">
      <c r="A408" s="11" t="s">
        <v>23</v>
      </c>
      <c r="B408" s="11">
        <v>2002</v>
      </c>
      <c r="C408" s="11" t="s">
        <v>61</v>
      </c>
      <c r="D408" s="12">
        <v>18.38</v>
      </c>
    </row>
    <row r="409" spans="1:4" ht="16.5" x14ac:dyDescent="0.6">
      <c r="A409" s="9" t="s">
        <v>9</v>
      </c>
      <c r="B409" s="9">
        <v>2002</v>
      </c>
      <c r="C409" s="9" t="s">
        <v>61</v>
      </c>
      <c r="D409" s="10">
        <v>0</v>
      </c>
    </row>
    <row r="410" spans="1:4" ht="16.5" x14ac:dyDescent="0.6">
      <c r="A410" s="11" t="s">
        <v>12</v>
      </c>
      <c r="B410" s="11">
        <v>2002</v>
      </c>
      <c r="C410" s="11" t="s">
        <v>61</v>
      </c>
      <c r="D410" s="12">
        <v>0.03</v>
      </c>
    </row>
    <row r="411" spans="1:4" ht="16.5" x14ac:dyDescent="0.6">
      <c r="A411" s="9" t="s">
        <v>55</v>
      </c>
      <c r="B411" s="9">
        <v>2003</v>
      </c>
      <c r="C411" s="9" t="s">
        <v>61</v>
      </c>
      <c r="D411" s="10">
        <v>0.59</v>
      </c>
    </row>
    <row r="412" spans="1:4" ht="16.5" x14ac:dyDescent="0.6">
      <c r="A412" s="11" t="s">
        <v>5</v>
      </c>
      <c r="B412" s="11">
        <v>2003</v>
      </c>
      <c r="C412" s="11" t="s">
        <v>61</v>
      </c>
      <c r="D412" s="12">
        <v>410.39</v>
      </c>
    </row>
    <row r="413" spans="1:4" ht="16.5" x14ac:dyDescent="0.6">
      <c r="A413" s="9" t="s">
        <v>8</v>
      </c>
      <c r="B413" s="9">
        <v>2003</v>
      </c>
      <c r="C413" s="9" t="s">
        <v>61</v>
      </c>
      <c r="D413" s="10">
        <v>50.46</v>
      </c>
    </row>
    <row r="414" spans="1:4" ht="16.5" x14ac:dyDescent="0.6">
      <c r="A414" s="11" t="s">
        <v>6</v>
      </c>
      <c r="B414" s="11">
        <v>2003</v>
      </c>
      <c r="C414" s="11" t="s">
        <v>61</v>
      </c>
      <c r="D414" s="12">
        <v>1.65</v>
      </c>
    </row>
    <row r="415" spans="1:4" ht="16.5" x14ac:dyDescent="0.6">
      <c r="A415" s="9" t="s">
        <v>19</v>
      </c>
      <c r="B415" s="9">
        <v>2003</v>
      </c>
      <c r="C415" s="9" t="s">
        <v>61</v>
      </c>
      <c r="D415" s="10">
        <v>0.11</v>
      </c>
    </row>
    <row r="416" spans="1:4" ht="16.5" x14ac:dyDescent="0.6">
      <c r="A416" s="11" t="s">
        <v>23</v>
      </c>
      <c r="B416" s="11">
        <v>2003</v>
      </c>
      <c r="C416" s="11" t="s">
        <v>61</v>
      </c>
      <c r="D416" s="12">
        <v>20.46</v>
      </c>
    </row>
    <row r="417" spans="1:4" ht="16.5" x14ac:dyDescent="0.6">
      <c r="A417" s="9" t="s">
        <v>9</v>
      </c>
      <c r="B417" s="9">
        <v>2003</v>
      </c>
      <c r="C417" s="9" t="s">
        <v>61</v>
      </c>
      <c r="D417" s="10">
        <v>0</v>
      </c>
    </row>
    <row r="418" spans="1:4" ht="16.5" x14ac:dyDescent="0.6">
      <c r="A418" s="11" t="s">
        <v>12</v>
      </c>
      <c r="B418" s="11">
        <v>2003</v>
      </c>
      <c r="C418" s="11" t="s">
        <v>61</v>
      </c>
      <c r="D418" s="12">
        <v>0.04</v>
      </c>
    </row>
    <row r="419" spans="1:4" ht="16.5" x14ac:dyDescent="0.6">
      <c r="A419" s="9" t="s">
        <v>55</v>
      </c>
      <c r="B419" s="9">
        <v>2004</v>
      </c>
      <c r="C419" s="9" t="s">
        <v>61</v>
      </c>
      <c r="D419" s="10">
        <v>0.72</v>
      </c>
    </row>
    <row r="420" spans="1:4" ht="16.5" x14ac:dyDescent="0.6">
      <c r="A420" s="11" t="s">
        <v>5</v>
      </c>
      <c r="B420" s="11">
        <v>2004</v>
      </c>
      <c r="C420" s="11" t="s">
        <v>61</v>
      </c>
      <c r="D420" s="12">
        <v>430.44</v>
      </c>
    </row>
    <row r="421" spans="1:4" ht="16.5" x14ac:dyDescent="0.6">
      <c r="A421" s="9" t="s">
        <v>8</v>
      </c>
      <c r="B421" s="9">
        <v>2004</v>
      </c>
      <c r="C421" s="9" t="s">
        <v>61</v>
      </c>
      <c r="D421" s="10">
        <v>53.08</v>
      </c>
    </row>
    <row r="422" spans="1:4" ht="16.5" x14ac:dyDescent="0.6">
      <c r="A422" s="11" t="s">
        <v>6</v>
      </c>
      <c r="B422" s="11">
        <v>2004</v>
      </c>
      <c r="C422" s="11" t="s">
        <v>61</v>
      </c>
      <c r="D422" s="12">
        <v>2.39</v>
      </c>
    </row>
    <row r="423" spans="1:4" ht="16.5" x14ac:dyDescent="0.6">
      <c r="A423" s="9" t="s">
        <v>19</v>
      </c>
      <c r="B423" s="9">
        <v>2004</v>
      </c>
      <c r="C423" s="9" t="s">
        <v>61</v>
      </c>
      <c r="D423" s="10">
        <v>0.13</v>
      </c>
    </row>
    <row r="424" spans="1:4" ht="16.5" x14ac:dyDescent="0.6">
      <c r="A424" s="11" t="s">
        <v>23</v>
      </c>
      <c r="B424" s="11">
        <v>2004</v>
      </c>
      <c r="C424" s="11" t="s">
        <v>61</v>
      </c>
      <c r="D424" s="12">
        <v>18.600000000000001</v>
      </c>
    </row>
    <row r="425" spans="1:4" ht="16.5" x14ac:dyDescent="0.6">
      <c r="A425" s="9" t="s">
        <v>9</v>
      </c>
      <c r="B425" s="9">
        <v>2004</v>
      </c>
      <c r="C425" s="9" t="s">
        <v>61</v>
      </c>
      <c r="D425" s="10">
        <v>0</v>
      </c>
    </row>
    <row r="426" spans="1:4" ht="16.5" x14ac:dyDescent="0.6">
      <c r="A426" s="11" t="s">
        <v>12</v>
      </c>
      <c r="B426" s="11">
        <v>2004</v>
      </c>
      <c r="C426" s="11" t="s">
        <v>61</v>
      </c>
      <c r="D426" s="12">
        <v>0.08</v>
      </c>
    </row>
    <row r="427" spans="1:4" ht="16.5" x14ac:dyDescent="0.6">
      <c r="A427" s="9" t="s">
        <v>55</v>
      </c>
      <c r="B427" s="9">
        <v>2005</v>
      </c>
      <c r="C427" s="9" t="s">
        <v>61</v>
      </c>
      <c r="D427" s="10">
        <v>0.87</v>
      </c>
    </row>
    <row r="428" spans="1:4" ht="16.5" x14ac:dyDescent="0.6">
      <c r="A428" s="11" t="s">
        <v>5</v>
      </c>
      <c r="B428" s="11">
        <v>2005</v>
      </c>
      <c r="C428" s="11" t="s">
        <v>61</v>
      </c>
      <c r="D428" s="12">
        <v>444.76</v>
      </c>
    </row>
    <row r="429" spans="1:4" ht="16.5" x14ac:dyDescent="0.6">
      <c r="A429" s="9" t="s">
        <v>8</v>
      </c>
      <c r="B429" s="9">
        <v>2005</v>
      </c>
      <c r="C429" s="9" t="s">
        <v>61</v>
      </c>
      <c r="D429" s="10">
        <v>52.31</v>
      </c>
    </row>
    <row r="430" spans="1:4" ht="16.5" x14ac:dyDescent="0.6">
      <c r="A430" s="11" t="s">
        <v>6</v>
      </c>
      <c r="B430" s="11">
        <v>2005</v>
      </c>
      <c r="C430" s="11" t="s">
        <v>61</v>
      </c>
      <c r="D430" s="12">
        <v>2.31</v>
      </c>
    </row>
    <row r="431" spans="1:4" ht="16.5" x14ac:dyDescent="0.6">
      <c r="A431" s="9" t="s">
        <v>19</v>
      </c>
      <c r="B431" s="9">
        <v>2005</v>
      </c>
      <c r="C431" s="9" t="s">
        <v>61</v>
      </c>
      <c r="D431" s="10">
        <v>0.1</v>
      </c>
    </row>
    <row r="432" spans="1:4" ht="16.5" x14ac:dyDescent="0.6">
      <c r="A432" s="11" t="s">
        <v>23</v>
      </c>
      <c r="B432" s="11">
        <v>2005</v>
      </c>
      <c r="C432" s="11" t="s">
        <v>61</v>
      </c>
      <c r="D432" s="12">
        <v>16.690000000000001</v>
      </c>
    </row>
    <row r="433" spans="1:4" ht="16.5" x14ac:dyDescent="0.6">
      <c r="A433" s="9" t="s">
        <v>9</v>
      </c>
      <c r="B433" s="9">
        <v>2005</v>
      </c>
      <c r="C433" s="9" t="s">
        <v>61</v>
      </c>
      <c r="D433" s="10">
        <v>0</v>
      </c>
    </row>
    <row r="434" spans="1:4" ht="16.5" x14ac:dyDescent="0.6">
      <c r="A434" s="11" t="s">
        <v>12</v>
      </c>
      <c r="B434" s="11">
        <v>2005</v>
      </c>
      <c r="C434" s="11" t="s">
        <v>61</v>
      </c>
      <c r="D434" s="12">
        <v>0.1</v>
      </c>
    </row>
    <row r="435" spans="1:4" ht="16.5" x14ac:dyDescent="0.6">
      <c r="A435" s="9" t="s">
        <v>55</v>
      </c>
      <c r="B435" s="9">
        <v>2006</v>
      </c>
      <c r="C435" s="9" t="s">
        <v>61</v>
      </c>
      <c r="D435" s="10">
        <v>1.21</v>
      </c>
    </row>
    <row r="436" spans="1:4" ht="16.5" x14ac:dyDescent="0.6">
      <c r="A436" s="11" t="s">
        <v>5</v>
      </c>
      <c r="B436" s="11">
        <v>2006</v>
      </c>
      <c r="C436" s="11" t="s">
        <v>61</v>
      </c>
      <c r="D436" s="12">
        <v>469.78</v>
      </c>
    </row>
    <row r="437" spans="1:4" ht="16.5" x14ac:dyDescent="0.6">
      <c r="A437" s="9" t="s">
        <v>8</v>
      </c>
      <c r="B437" s="9">
        <v>2006</v>
      </c>
      <c r="C437" s="9" t="s">
        <v>61</v>
      </c>
      <c r="D437" s="10">
        <v>51.77</v>
      </c>
    </row>
    <row r="438" spans="1:4" ht="16.5" x14ac:dyDescent="0.6">
      <c r="A438" s="11" t="s">
        <v>6</v>
      </c>
      <c r="B438" s="11">
        <v>2006</v>
      </c>
      <c r="C438" s="11" t="s">
        <v>61</v>
      </c>
      <c r="D438" s="12">
        <v>2.68</v>
      </c>
    </row>
    <row r="439" spans="1:4" ht="16.5" x14ac:dyDescent="0.6">
      <c r="A439" s="9" t="s">
        <v>19</v>
      </c>
      <c r="B439" s="9">
        <v>2006</v>
      </c>
      <c r="C439" s="9" t="s">
        <v>61</v>
      </c>
      <c r="D439" s="10">
        <v>0.1</v>
      </c>
    </row>
    <row r="440" spans="1:4" ht="16.5" x14ac:dyDescent="0.6">
      <c r="A440" s="11" t="s">
        <v>23</v>
      </c>
      <c r="B440" s="11">
        <v>2006</v>
      </c>
      <c r="C440" s="11" t="s">
        <v>61</v>
      </c>
      <c r="D440" s="12">
        <v>12.55</v>
      </c>
    </row>
    <row r="441" spans="1:4" ht="16.5" x14ac:dyDescent="0.6">
      <c r="A441" s="9" t="s">
        <v>9</v>
      </c>
      <c r="B441" s="9">
        <v>2006</v>
      </c>
      <c r="C441" s="9" t="s">
        <v>61</v>
      </c>
      <c r="D441" s="10">
        <v>0</v>
      </c>
    </row>
    <row r="442" spans="1:4" ht="16.5" x14ac:dyDescent="0.6">
      <c r="A442" s="11" t="s">
        <v>12</v>
      </c>
      <c r="B442" s="11">
        <v>2006</v>
      </c>
      <c r="C442" s="11" t="s">
        <v>61</v>
      </c>
      <c r="D442" s="12">
        <v>0.15</v>
      </c>
    </row>
    <row r="443" spans="1:4" ht="16.5" x14ac:dyDescent="0.6">
      <c r="A443" s="9" t="s">
        <v>55</v>
      </c>
      <c r="B443" s="9">
        <v>2007</v>
      </c>
      <c r="C443" s="9" t="s">
        <v>61</v>
      </c>
      <c r="D443" s="10">
        <v>1.6</v>
      </c>
    </row>
    <row r="444" spans="1:4" ht="16.5" x14ac:dyDescent="0.6">
      <c r="A444" s="11" t="s">
        <v>5</v>
      </c>
      <c r="B444" s="11">
        <v>2007</v>
      </c>
      <c r="C444" s="11" t="s">
        <v>61</v>
      </c>
      <c r="D444" s="12">
        <v>495.61</v>
      </c>
    </row>
    <row r="445" spans="1:4" ht="16.5" x14ac:dyDescent="0.6">
      <c r="A445" s="9" t="s">
        <v>8</v>
      </c>
      <c r="B445" s="9">
        <v>2007</v>
      </c>
      <c r="C445" s="9" t="s">
        <v>61</v>
      </c>
      <c r="D445" s="10">
        <v>62.41</v>
      </c>
    </row>
    <row r="446" spans="1:4" ht="16.5" x14ac:dyDescent="0.6">
      <c r="A446" s="11" t="s">
        <v>6</v>
      </c>
      <c r="B446" s="11">
        <v>2007</v>
      </c>
      <c r="C446" s="11" t="s">
        <v>61</v>
      </c>
      <c r="D446" s="12">
        <v>2.91</v>
      </c>
    </row>
    <row r="447" spans="1:4" ht="16.5" x14ac:dyDescent="0.6">
      <c r="A447" s="9" t="s">
        <v>19</v>
      </c>
      <c r="B447" s="9">
        <v>2007</v>
      </c>
      <c r="C447" s="9" t="s">
        <v>61</v>
      </c>
      <c r="D447" s="10">
        <v>0.1</v>
      </c>
    </row>
    <row r="448" spans="1:4" ht="16.5" x14ac:dyDescent="0.6">
      <c r="A448" s="11" t="s">
        <v>23</v>
      </c>
      <c r="B448" s="11">
        <v>2007</v>
      </c>
      <c r="C448" s="11" t="s">
        <v>61</v>
      </c>
      <c r="D448" s="12">
        <v>8.7899999999999991</v>
      </c>
    </row>
    <row r="449" spans="1:4" ht="16.5" x14ac:dyDescent="0.6">
      <c r="A449" s="9" t="s">
        <v>9</v>
      </c>
      <c r="B449" s="9">
        <v>2007</v>
      </c>
      <c r="C449" s="9" t="s">
        <v>61</v>
      </c>
      <c r="D449" s="10">
        <v>0</v>
      </c>
    </row>
    <row r="450" spans="1:4" ht="16.5" x14ac:dyDescent="0.6">
      <c r="A450" s="11" t="s">
        <v>12</v>
      </c>
      <c r="B450" s="11">
        <v>2007</v>
      </c>
      <c r="C450" s="11" t="s">
        <v>61</v>
      </c>
      <c r="D450" s="12">
        <v>0.19</v>
      </c>
    </row>
    <row r="451" spans="1:4" ht="16.5" x14ac:dyDescent="0.6">
      <c r="A451" s="9" t="s">
        <v>55</v>
      </c>
      <c r="B451" s="9">
        <v>2008</v>
      </c>
      <c r="C451" s="9" t="s">
        <v>61</v>
      </c>
      <c r="D451" s="10">
        <v>2.0099999999999998</v>
      </c>
    </row>
    <row r="452" spans="1:4" ht="16.5" x14ac:dyDescent="0.6">
      <c r="A452" s="11" t="s">
        <v>5</v>
      </c>
      <c r="B452" s="11">
        <v>2008</v>
      </c>
      <c r="C452" s="11" t="s">
        <v>61</v>
      </c>
      <c r="D452" s="12">
        <v>532.65</v>
      </c>
    </row>
    <row r="453" spans="1:4" ht="16.5" x14ac:dyDescent="0.6">
      <c r="A453" s="9" t="s">
        <v>8</v>
      </c>
      <c r="B453" s="9">
        <v>2008</v>
      </c>
      <c r="C453" s="9" t="s">
        <v>61</v>
      </c>
      <c r="D453" s="10">
        <v>59.52</v>
      </c>
    </row>
    <row r="454" spans="1:4" ht="16.5" x14ac:dyDescent="0.6">
      <c r="A454" s="11" t="s">
        <v>6</v>
      </c>
      <c r="B454" s="11">
        <v>2008</v>
      </c>
      <c r="C454" s="11" t="s">
        <v>61</v>
      </c>
      <c r="D454" s="12">
        <v>2.74</v>
      </c>
    </row>
    <row r="455" spans="1:4" ht="16.5" x14ac:dyDescent="0.6">
      <c r="A455" s="9" t="s">
        <v>19</v>
      </c>
      <c r="B455" s="9">
        <v>2008</v>
      </c>
      <c r="C455" s="9" t="s">
        <v>61</v>
      </c>
      <c r="D455" s="10">
        <v>0.09</v>
      </c>
    </row>
    <row r="456" spans="1:4" ht="16.5" x14ac:dyDescent="0.6">
      <c r="A456" s="11" t="s">
        <v>23</v>
      </c>
      <c r="B456" s="11">
        <v>2008</v>
      </c>
      <c r="C456" s="11" t="s">
        <v>61</v>
      </c>
      <c r="D456" s="12">
        <v>10.050000000000001</v>
      </c>
    </row>
    <row r="457" spans="1:4" ht="16.5" x14ac:dyDescent="0.6">
      <c r="A457" s="9" t="s">
        <v>9</v>
      </c>
      <c r="B457" s="9">
        <v>2008</v>
      </c>
      <c r="C457" s="9" t="s">
        <v>61</v>
      </c>
      <c r="D457" s="10">
        <v>0</v>
      </c>
    </row>
    <row r="458" spans="1:4" ht="16.5" x14ac:dyDescent="0.6">
      <c r="A458" s="11" t="s">
        <v>12</v>
      </c>
      <c r="B458" s="11">
        <v>2008</v>
      </c>
      <c r="C458" s="11" t="s">
        <v>61</v>
      </c>
      <c r="D458" s="12">
        <v>0.23</v>
      </c>
    </row>
    <row r="459" spans="1:4" ht="16.5" x14ac:dyDescent="0.6">
      <c r="A459" s="9" t="s">
        <v>55</v>
      </c>
      <c r="B459" s="9">
        <v>2009</v>
      </c>
      <c r="C459" s="9" t="s">
        <v>61</v>
      </c>
      <c r="D459" s="10">
        <v>2.52</v>
      </c>
    </row>
    <row r="460" spans="1:4" ht="16.5" x14ac:dyDescent="0.6">
      <c r="A460" s="11" t="s">
        <v>5</v>
      </c>
      <c r="B460" s="11">
        <v>2009</v>
      </c>
      <c r="C460" s="11" t="s">
        <v>61</v>
      </c>
      <c r="D460" s="12">
        <v>568.04999999999995</v>
      </c>
    </row>
    <row r="461" spans="1:4" ht="16.5" x14ac:dyDescent="0.6">
      <c r="A461" s="9" t="s">
        <v>8</v>
      </c>
      <c r="B461" s="9">
        <v>2009</v>
      </c>
      <c r="C461" s="9" t="s">
        <v>61</v>
      </c>
      <c r="D461" s="10">
        <v>72.34</v>
      </c>
    </row>
    <row r="462" spans="1:4" ht="16.5" x14ac:dyDescent="0.6">
      <c r="A462" s="11" t="s">
        <v>6</v>
      </c>
      <c r="B462" s="11">
        <v>2009</v>
      </c>
      <c r="C462" s="11" t="s">
        <v>61</v>
      </c>
      <c r="D462" s="12">
        <v>2.5299999999999998</v>
      </c>
    </row>
    <row r="463" spans="1:4" ht="16.5" x14ac:dyDescent="0.6">
      <c r="A463" s="9" t="s">
        <v>19</v>
      </c>
      <c r="B463" s="9">
        <v>2009</v>
      </c>
      <c r="C463" s="9" t="s">
        <v>61</v>
      </c>
      <c r="D463" s="10">
        <v>0.1</v>
      </c>
    </row>
    <row r="464" spans="1:4" ht="16.5" x14ac:dyDescent="0.6">
      <c r="A464" s="11" t="s">
        <v>23</v>
      </c>
      <c r="B464" s="11">
        <v>2009</v>
      </c>
      <c r="C464" s="11" t="s">
        <v>61</v>
      </c>
      <c r="D464" s="12">
        <v>8.61</v>
      </c>
    </row>
    <row r="465" spans="1:4" ht="16.5" x14ac:dyDescent="0.6">
      <c r="A465" s="9" t="s">
        <v>9</v>
      </c>
      <c r="B465" s="9">
        <v>2009</v>
      </c>
      <c r="C465" s="9" t="s">
        <v>61</v>
      </c>
      <c r="D465" s="10">
        <v>0</v>
      </c>
    </row>
    <row r="466" spans="1:4" ht="16.5" x14ac:dyDescent="0.6">
      <c r="A466" s="11" t="s">
        <v>12</v>
      </c>
      <c r="B466" s="11">
        <v>2009</v>
      </c>
      <c r="C466" s="11" t="s">
        <v>61</v>
      </c>
      <c r="D466" s="12">
        <v>0.26</v>
      </c>
    </row>
    <row r="467" spans="1:4" ht="16.5" x14ac:dyDescent="0.6">
      <c r="A467" s="9" t="s">
        <v>55</v>
      </c>
      <c r="B467" s="9">
        <v>2010</v>
      </c>
      <c r="C467" s="9" t="s">
        <v>61</v>
      </c>
      <c r="D467" s="10">
        <v>3.09</v>
      </c>
    </row>
    <row r="468" spans="1:4" ht="16.5" x14ac:dyDescent="0.6">
      <c r="A468" s="11" t="s">
        <v>5</v>
      </c>
      <c r="B468" s="11">
        <v>2010</v>
      </c>
      <c r="C468" s="11" t="s">
        <v>61</v>
      </c>
      <c r="D468" s="12">
        <v>597.6</v>
      </c>
    </row>
    <row r="469" spans="1:4" ht="16.5" x14ac:dyDescent="0.6">
      <c r="A469" s="9" t="s">
        <v>8</v>
      </c>
      <c r="B469" s="9">
        <v>2010</v>
      </c>
      <c r="C469" s="9" t="s">
        <v>61</v>
      </c>
      <c r="D469" s="10">
        <v>81.8</v>
      </c>
    </row>
    <row r="470" spans="1:4" ht="16.5" x14ac:dyDescent="0.6">
      <c r="A470" s="11" t="s">
        <v>6</v>
      </c>
      <c r="B470" s="11">
        <v>2010</v>
      </c>
      <c r="C470" s="11" t="s">
        <v>61</v>
      </c>
      <c r="D470" s="12">
        <v>2.58</v>
      </c>
    </row>
    <row r="471" spans="1:4" ht="16.5" x14ac:dyDescent="0.6">
      <c r="A471" s="9" t="s">
        <v>19</v>
      </c>
      <c r="B471" s="9">
        <v>2010</v>
      </c>
      <c r="C471" s="9" t="s">
        <v>61</v>
      </c>
      <c r="D471" s="10">
        <v>0.14000000000000001</v>
      </c>
    </row>
    <row r="472" spans="1:4" ht="16.5" x14ac:dyDescent="0.6">
      <c r="A472" s="11" t="s">
        <v>23</v>
      </c>
      <c r="B472" s="11">
        <v>2010</v>
      </c>
      <c r="C472" s="11" t="s">
        <v>61</v>
      </c>
      <c r="D472" s="12">
        <v>7.09</v>
      </c>
    </row>
    <row r="473" spans="1:4" ht="16.5" x14ac:dyDescent="0.6">
      <c r="A473" s="9" t="s">
        <v>9</v>
      </c>
      <c r="B473" s="9">
        <v>2010</v>
      </c>
      <c r="C473" s="9" t="s">
        <v>61</v>
      </c>
      <c r="D473" s="10">
        <v>0.01</v>
      </c>
    </row>
    <row r="474" spans="1:4" ht="16.5" x14ac:dyDescent="0.6">
      <c r="A474" s="11" t="s">
        <v>12</v>
      </c>
      <c r="B474" s="11">
        <v>2010</v>
      </c>
      <c r="C474" s="11" t="s">
        <v>61</v>
      </c>
      <c r="D474" s="12">
        <v>0.31</v>
      </c>
    </row>
    <row r="475" spans="1:4" ht="16.5" x14ac:dyDescent="0.6">
      <c r="A475" s="9" t="s">
        <v>55</v>
      </c>
      <c r="B475" s="9">
        <v>2011</v>
      </c>
      <c r="C475" s="9" t="s">
        <v>61</v>
      </c>
      <c r="D475" s="10">
        <v>3.71</v>
      </c>
    </row>
    <row r="476" spans="1:4" ht="16.5" x14ac:dyDescent="0.6">
      <c r="A476" s="11" t="s">
        <v>5</v>
      </c>
      <c r="B476" s="11">
        <v>2011</v>
      </c>
      <c r="C476" s="11" t="s">
        <v>61</v>
      </c>
      <c r="D476" s="12">
        <v>650.73</v>
      </c>
    </row>
    <row r="477" spans="1:4" ht="16.5" x14ac:dyDescent="0.6">
      <c r="A477" s="9" t="s">
        <v>8</v>
      </c>
      <c r="B477" s="9">
        <v>2011</v>
      </c>
      <c r="C477" s="9" t="s">
        <v>61</v>
      </c>
      <c r="D477" s="10">
        <v>81.48</v>
      </c>
    </row>
    <row r="478" spans="1:4" ht="16.5" x14ac:dyDescent="0.6">
      <c r="A478" s="11" t="s">
        <v>6</v>
      </c>
      <c r="B478" s="11">
        <v>2011</v>
      </c>
      <c r="C478" s="11" t="s">
        <v>61</v>
      </c>
      <c r="D478" s="12">
        <v>3.13</v>
      </c>
    </row>
    <row r="479" spans="1:4" ht="16.5" x14ac:dyDescent="0.6">
      <c r="A479" s="9" t="s">
        <v>19</v>
      </c>
      <c r="B479" s="9">
        <v>2011</v>
      </c>
      <c r="C479" s="9" t="s">
        <v>61</v>
      </c>
      <c r="D479" s="10">
        <v>0.19</v>
      </c>
    </row>
    <row r="480" spans="1:4" ht="16.5" x14ac:dyDescent="0.6">
      <c r="A480" s="11" t="s">
        <v>23</v>
      </c>
      <c r="B480" s="11">
        <v>2011</v>
      </c>
      <c r="C480" s="11" t="s">
        <v>61</v>
      </c>
      <c r="D480" s="12">
        <v>6.15</v>
      </c>
    </row>
    <row r="481" spans="1:4" ht="16.5" x14ac:dyDescent="0.6">
      <c r="A481" s="9" t="s">
        <v>9</v>
      </c>
      <c r="B481" s="9">
        <v>2011</v>
      </c>
      <c r="C481" s="9" t="s">
        <v>61</v>
      </c>
      <c r="D481" s="10">
        <v>0.04</v>
      </c>
    </row>
    <row r="482" spans="1:4" ht="16.5" x14ac:dyDescent="0.6">
      <c r="A482" s="11" t="s">
        <v>12</v>
      </c>
      <c r="B482" s="11">
        <v>2011</v>
      </c>
      <c r="C482" s="11" t="s">
        <v>61</v>
      </c>
      <c r="D482" s="12">
        <v>0.39</v>
      </c>
    </row>
    <row r="483" spans="1:4" ht="16.5" x14ac:dyDescent="0.6">
      <c r="A483" s="9" t="s">
        <v>55</v>
      </c>
      <c r="B483" s="9">
        <v>2012</v>
      </c>
      <c r="C483" s="9" t="s">
        <v>61</v>
      </c>
      <c r="D483" s="10">
        <v>4.3099999999999996</v>
      </c>
    </row>
    <row r="484" spans="1:4" ht="16.5" x14ac:dyDescent="0.6">
      <c r="A484" s="11" t="s">
        <v>5</v>
      </c>
      <c r="B484" s="11">
        <v>2012</v>
      </c>
      <c r="C484" s="11" t="s">
        <v>61</v>
      </c>
      <c r="D484" s="12">
        <v>728.15</v>
      </c>
    </row>
    <row r="485" spans="1:4" ht="16.5" x14ac:dyDescent="0.6">
      <c r="A485" s="9" t="s">
        <v>8</v>
      </c>
      <c r="B485" s="9">
        <v>2012</v>
      </c>
      <c r="C485" s="9" t="s">
        <v>61</v>
      </c>
      <c r="D485" s="10">
        <v>66.709999999999994</v>
      </c>
    </row>
    <row r="486" spans="1:4" ht="16.5" x14ac:dyDescent="0.6">
      <c r="A486" s="11" t="s">
        <v>6</v>
      </c>
      <c r="B486" s="11">
        <v>2012</v>
      </c>
      <c r="C486" s="11" t="s">
        <v>61</v>
      </c>
      <c r="D486" s="12">
        <v>2.75</v>
      </c>
    </row>
    <row r="487" spans="1:4" ht="16.5" x14ac:dyDescent="0.6">
      <c r="A487" s="9" t="s">
        <v>19</v>
      </c>
      <c r="B487" s="9">
        <v>2012</v>
      </c>
      <c r="C487" s="9" t="s">
        <v>61</v>
      </c>
      <c r="D487" s="10">
        <v>0.19</v>
      </c>
    </row>
    <row r="488" spans="1:4" ht="16.5" x14ac:dyDescent="0.6">
      <c r="A488" s="11" t="s">
        <v>23</v>
      </c>
      <c r="B488" s="11">
        <v>2012</v>
      </c>
      <c r="C488" s="11" t="s">
        <v>61</v>
      </c>
      <c r="D488" s="12">
        <v>6.63</v>
      </c>
    </row>
    <row r="489" spans="1:4" ht="16.5" x14ac:dyDescent="0.6">
      <c r="A489" s="9" t="s">
        <v>9</v>
      </c>
      <c r="B489" s="9">
        <v>2012</v>
      </c>
      <c r="C489" s="9" t="s">
        <v>61</v>
      </c>
      <c r="D489" s="10">
        <v>0.1</v>
      </c>
    </row>
    <row r="490" spans="1:4" ht="16.5" x14ac:dyDescent="0.6">
      <c r="A490" s="11" t="s">
        <v>12</v>
      </c>
      <c r="B490" s="11">
        <v>2012</v>
      </c>
      <c r="C490" s="11" t="s">
        <v>61</v>
      </c>
      <c r="D490" s="12">
        <v>0.44</v>
      </c>
    </row>
    <row r="491" spans="1:4" ht="16.5" x14ac:dyDescent="0.6">
      <c r="A491" s="9" t="s">
        <v>55</v>
      </c>
      <c r="B491" s="9">
        <v>2013</v>
      </c>
      <c r="C491" s="9" t="s">
        <v>61</v>
      </c>
      <c r="D491" s="10">
        <v>4.8600000000000003</v>
      </c>
    </row>
    <row r="492" spans="1:4" ht="16.5" x14ac:dyDescent="0.6">
      <c r="A492" s="11" t="s">
        <v>5</v>
      </c>
      <c r="B492" s="11">
        <v>2013</v>
      </c>
      <c r="C492" s="11" t="s">
        <v>61</v>
      </c>
      <c r="D492" s="12">
        <v>782.51</v>
      </c>
    </row>
    <row r="493" spans="1:4" ht="16.5" x14ac:dyDescent="0.6">
      <c r="A493" s="9" t="s">
        <v>8</v>
      </c>
      <c r="B493" s="9">
        <v>2013</v>
      </c>
      <c r="C493" s="9" t="s">
        <v>61</v>
      </c>
      <c r="D493" s="10">
        <v>45.96</v>
      </c>
    </row>
    <row r="494" spans="1:4" ht="16.5" x14ac:dyDescent="0.6">
      <c r="A494" s="11" t="s">
        <v>6</v>
      </c>
      <c r="B494" s="11">
        <v>2013</v>
      </c>
      <c r="C494" s="11" t="s">
        <v>61</v>
      </c>
      <c r="D494" s="12">
        <v>3.14</v>
      </c>
    </row>
    <row r="495" spans="1:4" ht="16.5" x14ac:dyDescent="0.6">
      <c r="A495" s="9" t="s">
        <v>19</v>
      </c>
      <c r="B495" s="9">
        <v>2013</v>
      </c>
      <c r="C495" s="9" t="s">
        <v>61</v>
      </c>
      <c r="D495" s="10">
        <v>0.2</v>
      </c>
    </row>
    <row r="496" spans="1:4" ht="16.5" x14ac:dyDescent="0.6">
      <c r="A496" s="11" t="s">
        <v>23</v>
      </c>
      <c r="B496" s="11">
        <v>2013</v>
      </c>
      <c r="C496" s="11" t="s">
        <v>61</v>
      </c>
      <c r="D496" s="12">
        <v>7.01</v>
      </c>
    </row>
    <row r="497" spans="1:4" ht="16.5" x14ac:dyDescent="0.6">
      <c r="A497" s="9" t="s">
        <v>9</v>
      </c>
      <c r="B497" s="9">
        <v>2013</v>
      </c>
      <c r="C497" s="9" t="s">
        <v>61</v>
      </c>
      <c r="D497" s="10">
        <v>0.16</v>
      </c>
    </row>
    <row r="498" spans="1:4" ht="16.5" x14ac:dyDescent="0.6">
      <c r="A498" s="11" t="s">
        <v>12</v>
      </c>
      <c r="B498" s="11">
        <v>2013</v>
      </c>
      <c r="C498" s="11" t="s">
        <v>61</v>
      </c>
      <c r="D498" s="12">
        <v>0.48</v>
      </c>
    </row>
    <row r="499" spans="1:4" ht="16.5" x14ac:dyDescent="0.6">
      <c r="A499" s="9" t="s">
        <v>55</v>
      </c>
      <c r="B499" s="9">
        <v>2014</v>
      </c>
      <c r="C499" s="9" t="s">
        <v>61</v>
      </c>
      <c r="D499" s="10">
        <v>5.34</v>
      </c>
    </row>
    <row r="500" spans="1:4" ht="16.5" x14ac:dyDescent="0.6">
      <c r="A500" s="11" t="s">
        <v>5</v>
      </c>
      <c r="B500" s="11">
        <v>2014</v>
      </c>
      <c r="C500" s="11" t="s">
        <v>61</v>
      </c>
      <c r="D500" s="12">
        <v>874.37</v>
      </c>
    </row>
    <row r="501" spans="1:4" ht="16.5" x14ac:dyDescent="0.6">
      <c r="A501" s="9" t="s">
        <v>8</v>
      </c>
      <c r="B501" s="9">
        <v>2014</v>
      </c>
      <c r="C501" s="9" t="s">
        <v>61</v>
      </c>
      <c r="D501" s="10">
        <v>44.36</v>
      </c>
    </row>
    <row r="502" spans="1:4" ht="16.5" x14ac:dyDescent="0.6">
      <c r="A502" s="11" t="s">
        <v>6</v>
      </c>
      <c r="B502" s="11">
        <v>2014</v>
      </c>
      <c r="C502" s="11" t="s">
        <v>61</v>
      </c>
      <c r="D502" s="12">
        <v>3.3</v>
      </c>
    </row>
    <row r="503" spans="1:4" ht="16.5" x14ac:dyDescent="0.6">
      <c r="A503" s="9" t="s">
        <v>19</v>
      </c>
      <c r="B503" s="9">
        <v>2014</v>
      </c>
      <c r="C503" s="9" t="s">
        <v>61</v>
      </c>
      <c r="D503" s="10">
        <v>0.2</v>
      </c>
    </row>
    <row r="504" spans="1:4" ht="16.5" x14ac:dyDescent="0.6">
      <c r="A504" s="11" t="s">
        <v>23</v>
      </c>
      <c r="B504" s="11">
        <v>2014</v>
      </c>
      <c r="C504" s="11" t="s">
        <v>61</v>
      </c>
      <c r="D504" s="12">
        <v>7.6</v>
      </c>
    </row>
    <row r="505" spans="1:4" ht="16.5" x14ac:dyDescent="0.6">
      <c r="A505" s="9" t="s">
        <v>9</v>
      </c>
      <c r="B505" s="9">
        <v>2014</v>
      </c>
      <c r="C505" s="9" t="s">
        <v>61</v>
      </c>
      <c r="D505" s="10">
        <v>0.23</v>
      </c>
    </row>
    <row r="506" spans="1:4" ht="16.5" x14ac:dyDescent="0.6">
      <c r="A506" s="11" t="s">
        <v>12</v>
      </c>
      <c r="B506" s="11">
        <v>2014</v>
      </c>
      <c r="C506" s="11" t="s">
        <v>61</v>
      </c>
      <c r="D506" s="12">
        <v>0.54</v>
      </c>
    </row>
    <row r="507" spans="1:4" ht="16.5" x14ac:dyDescent="0.6">
      <c r="A507" s="9" t="s">
        <v>55</v>
      </c>
      <c r="B507" s="9">
        <v>2015</v>
      </c>
      <c r="C507" s="9" t="s">
        <v>61</v>
      </c>
      <c r="D507" s="10">
        <v>6.62</v>
      </c>
    </row>
    <row r="508" spans="1:4" ht="16.5" x14ac:dyDescent="0.6">
      <c r="A508" s="11" t="s">
        <v>5</v>
      </c>
      <c r="B508" s="11">
        <v>2015</v>
      </c>
      <c r="C508" s="11" t="s">
        <v>61</v>
      </c>
      <c r="D508" s="12">
        <v>924.16</v>
      </c>
    </row>
    <row r="509" spans="1:4" ht="16.5" x14ac:dyDescent="0.6">
      <c r="A509" s="9" t="s">
        <v>8</v>
      </c>
      <c r="B509" s="9">
        <v>2015</v>
      </c>
      <c r="C509" s="9" t="s">
        <v>61</v>
      </c>
      <c r="D509" s="10">
        <v>44.89</v>
      </c>
    </row>
    <row r="510" spans="1:4" ht="16.5" x14ac:dyDescent="0.6">
      <c r="A510" s="11" t="s">
        <v>6</v>
      </c>
      <c r="B510" s="11">
        <v>2015</v>
      </c>
      <c r="C510" s="11" t="s">
        <v>61</v>
      </c>
      <c r="D510" s="12">
        <v>3.17</v>
      </c>
    </row>
    <row r="511" spans="1:4" ht="16.5" x14ac:dyDescent="0.6">
      <c r="A511" s="9" t="s">
        <v>19</v>
      </c>
      <c r="B511" s="9">
        <v>2015</v>
      </c>
      <c r="C511" s="9" t="s">
        <v>61</v>
      </c>
      <c r="D511" s="10">
        <v>0.23</v>
      </c>
    </row>
    <row r="512" spans="1:4" ht="16.5" x14ac:dyDescent="0.6">
      <c r="A512" s="11" t="s">
        <v>23</v>
      </c>
      <c r="B512" s="11">
        <v>2015</v>
      </c>
      <c r="C512" s="11" t="s">
        <v>61</v>
      </c>
      <c r="D512" s="12">
        <v>6.09</v>
      </c>
    </row>
    <row r="513" spans="1:4" ht="16.5" x14ac:dyDescent="0.6">
      <c r="A513" s="9" t="s">
        <v>9</v>
      </c>
      <c r="B513" s="9">
        <v>2015</v>
      </c>
      <c r="C513" s="9" t="s">
        <v>61</v>
      </c>
      <c r="D513" s="10">
        <v>0.31</v>
      </c>
    </row>
    <row r="514" spans="1:4" ht="16.5" x14ac:dyDescent="0.6">
      <c r="A514" s="11" t="s">
        <v>12</v>
      </c>
      <c r="B514" s="11">
        <v>2015</v>
      </c>
      <c r="C514" s="11" t="s">
        <v>61</v>
      </c>
      <c r="D514" s="12">
        <v>0.53</v>
      </c>
    </row>
    <row r="515" spans="1:4" ht="16.5" x14ac:dyDescent="0.6">
      <c r="A515" s="9" t="s">
        <v>55</v>
      </c>
      <c r="B515" s="9">
        <v>2016</v>
      </c>
      <c r="C515" s="9" t="s">
        <v>61</v>
      </c>
      <c r="D515" s="10">
        <v>5.37</v>
      </c>
    </row>
    <row r="516" spans="1:4" ht="16.5" x14ac:dyDescent="0.6">
      <c r="A516" s="11" t="s">
        <v>5</v>
      </c>
      <c r="B516" s="11">
        <v>2016</v>
      </c>
      <c r="C516" s="11" t="s">
        <v>61</v>
      </c>
      <c r="D516" s="12">
        <v>983.7</v>
      </c>
    </row>
    <row r="517" spans="1:4" ht="16.5" x14ac:dyDescent="0.6">
      <c r="A517" s="9" t="s">
        <v>8</v>
      </c>
      <c r="B517" s="9">
        <v>2016</v>
      </c>
      <c r="C517" s="9" t="s">
        <v>61</v>
      </c>
      <c r="D517" s="10">
        <v>50.33</v>
      </c>
    </row>
    <row r="518" spans="1:4" ht="16.5" x14ac:dyDescent="0.6">
      <c r="A518" s="11" t="s">
        <v>6</v>
      </c>
      <c r="B518" s="11">
        <v>2016</v>
      </c>
      <c r="C518" s="11" t="s">
        <v>61</v>
      </c>
      <c r="D518" s="12">
        <v>3.05</v>
      </c>
    </row>
    <row r="519" spans="1:4" ht="16.5" x14ac:dyDescent="0.6">
      <c r="A519" s="9" t="s">
        <v>19</v>
      </c>
      <c r="B519" s="9">
        <v>2016</v>
      </c>
      <c r="C519" s="9" t="s">
        <v>61</v>
      </c>
      <c r="D519" s="10">
        <v>0.22</v>
      </c>
    </row>
    <row r="520" spans="1:4" ht="16.5" x14ac:dyDescent="0.6">
      <c r="A520" s="11" t="s">
        <v>23</v>
      </c>
      <c r="B520" s="11">
        <v>2016</v>
      </c>
      <c r="C520" s="11" t="s">
        <v>61</v>
      </c>
      <c r="D520" s="12">
        <v>6.19</v>
      </c>
    </row>
    <row r="521" spans="1:4" ht="16.5" x14ac:dyDescent="0.6">
      <c r="A521" s="9" t="s">
        <v>9</v>
      </c>
      <c r="B521" s="9">
        <v>2016</v>
      </c>
      <c r="C521" s="9" t="s">
        <v>61</v>
      </c>
      <c r="D521" s="10">
        <v>0.55000000000000004</v>
      </c>
    </row>
    <row r="522" spans="1:4" ht="16.5" x14ac:dyDescent="0.6">
      <c r="A522" s="11" t="s">
        <v>12</v>
      </c>
      <c r="B522" s="11">
        <v>2016</v>
      </c>
      <c r="C522" s="11" t="s">
        <v>61</v>
      </c>
      <c r="D522" s="12">
        <v>0.7</v>
      </c>
    </row>
    <row r="523" spans="1:4" ht="16.5" x14ac:dyDescent="0.6">
      <c r="A523" s="9" t="s">
        <v>55</v>
      </c>
      <c r="B523" s="9">
        <v>2017</v>
      </c>
      <c r="C523" s="9" t="s">
        <v>61</v>
      </c>
      <c r="D523" s="10">
        <v>5.39</v>
      </c>
    </row>
    <row r="524" spans="1:4" ht="16.5" x14ac:dyDescent="0.6">
      <c r="A524" s="11" t="s">
        <v>5</v>
      </c>
      <c r="B524" s="11">
        <v>2017</v>
      </c>
      <c r="C524" s="11" t="s">
        <v>61</v>
      </c>
      <c r="D524" s="12">
        <v>1020.03</v>
      </c>
    </row>
    <row r="525" spans="1:4" ht="16.5" x14ac:dyDescent="0.6">
      <c r="A525" s="9" t="s">
        <v>8</v>
      </c>
      <c r="B525" s="9">
        <v>2017</v>
      </c>
      <c r="C525" s="9" t="s">
        <v>61</v>
      </c>
      <c r="D525" s="10">
        <v>51.97</v>
      </c>
    </row>
    <row r="526" spans="1:4" ht="16.5" x14ac:dyDescent="0.6">
      <c r="A526" s="11" t="s">
        <v>6</v>
      </c>
      <c r="B526" s="11">
        <v>2017</v>
      </c>
      <c r="C526" s="11" t="s">
        <v>61</v>
      </c>
      <c r="D526" s="12">
        <v>3.23</v>
      </c>
    </row>
    <row r="527" spans="1:4" ht="16.5" x14ac:dyDescent="0.6">
      <c r="A527" s="9" t="s">
        <v>19</v>
      </c>
      <c r="B527" s="9">
        <v>2017</v>
      </c>
      <c r="C527" s="9" t="s">
        <v>61</v>
      </c>
      <c r="D527" s="10">
        <v>0.22</v>
      </c>
    </row>
    <row r="528" spans="1:4" ht="16.5" x14ac:dyDescent="0.6">
      <c r="A528" s="11" t="s">
        <v>23</v>
      </c>
      <c r="B528" s="11">
        <v>2017</v>
      </c>
      <c r="C528" s="11" t="s">
        <v>61</v>
      </c>
      <c r="D528" s="12">
        <v>5.78</v>
      </c>
    </row>
    <row r="529" spans="1:4" ht="16.5" x14ac:dyDescent="0.6">
      <c r="A529" s="9" t="s">
        <v>9</v>
      </c>
      <c r="B529" s="9">
        <v>2017</v>
      </c>
      <c r="C529" s="9" t="s">
        <v>61</v>
      </c>
      <c r="D529" s="10">
        <v>1.02</v>
      </c>
    </row>
    <row r="530" spans="1:4" ht="16.5" x14ac:dyDescent="0.6">
      <c r="A530" s="11" t="s">
        <v>12</v>
      </c>
      <c r="B530" s="11">
        <v>2017</v>
      </c>
      <c r="C530" s="11" t="s">
        <v>61</v>
      </c>
      <c r="D530" s="12">
        <v>0.85</v>
      </c>
    </row>
    <row r="531" spans="1:4" ht="16.5" x14ac:dyDescent="0.6">
      <c r="A531" s="9" t="s">
        <v>55</v>
      </c>
      <c r="B531" s="9">
        <v>2018</v>
      </c>
      <c r="C531" s="9" t="s">
        <v>61</v>
      </c>
      <c r="D531" s="10">
        <v>5.88</v>
      </c>
    </row>
    <row r="532" spans="1:4" ht="16.5" x14ac:dyDescent="0.6">
      <c r="A532" s="11" t="s">
        <v>5</v>
      </c>
      <c r="B532" s="11">
        <v>2018</v>
      </c>
      <c r="C532" s="11" t="s">
        <v>61</v>
      </c>
      <c r="D532" s="12">
        <v>1095.1600000000001</v>
      </c>
    </row>
    <row r="533" spans="1:4" ht="16.5" x14ac:dyDescent="0.6">
      <c r="A533" s="9" t="s">
        <v>8</v>
      </c>
      <c r="B533" s="9">
        <v>2018</v>
      </c>
      <c r="C533" s="9" t="s">
        <v>61</v>
      </c>
      <c r="D533" s="10">
        <v>49.39</v>
      </c>
    </row>
    <row r="534" spans="1:4" ht="16.5" x14ac:dyDescent="0.6">
      <c r="A534" s="11" t="s">
        <v>6</v>
      </c>
      <c r="B534" s="11">
        <v>2018</v>
      </c>
      <c r="C534" s="11" t="s">
        <v>61</v>
      </c>
      <c r="D534" s="12">
        <v>3.32</v>
      </c>
    </row>
    <row r="535" spans="1:4" ht="16.5" x14ac:dyDescent="0.6">
      <c r="A535" s="9" t="s">
        <v>19</v>
      </c>
      <c r="B535" s="9">
        <v>2018</v>
      </c>
      <c r="C535" s="9" t="s">
        <v>61</v>
      </c>
      <c r="D535" s="10">
        <v>0.23</v>
      </c>
    </row>
    <row r="536" spans="1:4" ht="16.5" x14ac:dyDescent="0.6">
      <c r="A536" s="11" t="s">
        <v>23</v>
      </c>
      <c r="B536" s="11">
        <v>2018</v>
      </c>
      <c r="C536" s="11" t="s">
        <v>61</v>
      </c>
      <c r="D536" s="12">
        <v>4.21</v>
      </c>
    </row>
    <row r="537" spans="1:4" ht="16.5" x14ac:dyDescent="0.6">
      <c r="A537" s="9" t="s">
        <v>9</v>
      </c>
      <c r="B537" s="9">
        <v>2018</v>
      </c>
      <c r="C537" s="9" t="s">
        <v>61</v>
      </c>
      <c r="D537" s="10">
        <v>1.73</v>
      </c>
    </row>
    <row r="538" spans="1:4" ht="16.5" x14ac:dyDescent="0.6">
      <c r="A538" s="11" t="s">
        <v>12</v>
      </c>
      <c r="B538" s="11">
        <v>2018</v>
      </c>
      <c r="C538" s="11" t="s">
        <v>61</v>
      </c>
      <c r="D538" s="12">
        <v>0.97</v>
      </c>
    </row>
    <row r="539" spans="1:4" ht="16.5" x14ac:dyDescent="0.6">
      <c r="A539" s="9" t="s">
        <v>55</v>
      </c>
      <c r="B539" s="9">
        <v>2019</v>
      </c>
      <c r="C539" s="9" t="s">
        <v>61</v>
      </c>
      <c r="D539" s="10">
        <v>6.81</v>
      </c>
    </row>
    <row r="540" spans="1:4" ht="16.5" x14ac:dyDescent="0.6">
      <c r="A540" s="11" t="s">
        <v>5</v>
      </c>
      <c r="B540" s="11">
        <v>2019</v>
      </c>
      <c r="C540" s="11" t="s">
        <v>61</v>
      </c>
      <c r="D540" s="12">
        <v>1093.56</v>
      </c>
    </row>
    <row r="541" spans="1:4" ht="16.5" x14ac:dyDescent="0.6">
      <c r="A541" s="9" t="s">
        <v>8</v>
      </c>
      <c r="B541" s="9">
        <v>2019</v>
      </c>
      <c r="C541" s="9" t="s">
        <v>61</v>
      </c>
      <c r="D541" s="10">
        <v>49.87</v>
      </c>
    </row>
    <row r="542" spans="1:4" ht="16.5" x14ac:dyDescent="0.6">
      <c r="A542" s="11" t="s">
        <v>6</v>
      </c>
      <c r="B542" s="11">
        <v>2019</v>
      </c>
      <c r="C542" s="11" t="s">
        <v>61</v>
      </c>
      <c r="D542" s="12">
        <v>3.85</v>
      </c>
    </row>
    <row r="543" spans="1:4" ht="16.5" x14ac:dyDescent="0.6">
      <c r="A543" s="9" t="s">
        <v>19</v>
      </c>
      <c r="B543" s="9">
        <v>2019</v>
      </c>
      <c r="C543" s="9" t="s">
        <v>61</v>
      </c>
      <c r="D543" s="10">
        <v>0.27</v>
      </c>
    </row>
    <row r="544" spans="1:4" ht="16.5" x14ac:dyDescent="0.6">
      <c r="A544" s="11" t="s">
        <v>23</v>
      </c>
      <c r="B544" s="11">
        <v>2019</v>
      </c>
      <c r="C544" s="11" t="s">
        <v>61</v>
      </c>
      <c r="D544" s="12">
        <v>2.02</v>
      </c>
    </row>
    <row r="545" spans="1:4" ht="16.5" x14ac:dyDescent="0.6">
      <c r="A545" s="9" t="s">
        <v>9</v>
      </c>
      <c r="B545" s="9">
        <v>2019</v>
      </c>
      <c r="C545" s="9" t="s">
        <v>61</v>
      </c>
      <c r="D545" s="10">
        <v>2.2000000000000002</v>
      </c>
    </row>
    <row r="546" spans="1:4" ht="16.5" x14ac:dyDescent="0.6">
      <c r="A546" s="11" t="s">
        <v>12</v>
      </c>
      <c r="B546" s="11">
        <v>2019</v>
      </c>
      <c r="C546" s="11" t="s">
        <v>61</v>
      </c>
      <c r="D546" s="12">
        <v>1.02</v>
      </c>
    </row>
    <row r="547" spans="1:4" ht="16.5" x14ac:dyDescent="0.6">
      <c r="A547" s="9" t="s">
        <v>55</v>
      </c>
      <c r="B547" s="9">
        <v>2020</v>
      </c>
      <c r="C547" s="9" t="s">
        <v>61</v>
      </c>
      <c r="D547" s="10">
        <v>7.1</v>
      </c>
    </row>
    <row r="548" spans="1:4" ht="16.5" x14ac:dyDescent="0.6">
      <c r="A548" s="11" t="s">
        <v>5</v>
      </c>
      <c r="B548" s="11">
        <v>2020</v>
      </c>
      <c r="C548" s="11" t="s">
        <v>61</v>
      </c>
      <c r="D548" s="12">
        <v>1042.33</v>
      </c>
    </row>
    <row r="549" spans="1:4" ht="16.5" x14ac:dyDescent="0.6">
      <c r="A549" s="9" t="s">
        <v>8</v>
      </c>
      <c r="B549" s="9">
        <v>2020</v>
      </c>
      <c r="C549" s="9" t="s">
        <v>61</v>
      </c>
      <c r="D549" s="10">
        <v>51.83</v>
      </c>
    </row>
    <row r="550" spans="1:4" ht="16.5" x14ac:dyDescent="0.6">
      <c r="A550" s="11" t="s">
        <v>6</v>
      </c>
      <c r="B550" s="11">
        <v>2020</v>
      </c>
      <c r="C550" s="11" t="s">
        <v>61</v>
      </c>
      <c r="D550" s="12">
        <v>3.89</v>
      </c>
    </row>
    <row r="551" spans="1:4" ht="16.5" x14ac:dyDescent="0.6">
      <c r="A551" s="9" t="s">
        <v>19</v>
      </c>
      <c r="B551" s="9">
        <v>2020</v>
      </c>
      <c r="C551" s="9" t="s">
        <v>61</v>
      </c>
      <c r="D551" s="10">
        <v>0.26</v>
      </c>
    </row>
    <row r="552" spans="1:4" ht="16.5" x14ac:dyDescent="0.6">
      <c r="A552" s="11" t="s">
        <v>23</v>
      </c>
      <c r="B552" s="11">
        <v>2020</v>
      </c>
      <c r="C552" s="11" t="s">
        <v>61</v>
      </c>
      <c r="D552" s="12">
        <v>2.0299999999999998</v>
      </c>
    </row>
    <row r="553" spans="1:4" ht="16.5" x14ac:dyDescent="0.6">
      <c r="A553" s="9" t="s">
        <v>9</v>
      </c>
      <c r="B553" s="9">
        <v>2020</v>
      </c>
      <c r="C553" s="9" t="s">
        <v>61</v>
      </c>
      <c r="D553" s="10">
        <v>2.79</v>
      </c>
    </row>
    <row r="554" spans="1:4" ht="16.5" x14ac:dyDescent="0.6">
      <c r="A554" s="11" t="s">
        <v>12</v>
      </c>
      <c r="B554" s="11">
        <v>2020</v>
      </c>
      <c r="C554" s="11" t="s">
        <v>61</v>
      </c>
      <c r="D554" s="12">
        <v>0.97</v>
      </c>
    </row>
    <row r="555" spans="1:4" ht="16.5" x14ac:dyDescent="0.6">
      <c r="A555" s="9" t="s">
        <v>55</v>
      </c>
      <c r="B555" s="9">
        <v>2021</v>
      </c>
      <c r="C555" s="9" t="s">
        <v>61</v>
      </c>
      <c r="D555" s="10">
        <v>7.68</v>
      </c>
    </row>
    <row r="556" spans="1:4" ht="16.5" x14ac:dyDescent="0.6">
      <c r="A556" s="11" t="s">
        <v>5</v>
      </c>
      <c r="B556" s="11">
        <v>2021</v>
      </c>
      <c r="C556" s="11" t="s">
        <v>61</v>
      </c>
      <c r="D556" s="12">
        <v>1143.42</v>
      </c>
    </row>
    <row r="557" spans="1:4" ht="16.5" x14ac:dyDescent="0.6">
      <c r="A557" s="9" t="s">
        <v>8</v>
      </c>
      <c r="B557" s="9">
        <v>2021</v>
      </c>
      <c r="C557" s="9" t="s">
        <v>61</v>
      </c>
      <c r="D557" s="10">
        <v>41.86</v>
      </c>
    </row>
    <row r="558" spans="1:4" ht="16.5" x14ac:dyDescent="0.6">
      <c r="A558" s="11" t="s">
        <v>6</v>
      </c>
      <c r="B558" s="11">
        <v>2021</v>
      </c>
      <c r="C558" s="11" t="s">
        <v>61</v>
      </c>
      <c r="D558" s="12">
        <v>3.81</v>
      </c>
    </row>
    <row r="559" spans="1:4" ht="16.5" x14ac:dyDescent="0.6">
      <c r="A559" s="9" t="s">
        <v>19</v>
      </c>
      <c r="B559" s="9">
        <v>2021</v>
      </c>
      <c r="C559" s="9" t="s">
        <v>61</v>
      </c>
      <c r="D559" s="10">
        <v>0.26</v>
      </c>
    </row>
    <row r="560" spans="1:4" ht="16.5" x14ac:dyDescent="0.6">
      <c r="A560" s="11" t="s">
        <v>23</v>
      </c>
      <c r="B560" s="11">
        <v>2021</v>
      </c>
      <c r="C560" s="11" t="s">
        <v>61</v>
      </c>
      <c r="D560" s="12">
        <v>2.23</v>
      </c>
    </row>
    <row r="561" spans="1:4" ht="16.5" x14ac:dyDescent="0.6">
      <c r="A561" s="9" t="s">
        <v>9</v>
      </c>
      <c r="B561" s="9">
        <v>2021</v>
      </c>
      <c r="C561" s="9" t="s">
        <v>61</v>
      </c>
      <c r="D561" s="10">
        <v>3.25</v>
      </c>
    </row>
    <row r="562" spans="1:4" ht="16.5" x14ac:dyDescent="0.6">
      <c r="A562" s="11" t="s">
        <v>12</v>
      </c>
      <c r="B562" s="11">
        <v>2021</v>
      </c>
      <c r="C562" s="11" t="s">
        <v>61</v>
      </c>
      <c r="D562" s="12">
        <v>1.1000000000000001</v>
      </c>
    </row>
    <row r="563" spans="1:4" ht="16.5" x14ac:dyDescent="0.6">
      <c r="A563" s="9" t="s">
        <v>55</v>
      </c>
      <c r="B563" s="9">
        <v>2022</v>
      </c>
      <c r="C563" s="9" t="s">
        <v>61</v>
      </c>
      <c r="D563" s="10">
        <v>8.34</v>
      </c>
    </row>
    <row r="564" spans="1:4" ht="16.5" x14ac:dyDescent="0.6">
      <c r="A564" s="11" t="s">
        <v>5</v>
      </c>
      <c r="B564" s="11">
        <v>2022</v>
      </c>
      <c r="C564" s="11" t="s">
        <v>61</v>
      </c>
      <c r="D564" s="12">
        <v>1232.5999999999999</v>
      </c>
    </row>
    <row r="565" spans="1:4" ht="16.5" x14ac:dyDescent="0.6">
      <c r="A565" s="9" t="s">
        <v>8</v>
      </c>
      <c r="B565" s="9">
        <v>2022</v>
      </c>
      <c r="C565" s="9" t="s">
        <v>61</v>
      </c>
      <c r="D565" s="10">
        <v>32.21</v>
      </c>
    </row>
    <row r="566" spans="1:4" ht="16.5" x14ac:dyDescent="0.6">
      <c r="A566" s="11" t="s">
        <v>6</v>
      </c>
      <c r="B566" s="11">
        <v>2022</v>
      </c>
      <c r="C566" s="11" t="s">
        <v>61</v>
      </c>
      <c r="D566" s="12">
        <v>4.16</v>
      </c>
    </row>
    <row r="567" spans="1:4" ht="16.5" x14ac:dyDescent="0.6">
      <c r="A567" s="9" t="s">
        <v>19</v>
      </c>
      <c r="B567" s="9">
        <v>2022</v>
      </c>
      <c r="C567" s="9" t="s">
        <v>61</v>
      </c>
      <c r="D567" s="10">
        <v>0.27</v>
      </c>
    </row>
    <row r="568" spans="1:4" ht="16.5" x14ac:dyDescent="0.6">
      <c r="A568" s="11" t="s">
        <v>23</v>
      </c>
      <c r="B568" s="11">
        <v>2022</v>
      </c>
      <c r="C568" s="11" t="s">
        <v>61</v>
      </c>
      <c r="D568" s="12">
        <v>2.42</v>
      </c>
    </row>
    <row r="569" spans="1:4" ht="16.5" x14ac:dyDescent="0.6">
      <c r="A569" s="9" t="s">
        <v>9</v>
      </c>
      <c r="B569" s="9">
        <v>2022</v>
      </c>
      <c r="C569" s="9" t="s">
        <v>61</v>
      </c>
      <c r="D569" s="10">
        <v>4.5199999999999996</v>
      </c>
    </row>
    <row r="570" spans="1:4" ht="16.5" x14ac:dyDescent="0.6">
      <c r="A570" s="11" t="s">
        <v>12</v>
      </c>
      <c r="B570" s="11">
        <v>2022</v>
      </c>
      <c r="C570" s="11" t="s">
        <v>61</v>
      </c>
      <c r="D570" s="12">
        <v>1.1299999999999999</v>
      </c>
    </row>
    <row r="571" spans="1:4" ht="16.5" x14ac:dyDescent="0.6">
      <c r="A571" s="9" t="s">
        <v>55</v>
      </c>
      <c r="B571" s="9">
        <v>2023</v>
      </c>
      <c r="C571" s="9" t="s">
        <v>61</v>
      </c>
      <c r="D571" s="10">
        <v>8.06</v>
      </c>
    </row>
    <row r="572" spans="1:4" ht="16.5" x14ac:dyDescent="0.6">
      <c r="A572" s="11" t="s">
        <v>5</v>
      </c>
      <c r="B572" s="11">
        <v>2023</v>
      </c>
      <c r="C572" s="11" t="s">
        <v>61</v>
      </c>
      <c r="D572" s="12">
        <v>1338.45</v>
      </c>
    </row>
    <row r="573" spans="1:4" ht="16.5" x14ac:dyDescent="0.6">
      <c r="A573" s="9" t="s">
        <v>8</v>
      </c>
      <c r="B573" s="9">
        <v>2023</v>
      </c>
      <c r="C573" s="9" t="s">
        <v>61</v>
      </c>
      <c r="D573" s="10">
        <v>36.46</v>
      </c>
    </row>
    <row r="574" spans="1:4" ht="16.5" x14ac:dyDescent="0.6">
      <c r="A574" s="11" t="s">
        <v>6</v>
      </c>
      <c r="B574" s="11">
        <v>2023</v>
      </c>
      <c r="C574" s="11" t="s">
        <v>61</v>
      </c>
      <c r="D574" s="12">
        <v>3.54</v>
      </c>
    </row>
    <row r="575" spans="1:4" ht="16.5" x14ac:dyDescent="0.6">
      <c r="A575" s="9" t="s">
        <v>19</v>
      </c>
      <c r="B575" s="9">
        <v>2023</v>
      </c>
      <c r="C575" s="9" t="s">
        <v>61</v>
      </c>
      <c r="D575" s="10">
        <v>0.28000000000000003</v>
      </c>
    </row>
    <row r="576" spans="1:4" ht="16.5" x14ac:dyDescent="0.6">
      <c r="A576" s="11" t="s">
        <v>23</v>
      </c>
      <c r="B576" s="11">
        <v>2023</v>
      </c>
      <c r="C576" s="11" t="s">
        <v>61</v>
      </c>
      <c r="D576" s="12">
        <v>2.75</v>
      </c>
    </row>
    <row r="577" spans="1:4" ht="16.5" x14ac:dyDescent="0.6">
      <c r="A577" s="9" t="s">
        <v>9</v>
      </c>
      <c r="B577" s="9">
        <v>2023</v>
      </c>
      <c r="C577" s="9" t="s">
        <v>61</v>
      </c>
      <c r="D577" s="10">
        <v>5.39</v>
      </c>
    </row>
    <row r="578" spans="1:4" ht="16.5" x14ac:dyDescent="0.6">
      <c r="A578" s="11" t="s">
        <v>12</v>
      </c>
      <c r="B578" s="11">
        <v>2023</v>
      </c>
      <c r="C578" s="11" t="s">
        <v>61</v>
      </c>
      <c r="D578" s="12">
        <v>1.32</v>
      </c>
    </row>
    <row r="579" spans="1:4" ht="16.5" x14ac:dyDescent="0.6">
      <c r="A579" s="9" t="s">
        <v>62</v>
      </c>
      <c r="B579" s="9">
        <v>2000</v>
      </c>
      <c r="C579" s="9" t="s">
        <v>59</v>
      </c>
      <c r="D579" s="10">
        <v>0.2</v>
      </c>
    </row>
    <row r="580" spans="1:4" ht="16.5" x14ac:dyDescent="0.6">
      <c r="A580" s="11" t="s">
        <v>63</v>
      </c>
      <c r="B580" s="11">
        <v>2000</v>
      </c>
      <c r="C580" s="11" t="s">
        <v>59</v>
      </c>
      <c r="D580" s="12">
        <v>1.5</v>
      </c>
    </row>
    <row r="581" spans="1:4" ht="16.5" x14ac:dyDescent="0.6">
      <c r="A581" s="9" t="s">
        <v>62</v>
      </c>
      <c r="B581" s="9">
        <v>2001</v>
      </c>
      <c r="C581" s="9" t="s">
        <v>59</v>
      </c>
      <c r="D581" s="10">
        <v>0.2</v>
      </c>
    </row>
    <row r="582" spans="1:4" ht="16.5" x14ac:dyDescent="0.6">
      <c r="A582" s="11" t="s">
        <v>63</v>
      </c>
      <c r="B582" s="11">
        <v>2001</v>
      </c>
      <c r="C582" s="11" t="s">
        <v>59</v>
      </c>
      <c r="D582" s="12">
        <v>1.5</v>
      </c>
    </row>
    <row r="583" spans="1:4" ht="16.5" x14ac:dyDescent="0.6">
      <c r="A583" s="9" t="s">
        <v>62</v>
      </c>
      <c r="B583" s="9">
        <v>2002</v>
      </c>
      <c r="C583" s="9" t="s">
        <v>59</v>
      </c>
      <c r="D583" s="10">
        <v>0.2</v>
      </c>
    </row>
    <row r="584" spans="1:4" ht="16.5" x14ac:dyDescent="0.6">
      <c r="A584" s="11" t="s">
        <v>63</v>
      </c>
      <c r="B584" s="11">
        <v>2002</v>
      </c>
      <c r="C584" s="11" t="s">
        <v>59</v>
      </c>
      <c r="D584" s="12">
        <v>1.5</v>
      </c>
    </row>
    <row r="585" spans="1:4" ht="16.5" x14ac:dyDescent="0.6">
      <c r="A585" s="9" t="s">
        <v>62</v>
      </c>
      <c r="B585" s="9">
        <v>2003</v>
      </c>
      <c r="C585" s="9" t="s">
        <v>59</v>
      </c>
      <c r="D585" s="10">
        <v>0.1</v>
      </c>
    </row>
    <row r="586" spans="1:4" ht="16.5" x14ac:dyDescent="0.6">
      <c r="A586" s="11" t="s">
        <v>63</v>
      </c>
      <c r="B586" s="11">
        <v>2003</v>
      </c>
      <c r="C586" s="11" t="s">
        <v>59</v>
      </c>
      <c r="D586" s="12">
        <v>1.7</v>
      </c>
    </row>
    <row r="587" spans="1:4" ht="16.5" x14ac:dyDescent="0.6">
      <c r="A587" s="9" t="s">
        <v>62</v>
      </c>
      <c r="B587" s="9">
        <v>2004</v>
      </c>
      <c r="C587" s="9" t="s">
        <v>59</v>
      </c>
      <c r="D587" s="10">
        <v>0</v>
      </c>
    </row>
    <row r="588" spans="1:4" ht="16.5" x14ac:dyDescent="0.6">
      <c r="A588" s="11" t="s">
        <v>63</v>
      </c>
      <c r="B588" s="11">
        <v>2004</v>
      </c>
      <c r="C588" s="11" t="s">
        <v>59</v>
      </c>
      <c r="D588" s="12">
        <v>1.7</v>
      </c>
    </row>
    <row r="589" spans="1:4" ht="16.5" x14ac:dyDescent="0.6">
      <c r="A589" s="9" t="s">
        <v>62</v>
      </c>
      <c r="B589" s="9">
        <v>2005</v>
      </c>
      <c r="C589" s="9" t="s">
        <v>59</v>
      </c>
      <c r="D589" s="10">
        <v>0.2</v>
      </c>
    </row>
    <row r="590" spans="1:4" ht="16.5" x14ac:dyDescent="0.6">
      <c r="A590" s="11" t="s">
        <v>63</v>
      </c>
      <c r="B590" s="11">
        <v>2005</v>
      </c>
      <c r="C590" s="11" t="s">
        <v>59</v>
      </c>
      <c r="D590" s="12">
        <v>1.8</v>
      </c>
    </row>
    <row r="591" spans="1:4" ht="16.5" x14ac:dyDescent="0.6">
      <c r="A591" s="9" t="s">
        <v>62</v>
      </c>
      <c r="B591" s="9">
        <v>2006</v>
      </c>
      <c r="C591" s="9" t="s">
        <v>59</v>
      </c>
      <c r="D591" s="10">
        <v>0.2</v>
      </c>
    </row>
    <row r="592" spans="1:4" ht="16.5" x14ac:dyDescent="0.6">
      <c r="A592" s="11" t="s">
        <v>63</v>
      </c>
      <c r="B592" s="11">
        <v>2006</v>
      </c>
      <c r="C592" s="11" t="s">
        <v>59</v>
      </c>
      <c r="D592" s="12">
        <v>3</v>
      </c>
    </row>
    <row r="593" spans="1:4" ht="16.5" x14ac:dyDescent="0.6">
      <c r="A593" s="9" t="s">
        <v>62</v>
      </c>
      <c r="B593" s="9">
        <v>2007</v>
      </c>
      <c r="C593" s="9" t="s">
        <v>59</v>
      </c>
      <c r="D593" s="10">
        <v>0.3</v>
      </c>
    </row>
    <row r="594" spans="1:4" ht="16.5" x14ac:dyDescent="0.6">
      <c r="A594" s="11" t="s">
        <v>63</v>
      </c>
      <c r="B594" s="11">
        <v>2007</v>
      </c>
      <c r="C594" s="11" t="s">
        <v>59</v>
      </c>
      <c r="D594" s="12">
        <v>5.2</v>
      </c>
    </row>
    <row r="595" spans="1:4" ht="16.5" x14ac:dyDescent="0.6">
      <c r="A595" s="9" t="s">
        <v>62</v>
      </c>
      <c r="B595" s="9">
        <v>2008</v>
      </c>
      <c r="C595" s="9" t="s">
        <v>59</v>
      </c>
      <c r="D595" s="10">
        <v>0.3</v>
      </c>
    </row>
    <row r="596" spans="1:4" ht="16.5" x14ac:dyDescent="0.6">
      <c r="A596" s="11" t="s">
        <v>63</v>
      </c>
      <c r="B596" s="11">
        <v>2008</v>
      </c>
      <c r="C596" s="11" t="s">
        <v>59</v>
      </c>
      <c r="D596" s="12">
        <v>5.9</v>
      </c>
    </row>
    <row r="597" spans="1:4" ht="16.5" x14ac:dyDescent="0.6">
      <c r="A597" s="9" t="s">
        <v>62</v>
      </c>
      <c r="B597" s="9">
        <v>2009</v>
      </c>
      <c r="C597" s="9" t="s">
        <v>59</v>
      </c>
      <c r="D597" s="10">
        <v>0.5</v>
      </c>
    </row>
    <row r="598" spans="1:4" ht="16.5" x14ac:dyDescent="0.6">
      <c r="A598" s="11" t="s">
        <v>63</v>
      </c>
      <c r="B598" s="11">
        <v>2009</v>
      </c>
      <c r="C598" s="11" t="s">
        <v>59</v>
      </c>
      <c r="D598" s="12">
        <v>5.4</v>
      </c>
    </row>
    <row r="599" spans="1:4" ht="16.5" x14ac:dyDescent="0.6">
      <c r="A599" s="9" t="s">
        <v>62</v>
      </c>
      <c r="B599" s="9">
        <v>2010</v>
      </c>
      <c r="C599" s="9" t="s">
        <v>59</v>
      </c>
      <c r="D599" s="10">
        <v>0.6</v>
      </c>
    </row>
    <row r="600" spans="1:4" ht="16.5" x14ac:dyDescent="0.6">
      <c r="A600" s="11" t="s">
        <v>63</v>
      </c>
      <c r="B600" s="11">
        <v>2010</v>
      </c>
      <c r="C600" s="11" t="s">
        <v>59</v>
      </c>
      <c r="D600" s="12">
        <v>5.6</v>
      </c>
    </row>
    <row r="601" spans="1:4" ht="16.5" x14ac:dyDescent="0.6">
      <c r="A601" s="9" t="s">
        <v>62</v>
      </c>
      <c r="B601" s="9">
        <v>2011</v>
      </c>
      <c r="C601" s="9" t="s">
        <v>59</v>
      </c>
      <c r="D601" s="10"/>
    </row>
    <row r="602" spans="1:4" ht="16.5" x14ac:dyDescent="0.6">
      <c r="A602" s="11" t="s">
        <v>63</v>
      </c>
      <c r="B602" s="11">
        <v>2011</v>
      </c>
      <c r="C602" s="11" t="s">
        <v>59</v>
      </c>
      <c r="D602" s="12">
        <v>8.4</v>
      </c>
    </row>
    <row r="603" spans="1:4" ht="16.5" x14ac:dyDescent="0.6">
      <c r="A603" s="9" t="s">
        <v>62</v>
      </c>
      <c r="B603" s="9">
        <v>2012</v>
      </c>
      <c r="C603" s="9" t="s">
        <v>59</v>
      </c>
      <c r="D603" s="10"/>
    </row>
    <row r="604" spans="1:4" ht="16.5" x14ac:dyDescent="0.6">
      <c r="A604" s="11" t="s">
        <v>63</v>
      </c>
      <c r="B604" s="11">
        <v>2012</v>
      </c>
      <c r="C604" s="11" t="s">
        <v>59</v>
      </c>
      <c r="D604" s="12">
        <v>5.2</v>
      </c>
    </row>
    <row r="605" spans="1:4" ht="16.5" x14ac:dyDescent="0.6">
      <c r="A605" s="9" t="s">
        <v>62</v>
      </c>
      <c r="B605" s="9">
        <v>2013</v>
      </c>
      <c r="C605" s="9" t="s">
        <v>59</v>
      </c>
      <c r="D605" s="10"/>
    </row>
    <row r="606" spans="1:4" ht="16.5" x14ac:dyDescent="0.6">
      <c r="A606" s="11" t="s">
        <v>63</v>
      </c>
      <c r="B606" s="11">
        <v>2013</v>
      </c>
      <c r="C606" s="11" t="s">
        <v>59</v>
      </c>
      <c r="D606" s="12">
        <v>5.6</v>
      </c>
    </row>
    <row r="607" spans="1:4" ht="16.5" x14ac:dyDescent="0.6">
      <c r="A607" s="9" t="s">
        <v>62</v>
      </c>
      <c r="B607" s="9">
        <v>2014</v>
      </c>
      <c r="C607" s="9" t="s">
        <v>59</v>
      </c>
      <c r="D607" s="10">
        <v>4.4000000000000004</v>
      </c>
    </row>
    <row r="608" spans="1:4" ht="16.5" x14ac:dyDescent="0.6">
      <c r="A608" s="11" t="s">
        <v>63</v>
      </c>
      <c r="B608" s="11">
        <v>2014</v>
      </c>
      <c r="C608" s="11" t="s">
        <v>59</v>
      </c>
      <c r="D608" s="12">
        <v>5</v>
      </c>
    </row>
    <row r="609" spans="1:4" ht="16.5" x14ac:dyDescent="0.6">
      <c r="A609" s="9" t="s">
        <v>62</v>
      </c>
      <c r="B609" s="9">
        <v>2015</v>
      </c>
      <c r="C609" s="9" t="s">
        <v>59</v>
      </c>
      <c r="D609" s="10">
        <v>5.0999999999999996</v>
      </c>
    </row>
    <row r="610" spans="1:4" ht="16.5" x14ac:dyDescent="0.6">
      <c r="A610" s="11" t="s">
        <v>63</v>
      </c>
      <c r="B610" s="11">
        <v>2015</v>
      </c>
      <c r="C610" s="11" t="s">
        <v>59</v>
      </c>
      <c r="D610" s="12">
        <v>5.2</v>
      </c>
    </row>
    <row r="611" spans="1:4" ht="16.5" x14ac:dyDescent="0.6">
      <c r="A611" s="9" t="s">
        <v>62</v>
      </c>
      <c r="B611" s="9">
        <v>2016</v>
      </c>
      <c r="C611" s="9" t="s">
        <v>59</v>
      </c>
      <c r="D611" s="10">
        <v>6.7</v>
      </c>
    </row>
    <row r="612" spans="1:4" ht="16.5" x14ac:dyDescent="0.6">
      <c r="A612" s="11" t="s">
        <v>63</v>
      </c>
      <c r="B612" s="11">
        <v>2016</v>
      </c>
      <c r="C612" s="11" t="s">
        <v>59</v>
      </c>
      <c r="D612" s="12">
        <v>5.6</v>
      </c>
    </row>
    <row r="613" spans="1:4" ht="16.5" x14ac:dyDescent="0.6">
      <c r="A613" s="9" t="s">
        <v>62</v>
      </c>
      <c r="B613" s="9">
        <v>2017</v>
      </c>
      <c r="C613" s="9" t="s">
        <v>59</v>
      </c>
      <c r="D613" s="10">
        <v>7.2</v>
      </c>
    </row>
    <row r="614" spans="1:4" ht="16.5" x14ac:dyDescent="0.6">
      <c r="A614" s="11" t="s">
        <v>63</v>
      </c>
      <c r="B614" s="11">
        <v>2017</v>
      </c>
      <c r="C614" s="11" t="s">
        <v>59</v>
      </c>
      <c r="D614" s="12">
        <v>5.6</v>
      </c>
    </row>
    <row r="615" spans="1:4" ht="16.5" x14ac:dyDescent="0.6">
      <c r="A615" s="9" t="s">
        <v>62</v>
      </c>
      <c r="B615" s="9">
        <v>2018</v>
      </c>
      <c r="C615" s="9" t="s">
        <v>59</v>
      </c>
      <c r="D615" s="10">
        <v>8.5</v>
      </c>
    </row>
    <row r="616" spans="1:4" ht="16.5" x14ac:dyDescent="0.6">
      <c r="A616" s="11" t="s">
        <v>63</v>
      </c>
      <c r="B616" s="11">
        <v>2018</v>
      </c>
      <c r="C616" s="11" t="s">
        <v>59</v>
      </c>
      <c r="D616" s="12">
        <v>4.7</v>
      </c>
    </row>
    <row r="617" spans="1:4" ht="16.5" x14ac:dyDescent="0.6">
      <c r="A617" s="9" t="s">
        <v>62</v>
      </c>
      <c r="B617" s="9">
        <v>2019</v>
      </c>
      <c r="C617" s="9" t="s">
        <v>59</v>
      </c>
      <c r="D617" s="10">
        <v>9.5</v>
      </c>
    </row>
    <row r="618" spans="1:4" ht="16.5" x14ac:dyDescent="0.6">
      <c r="A618" s="11" t="s">
        <v>63</v>
      </c>
      <c r="B618" s="11">
        <v>2019</v>
      </c>
      <c r="C618" s="11" t="s">
        <v>59</v>
      </c>
      <c r="D618" s="12">
        <v>6.4</v>
      </c>
    </row>
    <row r="619" spans="1:4" ht="16.5" x14ac:dyDescent="0.6">
      <c r="A619" s="9" t="s">
        <v>62</v>
      </c>
      <c r="B619" s="9">
        <v>2020</v>
      </c>
      <c r="C619" s="9" t="s">
        <v>59</v>
      </c>
      <c r="D619" s="10">
        <v>9.4</v>
      </c>
    </row>
    <row r="620" spans="1:4" ht="16.5" x14ac:dyDescent="0.6">
      <c r="A620" s="11" t="s">
        <v>63</v>
      </c>
      <c r="B620" s="11">
        <v>2020</v>
      </c>
      <c r="C620" s="11" t="s">
        <v>59</v>
      </c>
      <c r="D620" s="12">
        <v>9.3000000000000007</v>
      </c>
    </row>
    <row r="621" spans="1:4" ht="16.5" x14ac:dyDescent="0.6">
      <c r="A621" s="9" t="s">
        <v>62</v>
      </c>
      <c r="B621" s="9">
        <v>2021</v>
      </c>
      <c r="C621" s="9" t="s">
        <v>59</v>
      </c>
      <c r="D621" s="10">
        <v>9.6</v>
      </c>
    </row>
    <row r="622" spans="1:4" ht="16.5" x14ac:dyDescent="0.6">
      <c r="A622" s="11" t="s">
        <v>63</v>
      </c>
      <c r="B622" s="11">
        <v>2021</v>
      </c>
      <c r="C622" s="11" t="s">
        <v>59</v>
      </c>
      <c r="D622" s="12">
        <v>9.5</v>
      </c>
    </row>
    <row r="623" spans="1:4" ht="16.5" x14ac:dyDescent="0.6">
      <c r="A623" s="9" t="s">
        <v>62</v>
      </c>
      <c r="B623" s="9">
        <v>2022</v>
      </c>
      <c r="C623" s="9" t="s">
        <v>59</v>
      </c>
      <c r="D623" s="10">
        <v>10.3</v>
      </c>
    </row>
    <row r="624" spans="1:4" ht="16.5" x14ac:dyDescent="0.6">
      <c r="A624" s="11" t="s">
        <v>63</v>
      </c>
      <c r="B624" s="11">
        <v>2022</v>
      </c>
      <c r="C624" s="11" t="s">
        <v>59</v>
      </c>
      <c r="D624" s="12">
        <v>7.8</v>
      </c>
    </row>
    <row r="625" spans="1:4" ht="16.5" x14ac:dyDescent="0.6">
      <c r="A625" s="9" t="s">
        <v>62</v>
      </c>
      <c r="B625" s="9">
        <v>2023</v>
      </c>
      <c r="C625" s="9" t="s">
        <v>59</v>
      </c>
      <c r="D625" s="10"/>
    </row>
    <row r="626" spans="1:4" ht="16.5" x14ac:dyDescent="0.6">
      <c r="A626" s="11" t="s">
        <v>63</v>
      </c>
      <c r="B626" s="11">
        <v>2023</v>
      </c>
      <c r="C626" s="11" t="s">
        <v>59</v>
      </c>
      <c r="D626" s="12"/>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2025-11-06T09:49:37Z</dcterms:modified>
</cp:coreProperties>
</file>