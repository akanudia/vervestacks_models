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LVA\SuppXLS\"/>
    </mc:Choice>
  </mc:AlternateContent>
  <xr:revisionPtr revIDLastSave="0" documentId="8_{E0FCE104-8AD0-419C-96A6-8DDC26B33478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<sst xmlns="http://schemas.openxmlformats.org/spreadsheetml/2006/main" count="2992" uniqueCount="219">
  <si>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</si>
  <si>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</si>
  <si>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</si>
  <si>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</si>
  <si>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</si>
  <si>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</si>
  <si>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</si>
  <si>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</si>
  <si>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</si>
  <si>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</si>
  <si>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</si>
  <si>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</si>
  <si>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</si>
  <si>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</si>
  <si>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</si>
  <si>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</si>
  <si>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</si>
  <si>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</si>
  <si>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</si>
  <si>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</si>
  <si>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</si>
  <si>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</si>
  <si>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</si>
  <si>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</si>
  <si>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</si>
  <si>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</si>
  <si>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</si>
  <si>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</si>
  <si>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</si>
  <si>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</si>
  <si>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</si>
  <si>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</si>
  <si>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</si>
  <si>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</si>
  <si>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</si>
  <si>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</si>
  <si>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</si>
  <si>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</si>
  <si>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</si>
  <si>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</si>
  <si>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</si>
  <si>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</si>
  <si>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</si>
  <si>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</si>
  <si>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</si>
  <si>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</si>
  <si>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</si>
  <si>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</si>
  <si>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</si>
  <si>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</si>
  <si>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</si>
  <si>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</si>
  <si>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</si>
  <si>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</si>
  <si>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</si>
  <si>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</si>
  <si>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</si>
  <si>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</si>
  <si>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</si>
  <si>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</si>
  <si>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</si>
  <si>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</si>
  <si>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</si>
  <si>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</si>
  <si>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</si>
  <si>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</si>
  <si>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</si>
  <si>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</si>
  <si>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</si>
  <si>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</si>
  <si>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</si>
  <si>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</si>
  <si>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</si>
  <si>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</si>
  <si>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</si>
  <si>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</si>
  <si>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</si>
  <si>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</si>
  <si>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</si>
  <si>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</si>
  <si>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</si>
  <si>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</si>
  <si>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</si>
  <si>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</si>
  <si>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</si>
  <si>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</si>
  <si>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</si>
  <si>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</si>
  <si>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</si>
  <si>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</si>
  <si>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</si>
  <si>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</si>
  <si>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</si>
  <si>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</si>
  <si>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</si>
  <si>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</si>
  <si>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</si>
  <si>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</si>
  <si>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</si>
  <si>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</si>
  <si>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</si>
  <si>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</si>
  <si>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</si>
  <si>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</si>
  <si>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</si>
  <si>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</si>
  <si>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</si>
  <si>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</si>
  <si>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</si>
  <si>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</si>
  <si>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</si>
  <si>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</si>
  <si>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</si>
  <si>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</si>
  <si>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</si>
  <si>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</si>
  <si>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</si>
  <si>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</si>
  <si>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</si>
  <si>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</si>
  <si>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</si>
  <si>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</si>
  <si>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</si>
  <si>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</si>
  <si>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</si>
  <si>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</si>
  <si>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</si>
  <si>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</si>
  <si>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</si>
  <si>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</si>
  <si>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</si>
  <si>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</si>
  <si>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</si>
  <si>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</si>
  <si>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</si>
  <si>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</si>
  <si>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</si>
  <si>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</si>
  <si>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</si>
  <si>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</si>
  <si>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</si>
  <si>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</si>
  <si>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</si>
  <si>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LVA</t>
  </si>
  <si>
    <t>R10EUROPE</t>
  </si>
  <si>
    <t>Baltic market, forest resources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</si>
  <si>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</si>
  <si>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</si>
  <si>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</si>
  <si>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</si>
  <si>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</si>
  <si>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</si>
  <si>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</si>
  <si>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</si>
  <si>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</si>
  <si>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</si>
  <si>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</si>
  <si>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</si>
  <si>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</si>
  <si>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</si>
  <si>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</si>
  <si>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</si>
  <si>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</si>
  <si>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</si>
  <si>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</si>
  <si>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</si>
  <si>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</si>
  <si>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</si>
  <si>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</si>
  <si>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</si>
  <si>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</si>
  <si>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</si>
  <si>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</si>
  <si>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</si>
  <si>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</si>
  <si>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</si>
  <si>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</si>
  <si>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</si>
  <si>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</si>
  <si>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</si>
  <si>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</si>
  <si>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</si>
  <si>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</si>
  <si>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</si>
  <si>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</si>
  <si>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</si>
  <si>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</si>
  <si>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</si>
  <si>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</si>
  <si>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</si>
  <si>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</si>
  <si>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</si>
  <si>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</si>
  <si>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</si>
  <si>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</si>
  <si>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</si>
  <si>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</si>
  <si>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</si>
  <si>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</si>
  <si>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</si>
  <si>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</si>
  <si>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</si>
  <si>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</si>
  <si>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</si>
  <si>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</si>
  <si>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</si>
  <si>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</si>
  <si>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</si>
  <si>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</si>
  <si>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</si>
  <si>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</si>
  <si>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</si>
  <si>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</si>
  <si>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</si>
  <si>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</si>
  <si>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</si>
  <si>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</si>
  <si>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WaD,FaD,RaD,FaP,SaP,WaP,SaD,RaP</t>
  </si>
  <si>
    <t>RaP,SaN,WaN,FaN,RaN,FaP,SaP,WaP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</si>
</sst>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7.3099999999999987</c:v>
                </c:pt>
                <c:pt idx="1">
                  <c:v>7.6754999999999987</c:v>
                </c:pt>
                <c:pt idx="2">
                  <c:v>8.552699999999998</c:v>
                </c:pt>
                <c:pt idx="3">
                  <c:v>9.6491999999999987</c:v>
                </c:pt>
                <c:pt idx="4">
                  <c:v>10.964999999999998</c:v>
                </c:pt>
                <c:pt idx="5">
                  <c:v>12.280799999999997</c:v>
                </c:pt>
                <c:pt idx="6">
                  <c:v>13.231099999999998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7.3099999999999987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7.3099999999999987</v>
      </c>
      <c r="U14" s="8">
        <f t="shared" ref="U14:Z14" si="3">$S$12*J15</f>
        <v>7.6754999999999987</v>
      </c>
      <c r="V14" s="8">
        <f t="shared" si="3"/>
        <v>8.552699999999998</v>
      </c>
      <c r="W14" s="8">
        <f t="shared" si="3"/>
        <v>9.6491999999999987</v>
      </c>
      <c r="X14" s="8">
        <f t="shared" si="3"/>
        <v>10.964999999999998</v>
      </c>
      <c r="Y14" s="8">
        <f t="shared" si="3"/>
        <v>12.280799999999997</v>
      </c>
      <c r="Z14" s="8">
        <f t="shared" si="3"/>
        <v>13.231099999999998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8.5526999999999978E-2</v>
      </c>
      <c r="W18" s="6">
        <f t="shared" si="7"/>
        <v>9.6491999999999994E-2</v>
      </c>
      <c r="X18" s="6">
        <f t="shared" si="7"/>
        <v>0.10964999999999998</v>
      </c>
      <c r="Y18" s="6">
        <f t="shared" si="7"/>
        <v>0.24561599999999995</v>
      </c>
      <c r="Z18" s="6">
        <f t="shared" si="7"/>
        <v>0.39693299999999992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2.6315999999999993</v>
      </c>
      <c r="U19" s="6">
        <f t="shared" si="7"/>
        <v>2.4561599999999997</v>
      </c>
      <c r="V19" s="6">
        <f t="shared" si="7"/>
        <v>2.6513369999999994</v>
      </c>
      <c r="W19" s="6">
        <f t="shared" si="7"/>
        <v>2.7982679999999993</v>
      </c>
      <c r="X19" s="6">
        <f t="shared" si="7"/>
        <v>3.1798499999999992</v>
      </c>
      <c r="Y19" s="6">
        <f t="shared" si="7"/>
        <v>3.561431999999999</v>
      </c>
      <c r="Z19" s="6">
        <f t="shared" si="7"/>
        <v>3.9693299999999994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4.3859999999999992</v>
      </c>
      <c r="U20" s="6">
        <f t="shared" si="7"/>
        <v>4.6052999999999988</v>
      </c>
      <c r="V20" s="6">
        <f t="shared" si="7"/>
        <v>5.131619999999999</v>
      </c>
      <c r="W20" s="6">
        <f t="shared" si="7"/>
        <v>5.500043999999999</v>
      </c>
      <c r="X20" s="6">
        <f t="shared" si="7"/>
        <v>5.9210999999999991</v>
      </c>
      <c r="Y20" s="6">
        <f t="shared" si="7"/>
        <v>6.3860159999999988</v>
      </c>
      <c r="Z20" s="6">
        <f t="shared" si="7"/>
        <v>7.0124829999999996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0.21929999999999997</v>
      </c>
      <c r="U21" s="6">
        <f t="shared" ref="U21:Z21" si="8">T21</f>
        <v>0.21929999999999997</v>
      </c>
      <c r="V21" s="6">
        <f t="shared" si="8"/>
        <v>0.21929999999999997</v>
      </c>
      <c r="W21" s="6">
        <f t="shared" si="8"/>
        <v>0.21929999999999997</v>
      </c>
      <c r="X21" s="6">
        <f t="shared" si="8"/>
        <v>0.21929999999999997</v>
      </c>
      <c r="Y21" s="6">
        <f t="shared" si="8"/>
        <v>0.21929999999999997</v>
      </c>
      <c r="Z21" s="6">
        <f t="shared" si="8"/>
        <v>0.21929999999999997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7.3100000000001053E-2</v>
      </c>
      <c r="U22" s="6">
        <f t="shared" si="9"/>
        <v>0.39474000000000053</v>
      </c>
      <c r="V22" s="6">
        <f t="shared" si="9"/>
        <v>0.55044299999999957</v>
      </c>
      <c r="W22" s="6">
        <f t="shared" si="9"/>
        <v>1.1315879999999989</v>
      </c>
      <c r="X22" s="6">
        <f t="shared" si="9"/>
        <v>1.6447500000000002</v>
      </c>
      <c r="Y22" s="6">
        <f t="shared" si="9"/>
        <v>2.1140519999999992</v>
      </c>
      <c r="Z22" s="6">
        <f t="shared" si="9"/>
        <v>2.0299869999999984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5.31</v>
      </c>
      <c r="S28" t="s">
        <v>32</v>
      </c>
      <c r="T28" s="3">
        <f>Q28</f>
        <v>5.31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-3</v>
      </c>
      <c r="S29" t="s">
        <v>35</v>
      </c>
      <c r="T29" s="3">
        <f>-1*Q29</f>
        <v>3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13.974</v>
      </c>
      <c r="K46">
        <f t="shared" si="12"/>
        <v>14.522</v>
      </c>
      <c r="L46">
        <f t="shared" si="12"/>
        <v>14.659000000000001</v>
      </c>
      <c r="M46">
        <f t="shared" si="12"/>
        <v>14.795999999999999</v>
      </c>
      <c r="N46">
        <f t="shared" si="12"/>
        <v>15.07</v>
      </c>
      <c r="O46">
        <f t="shared" si="12"/>
        <v>15.344000000000001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24</v>
      </c>
      <c r="O48">
        <f>VLOOKUP($E$5,$AK$9:$AM$15,3,FALSE)*I48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0.2</v>
      </c>
      <c r="D84">
        <v>0</v>
      </c>
      <c r="E84">
        <v>0</v>
      </c>
      <c r="F84" t="s">
        <v>149</v>
      </c>
    </row>
    <row r="85" spans="1:6" x14ac:dyDescent="0.45">
      <c r="A85" t="s">
        <v>32</v>
      </c>
      <c r="B85" t="s">
        <v>148</v>
      </c>
      <c r="C85">
        <v>2.2839999999999998</v>
      </c>
      <c r="D85">
        <v>1.9</v>
      </c>
      <c r="E85">
        <v>2.9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20</v>
      </c>
      <c r="I11">
        <v>28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2.91</v>
      </c>
      <c r="D11">
        <v>2.88</v>
      </c>
      <c r="E11">
        <v>0.04</v>
      </c>
      <c r="F11">
        <v>0.08</v>
      </c>
      <c r="G11">
        <v>2.11</v>
      </c>
      <c r="H11">
        <v>-0.32</v>
      </c>
      <c r="I11">
        <v>4.1399999999999997</v>
      </c>
    </row>
    <row r="12" spans="1:9" x14ac:dyDescent="0.45">
      <c r="A12" t="s">
        <v>143</v>
      </c>
      <c r="B12">
        <v>2001</v>
      </c>
      <c r="C12">
        <v>3.19</v>
      </c>
      <c r="D12">
        <v>2.84</v>
      </c>
      <c r="E12">
        <v>0.04</v>
      </c>
      <c r="F12">
        <v>0.08</v>
      </c>
      <c r="G12">
        <v>2.34</v>
      </c>
      <c r="H12">
        <v>-0.46</v>
      </c>
      <c r="I12">
        <v>4.28</v>
      </c>
    </row>
    <row r="13" spans="1:9" x14ac:dyDescent="0.45">
      <c r="A13" t="s">
        <v>143</v>
      </c>
      <c r="B13">
        <v>2002</v>
      </c>
      <c r="C13">
        <v>3</v>
      </c>
      <c r="D13">
        <v>3.19</v>
      </c>
      <c r="E13">
        <v>0.04</v>
      </c>
      <c r="F13">
        <v>0.08</v>
      </c>
      <c r="G13">
        <v>2.84</v>
      </c>
      <c r="H13">
        <v>-0.49</v>
      </c>
      <c r="I13">
        <v>3.98</v>
      </c>
    </row>
    <row r="14" spans="1:9" x14ac:dyDescent="0.45">
      <c r="A14" t="s">
        <v>143</v>
      </c>
      <c r="B14">
        <v>2003</v>
      </c>
      <c r="C14">
        <v>3.03</v>
      </c>
      <c r="D14">
        <v>3.44</v>
      </c>
      <c r="E14">
        <v>0.04</v>
      </c>
      <c r="F14">
        <v>0.08</v>
      </c>
      <c r="G14">
        <v>2.67</v>
      </c>
      <c r="H14">
        <v>-0.04</v>
      </c>
      <c r="I14">
        <v>3.98</v>
      </c>
    </row>
    <row r="15" spans="1:9" x14ac:dyDescent="0.45">
      <c r="A15" t="s">
        <v>143</v>
      </c>
      <c r="B15">
        <v>2004</v>
      </c>
      <c r="C15">
        <v>3.04</v>
      </c>
      <c r="D15">
        <v>3.61</v>
      </c>
      <c r="E15">
        <v>0.04</v>
      </c>
      <c r="F15">
        <v>0.08</v>
      </c>
      <c r="G15">
        <v>2.73</v>
      </c>
      <c r="H15">
        <v>-0.64</v>
      </c>
      <c r="I15">
        <v>4.6900000000000004</v>
      </c>
    </row>
    <row r="16" spans="1:9" x14ac:dyDescent="0.45">
      <c r="A16" t="s">
        <v>143</v>
      </c>
      <c r="B16">
        <v>2005</v>
      </c>
      <c r="C16">
        <v>3.05</v>
      </c>
      <c r="D16">
        <v>3.86</v>
      </c>
      <c r="E16">
        <v>0.04</v>
      </c>
      <c r="F16">
        <v>0.08</v>
      </c>
      <c r="G16">
        <v>2.85</v>
      </c>
      <c r="H16">
        <v>-0.71</v>
      </c>
      <c r="I16">
        <v>4.91</v>
      </c>
    </row>
    <row r="17" spans="1:9" x14ac:dyDescent="0.45">
      <c r="A17" t="s">
        <v>143</v>
      </c>
      <c r="B17">
        <v>2006</v>
      </c>
      <c r="C17">
        <v>3.04</v>
      </c>
      <c r="D17">
        <v>4.22</v>
      </c>
      <c r="E17">
        <v>0.04</v>
      </c>
      <c r="F17">
        <v>0.08</v>
      </c>
      <c r="G17">
        <v>2.81</v>
      </c>
      <c r="H17">
        <v>-0.3</v>
      </c>
      <c r="I17">
        <v>4.8899999999999997</v>
      </c>
    </row>
    <row r="18" spans="1:9" x14ac:dyDescent="0.45">
      <c r="A18" t="s">
        <v>143</v>
      </c>
      <c r="B18">
        <v>2007</v>
      </c>
      <c r="C18">
        <v>3</v>
      </c>
      <c r="D18">
        <v>4.63</v>
      </c>
      <c r="E18">
        <v>0.04</v>
      </c>
      <c r="F18">
        <v>0.08</v>
      </c>
      <c r="G18">
        <v>4.96</v>
      </c>
      <c r="H18">
        <v>-1.96</v>
      </c>
      <c r="I18">
        <v>4.7699999999999996</v>
      </c>
    </row>
    <row r="19" spans="1:9" x14ac:dyDescent="0.45">
      <c r="A19" t="s">
        <v>143</v>
      </c>
      <c r="B19">
        <v>2008</v>
      </c>
      <c r="C19">
        <v>2.87</v>
      </c>
      <c r="D19">
        <v>4.79</v>
      </c>
      <c r="E19">
        <v>0.04</v>
      </c>
      <c r="F19">
        <v>0.08</v>
      </c>
      <c r="G19">
        <v>4.6399999999999997</v>
      </c>
      <c r="H19">
        <v>-2.12</v>
      </c>
      <c r="I19">
        <v>5.27</v>
      </c>
    </row>
    <row r="20" spans="1:9" x14ac:dyDescent="0.45">
      <c r="A20" t="s">
        <v>143</v>
      </c>
      <c r="B20">
        <v>2009</v>
      </c>
      <c r="C20">
        <v>2.64</v>
      </c>
      <c r="D20">
        <v>4.46</v>
      </c>
      <c r="E20">
        <v>0.04</v>
      </c>
      <c r="F20">
        <v>7.0000000000000007E-2</v>
      </c>
      <c r="G20">
        <v>4.26</v>
      </c>
      <c r="H20">
        <v>-2.61</v>
      </c>
      <c r="I20">
        <v>5.57</v>
      </c>
    </row>
    <row r="21" spans="1:9" x14ac:dyDescent="0.45">
      <c r="A21" t="s">
        <v>143</v>
      </c>
      <c r="B21">
        <v>2010</v>
      </c>
      <c r="C21">
        <v>2.89</v>
      </c>
      <c r="D21">
        <v>4.49</v>
      </c>
      <c r="E21">
        <v>0.04</v>
      </c>
      <c r="F21">
        <v>7.0000000000000007E-2</v>
      </c>
      <c r="G21">
        <v>3.97</v>
      </c>
      <c r="H21">
        <v>-3.1</v>
      </c>
      <c r="I21">
        <v>6.63</v>
      </c>
    </row>
    <row r="22" spans="1:9" x14ac:dyDescent="0.45">
      <c r="A22" t="s">
        <v>143</v>
      </c>
      <c r="B22">
        <v>2011</v>
      </c>
      <c r="C22">
        <v>2.83</v>
      </c>
      <c r="D22">
        <v>4.3899999999999997</v>
      </c>
      <c r="E22">
        <v>0.04</v>
      </c>
      <c r="F22">
        <v>7.0000000000000007E-2</v>
      </c>
      <c r="G22">
        <v>4.01</v>
      </c>
      <c r="H22">
        <v>-2.76</v>
      </c>
      <c r="I22">
        <v>6.09</v>
      </c>
    </row>
    <row r="23" spans="1:9" x14ac:dyDescent="0.45">
      <c r="A23" t="s">
        <v>143</v>
      </c>
      <c r="B23">
        <v>2012</v>
      </c>
      <c r="C23">
        <v>3.02</v>
      </c>
      <c r="D23">
        <v>4.71</v>
      </c>
      <c r="E23">
        <v>0.04</v>
      </c>
      <c r="F23">
        <v>7.0000000000000007E-2</v>
      </c>
      <c r="G23">
        <v>4.93</v>
      </c>
      <c r="H23">
        <v>-3.24</v>
      </c>
      <c r="I23">
        <v>6.16</v>
      </c>
    </row>
    <row r="24" spans="1:9" x14ac:dyDescent="0.45">
      <c r="A24" t="s">
        <v>143</v>
      </c>
      <c r="B24">
        <v>2013</v>
      </c>
      <c r="C24">
        <v>2.81</v>
      </c>
      <c r="D24">
        <v>4.63</v>
      </c>
      <c r="E24">
        <v>0.04</v>
      </c>
      <c r="F24">
        <v>7.0000000000000007E-2</v>
      </c>
      <c r="G24">
        <v>5</v>
      </c>
      <c r="H24">
        <v>-3.65</v>
      </c>
      <c r="I24">
        <v>6.21</v>
      </c>
    </row>
    <row r="25" spans="1:9" x14ac:dyDescent="0.45">
      <c r="A25" t="s">
        <v>143</v>
      </c>
      <c r="B25">
        <v>2014</v>
      </c>
      <c r="C25">
        <v>2.56</v>
      </c>
      <c r="D25">
        <v>4.79</v>
      </c>
      <c r="E25">
        <v>0.04</v>
      </c>
      <c r="F25">
        <v>0.06</v>
      </c>
      <c r="G25">
        <v>5.34</v>
      </c>
      <c r="H25">
        <v>-3.02</v>
      </c>
      <c r="I25">
        <v>5.14</v>
      </c>
    </row>
    <row r="26" spans="1:9" x14ac:dyDescent="0.45">
      <c r="A26" t="s">
        <v>143</v>
      </c>
      <c r="B26">
        <v>2015</v>
      </c>
      <c r="C26">
        <v>2.61</v>
      </c>
      <c r="D26">
        <v>4.6399999999999997</v>
      </c>
      <c r="E26">
        <v>7.0000000000000007E-2</v>
      </c>
      <c r="F26">
        <v>0.03</v>
      </c>
      <c r="G26">
        <v>5.25</v>
      </c>
      <c r="H26">
        <v>-3.43</v>
      </c>
      <c r="I26">
        <v>5.53</v>
      </c>
    </row>
    <row r="27" spans="1:9" x14ac:dyDescent="0.45">
      <c r="A27" t="s">
        <v>143</v>
      </c>
      <c r="B27">
        <v>2016</v>
      </c>
      <c r="C27">
        <v>2.65</v>
      </c>
      <c r="D27">
        <v>4.7</v>
      </c>
      <c r="E27">
        <v>7.0000000000000007E-2</v>
      </c>
      <c r="F27">
        <v>0.03</v>
      </c>
      <c r="G27">
        <v>4.83</v>
      </c>
      <c r="H27">
        <v>-3.8</v>
      </c>
      <c r="I27">
        <v>6.42</v>
      </c>
    </row>
    <row r="28" spans="1:9" x14ac:dyDescent="0.45">
      <c r="A28" t="s">
        <v>143</v>
      </c>
      <c r="B28">
        <v>2017</v>
      </c>
      <c r="C28">
        <v>2.75</v>
      </c>
      <c r="D28">
        <v>4.5999999999999996</v>
      </c>
      <c r="E28">
        <v>7.0000000000000007E-2</v>
      </c>
      <c r="F28">
        <v>0.03</v>
      </c>
      <c r="G28">
        <v>4.07</v>
      </c>
      <c r="H28">
        <v>-4.1399999999999997</v>
      </c>
      <c r="I28">
        <v>7.53</v>
      </c>
    </row>
    <row r="29" spans="1:9" x14ac:dyDescent="0.45">
      <c r="A29" t="s">
        <v>143</v>
      </c>
      <c r="B29">
        <v>2018</v>
      </c>
      <c r="C29">
        <v>2.82</v>
      </c>
      <c r="D29">
        <v>4.7</v>
      </c>
      <c r="E29">
        <v>7.0000000000000007E-2</v>
      </c>
      <c r="F29">
        <v>0.03</v>
      </c>
      <c r="G29">
        <v>5.17</v>
      </c>
      <c r="H29">
        <v>-4.26</v>
      </c>
      <c r="I29">
        <v>6.72</v>
      </c>
    </row>
    <row r="30" spans="1:9" x14ac:dyDescent="0.45">
      <c r="A30" t="s">
        <v>143</v>
      </c>
      <c r="B30">
        <v>2019</v>
      </c>
      <c r="C30">
        <v>2.77</v>
      </c>
      <c r="D30">
        <v>4.68</v>
      </c>
      <c r="E30">
        <v>7.0000000000000007E-2</v>
      </c>
      <c r="F30">
        <v>0.03</v>
      </c>
      <c r="G30">
        <v>4.6100000000000003</v>
      </c>
      <c r="H30">
        <v>-3.49</v>
      </c>
      <c r="I30">
        <v>6.44</v>
      </c>
    </row>
    <row r="31" spans="1:9" x14ac:dyDescent="0.45">
      <c r="A31" t="s">
        <v>143</v>
      </c>
      <c r="B31">
        <v>2020</v>
      </c>
      <c r="C31">
        <v>2.5299999999999998</v>
      </c>
      <c r="D31">
        <v>4.55</v>
      </c>
      <c r="E31">
        <v>0.06</v>
      </c>
      <c r="F31">
        <v>0.03</v>
      </c>
      <c r="G31">
        <v>4.17</v>
      </c>
      <c r="H31">
        <v>-2.5499999999999998</v>
      </c>
      <c r="I31">
        <v>5.72</v>
      </c>
    </row>
    <row r="32" spans="1:9" x14ac:dyDescent="0.45">
      <c r="A32" t="s">
        <v>143</v>
      </c>
      <c r="B32">
        <v>2021</v>
      </c>
      <c r="C32">
        <v>2.64</v>
      </c>
      <c r="D32">
        <v>4.68</v>
      </c>
      <c r="E32">
        <v>7.0000000000000007E-2</v>
      </c>
      <c r="F32">
        <v>0.03</v>
      </c>
      <c r="G32">
        <v>4.67</v>
      </c>
      <c r="H32">
        <v>-2.89</v>
      </c>
      <c r="I32">
        <v>5.85</v>
      </c>
    </row>
    <row r="33" spans="1:9" x14ac:dyDescent="0.45">
      <c r="A33" t="s">
        <v>143</v>
      </c>
      <c r="B33">
        <v>2022</v>
      </c>
      <c r="C33">
        <v>2.44</v>
      </c>
      <c r="D33">
        <v>4.5</v>
      </c>
      <c r="E33">
        <v>0.06</v>
      </c>
      <c r="F33">
        <v>0.03</v>
      </c>
      <c r="G33">
        <v>5.31</v>
      </c>
      <c r="H33">
        <v>-3</v>
      </c>
      <c r="I33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192</v>
      </c>
      <c r="D10" t="s">
        <v>106</v>
      </c>
      <c r="F10" t="s">
        <v>192</v>
      </c>
      <c r="G10" t="s">
        <v>131</v>
      </c>
    </row>
    <row r="11" spans="1:7" x14ac:dyDescent="0.45">
      <c r="B11" s="15"/>
      <c r="C11" s="15" t="s">
        <v>193</v>
      </c>
      <c r="D11" t="s">
        <v>160</v>
      </c>
      <c r="F11" t="s">
        <v>193</v>
      </c>
      <c r="G11" t="s">
        <v>217</v>
      </c>
    </row>
    <row r="12" spans="1:7" x14ac:dyDescent="0.45">
      <c r="B12" s="15"/>
      <c r="C12" s="15" t="s">
        <v>194</v>
      </c>
      <c r="D12" t="s">
        <v>160</v>
      </c>
      <c r="F12" t="s">
        <v>194</v>
      </c>
      <c r="G12" t="s">
        <v>218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D449-E4D4-4083-A67B-A7D1F8DFEB7A}">
  <dimension ref="A9:AN2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191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195</v>
      </c>
      <c r="AK10" t="s">
        <v>47</v>
      </c>
      <c r="AL10" t="s">
        <v>121</v>
      </c>
      <c r="AM10" t="s">
        <v>196</v>
      </c>
      <c r="AN10" t="s">
        <v>197</v>
      </c>
    </row>
    <row r="11" spans="1:40" x14ac:dyDescent="0.45">
      <c r="A11" t="str">
        <f>IFERROR(IF(Veda!D5=A10,"ok","x"),"")</f>
        <v>ok</v>
      </c>
      <c r="C11" t="s">
        <v>155</v>
      </c>
      <c r="D11" t="s">
        <v>156</v>
      </c>
      <c r="E11" t="s">
        <v>157</v>
      </c>
      <c r="F11" t="s">
        <v>155</v>
      </c>
      <c r="G11" t="s">
        <v>156</v>
      </c>
      <c r="I11" t="s">
        <v>159</v>
      </c>
      <c r="J11" t="s">
        <v>160</v>
      </c>
      <c r="K11">
        <v>1.0000000000000007</v>
      </c>
      <c r="L11" t="s">
        <v>161</v>
      </c>
      <c r="N11" t="s">
        <v>171</v>
      </c>
      <c r="O11" t="s">
        <v>160</v>
      </c>
      <c r="P11">
        <v>0.99999999999999867</v>
      </c>
      <c r="Q11" t="s">
        <v>161</v>
      </c>
      <c r="S11" t="s">
        <v>181</v>
      </c>
      <c r="T11" t="s">
        <v>160</v>
      </c>
      <c r="U11">
        <v>0.99999999999999944</v>
      </c>
      <c r="V11" t="s">
        <v>161</v>
      </c>
      <c r="X11">
        <v>1</v>
      </c>
      <c r="Y11">
        <v>1.0000000000000002</v>
      </c>
      <c r="Z11" t="s">
        <v>160</v>
      </c>
      <c r="AA11" t="s">
        <v>25</v>
      </c>
      <c r="AC11" t="s">
        <v>22</v>
      </c>
      <c r="AD11" t="s">
        <v>160</v>
      </c>
      <c r="AE11">
        <v>1</v>
      </c>
      <c r="AG11" t="s">
        <v>96</v>
      </c>
      <c r="AH11" t="s">
        <v>160</v>
      </c>
      <c r="AI11">
        <v>0.33611114559653488</v>
      </c>
      <c r="AK11">
        <v>2020</v>
      </c>
      <c r="AL11" t="s">
        <v>155</v>
      </c>
      <c r="AM11">
        <v>0.1799960784130826</v>
      </c>
      <c r="AN11" t="s">
        <v>198</v>
      </c>
    </row>
    <row r="12" spans="1:40" x14ac:dyDescent="0.45">
      <c r="I12" t="s">
        <v>162</v>
      </c>
      <c r="J12" t="s">
        <v>160</v>
      </c>
      <c r="K12">
        <v>1.0000000000000009</v>
      </c>
      <c r="L12" t="s">
        <v>161</v>
      </c>
      <c r="N12" t="s">
        <v>172</v>
      </c>
      <c r="O12" t="s">
        <v>160</v>
      </c>
      <c r="P12">
        <v>1.0000000000000007</v>
      </c>
      <c r="Q12" t="s">
        <v>161</v>
      </c>
      <c r="S12" t="s">
        <v>182</v>
      </c>
      <c r="T12" t="s">
        <v>160</v>
      </c>
      <c r="U12">
        <v>0.99999999999999734</v>
      </c>
      <c r="V12" t="s">
        <v>161</v>
      </c>
      <c r="AC12" t="s">
        <v>19</v>
      </c>
      <c r="AD12" t="s">
        <v>160</v>
      </c>
      <c r="AE12">
        <v>1</v>
      </c>
      <c r="AK12">
        <v>2021</v>
      </c>
      <c r="AL12" t="s">
        <v>155</v>
      </c>
      <c r="AM12">
        <v>0.18745518371456693</v>
      </c>
      <c r="AN12" t="s">
        <v>198</v>
      </c>
    </row>
    <row r="13" spans="1:40" x14ac:dyDescent="0.45">
      <c r="I13" t="s">
        <v>163</v>
      </c>
      <c r="J13" t="s">
        <v>160</v>
      </c>
      <c r="K13">
        <v>1.0000000000000011</v>
      </c>
      <c r="L13" t="s">
        <v>161</v>
      </c>
      <c r="N13" t="s">
        <v>173</v>
      </c>
      <c r="O13" t="s">
        <v>160</v>
      </c>
      <c r="P13">
        <v>0.99999999999999989</v>
      </c>
      <c r="Q13" t="s">
        <v>161</v>
      </c>
      <c r="S13" t="s">
        <v>183</v>
      </c>
      <c r="T13" t="s">
        <v>160</v>
      </c>
      <c r="U13">
        <v>0.99999999999999778</v>
      </c>
      <c r="V13" t="s">
        <v>161</v>
      </c>
      <c r="AK13">
        <v>2022</v>
      </c>
      <c r="AL13" t="s">
        <v>155</v>
      </c>
      <c r="AM13">
        <v>0.19272847718019148</v>
      </c>
      <c r="AN13" t="s">
        <v>198</v>
      </c>
    </row>
    <row r="14" spans="1:40" x14ac:dyDescent="0.45">
      <c r="I14" t="s">
        <v>164</v>
      </c>
      <c r="J14" t="s">
        <v>160</v>
      </c>
      <c r="K14">
        <v>0.99999999999999956</v>
      </c>
      <c r="L14" t="s">
        <v>161</v>
      </c>
      <c r="N14" t="s">
        <v>174</v>
      </c>
      <c r="O14" t="s">
        <v>160</v>
      </c>
      <c r="P14">
        <v>0.999999999999998</v>
      </c>
      <c r="Q14" t="s">
        <v>161</v>
      </c>
      <c r="S14" t="s">
        <v>184</v>
      </c>
      <c r="T14" t="s">
        <v>160</v>
      </c>
      <c r="U14">
        <v>0.99999999999999933</v>
      </c>
      <c r="V14" t="s">
        <v>161</v>
      </c>
    </row>
    <row r="15" spans="1:40" x14ac:dyDescent="0.45">
      <c r="I15" t="s">
        <v>165</v>
      </c>
      <c r="J15" t="s">
        <v>160</v>
      </c>
      <c r="K15">
        <v>0.99999999999999978</v>
      </c>
      <c r="L15" t="s">
        <v>161</v>
      </c>
      <c r="N15" t="s">
        <v>175</v>
      </c>
      <c r="O15" t="s">
        <v>160</v>
      </c>
      <c r="P15">
        <v>0.99999999999999656</v>
      </c>
      <c r="Q15" t="s">
        <v>161</v>
      </c>
      <c r="S15" t="s">
        <v>185</v>
      </c>
      <c r="T15" t="s">
        <v>160</v>
      </c>
      <c r="U15">
        <v>1.0000000000000007</v>
      </c>
      <c r="V15" t="s">
        <v>161</v>
      </c>
    </row>
    <row r="16" spans="1:40" x14ac:dyDescent="0.45">
      <c r="I16" t="s">
        <v>166</v>
      </c>
      <c r="J16" t="s">
        <v>160</v>
      </c>
      <c r="K16">
        <v>1.0000000000000004</v>
      </c>
      <c r="L16" t="s">
        <v>161</v>
      </c>
      <c r="N16" t="s">
        <v>176</v>
      </c>
      <c r="O16" t="s">
        <v>160</v>
      </c>
      <c r="P16">
        <v>0.999999999999999</v>
      </c>
      <c r="Q16" t="s">
        <v>161</v>
      </c>
      <c r="S16" t="s">
        <v>186</v>
      </c>
      <c r="T16" t="s">
        <v>160</v>
      </c>
      <c r="U16">
        <v>0.99999999999999656</v>
      </c>
      <c r="V16" t="s">
        <v>161</v>
      </c>
    </row>
    <row r="17" spans="9:22" x14ac:dyDescent="0.45">
      <c r="I17" t="s">
        <v>167</v>
      </c>
      <c r="J17" t="s">
        <v>160</v>
      </c>
      <c r="K17">
        <v>0.99999999999999567</v>
      </c>
      <c r="L17" t="s">
        <v>161</v>
      </c>
      <c r="N17" t="s">
        <v>177</v>
      </c>
      <c r="O17" t="s">
        <v>160</v>
      </c>
      <c r="P17">
        <v>1.0000000000000016</v>
      </c>
      <c r="Q17" t="s">
        <v>161</v>
      </c>
      <c r="S17" t="s">
        <v>187</v>
      </c>
      <c r="T17" t="s">
        <v>160</v>
      </c>
      <c r="U17">
        <v>1.0000000000000002</v>
      </c>
      <c r="V17" t="s">
        <v>161</v>
      </c>
    </row>
    <row r="18" spans="9:22" x14ac:dyDescent="0.45">
      <c r="I18" t="s">
        <v>168</v>
      </c>
      <c r="J18" t="s">
        <v>160</v>
      </c>
      <c r="K18">
        <v>0.999999999999998</v>
      </c>
      <c r="L18" t="s">
        <v>161</v>
      </c>
      <c r="N18" t="s">
        <v>178</v>
      </c>
      <c r="O18" t="s">
        <v>160</v>
      </c>
      <c r="P18">
        <v>1.0000000000000013</v>
      </c>
      <c r="Q18" t="s">
        <v>161</v>
      </c>
      <c r="S18" t="s">
        <v>188</v>
      </c>
      <c r="T18" t="s">
        <v>160</v>
      </c>
      <c r="U18">
        <v>1.0000000000000024</v>
      </c>
      <c r="V18" t="s">
        <v>161</v>
      </c>
    </row>
    <row r="19" spans="9:22" x14ac:dyDescent="0.45">
      <c r="I19" t="s">
        <v>169</v>
      </c>
      <c r="J19" t="s">
        <v>160</v>
      </c>
      <c r="K19">
        <v>1.0000000000000016</v>
      </c>
      <c r="L19" t="s">
        <v>161</v>
      </c>
      <c r="N19" t="s">
        <v>179</v>
      </c>
      <c r="O19" t="s">
        <v>160</v>
      </c>
      <c r="P19">
        <v>0.99999999999999767</v>
      </c>
      <c r="Q19" t="s">
        <v>161</v>
      </c>
      <c r="S19" t="s">
        <v>189</v>
      </c>
      <c r="T19" t="s">
        <v>160</v>
      </c>
      <c r="U19">
        <v>0.99999999999999944</v>
      </c>
      <c r="V19" t="s">
        <v>161</v>
      </c>
    </row>
    <row r="20" spans="9:22" x14ac:dyDescent="0.45">
      <c r="I20" t="s">
        <v>170</v>
      </c>
      <c r="J20" t="s">
        <v>160</v>
      </c>
      <c r="K20">
        <v>1.0000000000000044</v>
      </c>
      <c r="L20" t="s">
        <v>161</v>
      </c>
      <c r="N20" t="s">
        <v>180</v>
      </c>
      <c r="O20" t="s">
        <v>160</v>
      </c>
      <c r="P20">
        <v>0.99999999999999756</v>
      </c>
      <c r="Q20" t="s">
        <v>161</v>
      </c>
      <c r="S20" t="s">
        <v>190</v>
      </c>
      <c r="T20" t="s">
        <v>160</v>
      </c>
      <c r="U20">
        <v>0.99999999999999989</v>
      </c>
      <c r="V20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D13F-CB68-4AAD-84E3-08158B30B8EE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191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195</v>
      </c>
      <c r="AK10" t="s">
        <v>47</v>
      </c>
      <c r="AL10" t="s">
        <v>121</v>
      </c>
      <c r="AM10" t="s">
        <v>196</v>
      </c>
      <c r="AN10" t="s">
        <v>197</v>
      </c>
    </row>
    <row r="11" spans="1:40" x14ac:dyDescent="0.45">
      <c r="A11" t="str">
        <f>IFERROR(IF(Veda!D5=A10,"ok","x"),"")</f>
        <v>x</v>
      </c>
      <c r="C11" t="s">
        <v>199</v>
      </c>
      <c r="D11" t="s">
        <v>156</v>
      </c>
      <c r="E11" t="s">
        <v>193</v>
      </c>
      <c r="F11" t="s">
        <v>200</v>
      </c>
      <c r="G11" t="s">
        <v>156</v>
      </c>
      <c r="I11" t="s">
        <v>159</v>
      </c>
      <c r="J11" t="s">
        <v>205</v>
      </c>
      <c r="K11">
        <v>0.12961562355989806</v>
      </c>
      <c r="L11" t="s">
        <v>161</v>
      </c>
      <c r="N11" t="s">
        <v>171</v>
      </c>
      <c r="O11" t="s">
        <v>205</v>
      </c>
      <c r="P11">
        <v>0.12527693659077532</v>
      </c>
      <c r="Q11" t="s">
        <v>161</v>
      </c>
      <c r="S11" t="s">
        <v>181</v>
      </c>
      <c r="T11" t="s">
        <v>205</v>
      </c>
      <c r="U11">
        <v>0.12711721158825184</v>
      </c>
      <c r="V11" t="s">
        <v>161</v>
      </c>
      <c r="X11">
        <v>0.11426940639269406</v>
      </c>
      <c r="Y11">
        <v>0.16087081189037786</v>
      </c>
      <c r="Z11" t="s">
        <v>205</v>
      </c>
      <c r="AA11" t="s">
        <v>25</v>
      </c>
      <c r="AC11" t="s">
        <v>22</v>
      </c>
      <c r="AD11" t="s">
        <v>205</v>
      </c>
      <c r="AE11">
        <v>0.12274609279561574</v>
      </c>
      <c r="AG11" t="s">
        <v>96</v>
      </c>
      <c r="AH11" t="s">
        <v>205</v>
      </c>
      <c r="AI11">
        <v>7.9440066625327432E-2</v>
      </c>
      <c r="AK11">
        <v>2020</v>
      </c>
      <c r="AL11" t="s">
        <v>199</v>
      </c>
      <c r="AM11">
        <v>0.10378861312113491</v>
      </c>
      <c r="AN11" t="s">
        <v>198</v>
      </c>
    </row>
    <row r="12" spans="1:40" x14ac:dyDescent="0.45">
      <c r="C12" t="s">
        <v>201</v>
      </c>
      <c r="E12" t="s">
        <v>194</v>
      </c>
      <c r="G12" t="s">
        <v>156</v>
      </c>
      <c r="I12" t="s">
        <v>159</v>
      </c>
      <c r="J12" t="s">
        <v>206</v>
      </c>
      <c r="K12">
        <v>0</v>
      </c>
      <c r="L12" t="s">
        <v>161</v>
      </c>
      <c r="N12" t="s">
        <v>171</v>
      </c>
      <c r="O12" t="s">
        <v>206</v>
      </c>
      <c r="P12">
        <v>0.12719681818420969</v>
      </c>
      <c r="Q12" t="s">
        <v>161</v>
      </c>
      <c r="S12" t="s">
        <v>181</v>
      </c>
      <c r="T12" t="s">
        <v>206</v>
      </c>
      <c r="U12">
        <v>0.13089774374436428</v>
      </c>
      <c r="V12" t="s">
        <v>161</v>
      </c>
      <c r="X12">
        <v>0.11426940639269406</v>
      </c>
      <c r="Y12">
        <v>5.2547713165767528E-2</v>
      </c>
      <c r="Z12" t="s">
        <v>206</v>
      </c>
      <c r="AA12" t="s">
        <v>25</v>
      </c>
      <c r="AC12" t="s">
        <v>22</v>
      </c>
      <c r="AD12" t="s">
        <v>206</v>
      </c>
      <c r="AE12">
        <v>9.215589118727123E-2</v>
      </c>
      <c r="AG12" t="s">
        <v>96</v>
      </c>
      <c r="AH12" t="s">
        <v>206</v>
      </c>
      <c r="AI12">
        <v>0.29294396728925243</v>
      </c>
      <c r="AK12">
        <v>2020</v>
      </c>
      <c r="AL12" t="s">
        <v>201</v>
      </c>
      <c r="AM12">
        <v>0.25275579901264617</v>
      </c>
      <c r="AN12" t="s">
        <v>198</v>
      </c>
    </row>
    <row r="13" spans="1:40" x14ac:dyDescent="0.45">
      <c r="C13" t="s">
        <v>202</v>
      </c>
      <c r="E13" t="s">
        <v>203</v>
      </c>
      <c r="G13" t="s">
        <v>156</v>
      </c>
      <c r="I13" t="s">
        <v>159</v>
      </c>
      <c r="J13" t="s">
        <v>207</v>
      </c>
      <c r="K13">
        <v>6.3796646633789717E-3</v>
      </c>
      <c r="L13" t="s">
        <v>161</v>
      </c>
      <c r="N13" t="s">
        <v>171</v>
      </c>
      <c r="O13" t="s">
        <v>207</v>
      </c>
      <c r="P13">
        <v>2.3844118967320162E-2</v>
      </c>
      <c r="Q13" t="s">
        <v>161</v>
      </c>
      <c r="S13" t="s">
        <v>181</v>
      </c>
      <c r="T13" t="s">
        <v>207</v>
      </c>
      <c r="U13">
        <v>2.5212359974148783E-2</v>
      </c>
      <c r="V13" t="s">
        <v>161</v>
      </c>
      <c r="X13">
        <v>2.0776255707762557E-2</v>
      </c>
      <c r="Y13">
        <v>3.5896543437005365E-2</v>
      </c>
      <c r="Z13" t="s">
        <v>207</v>
      </c>
      <c r="AA13" t="s">
        <v>25</v>
      </c>
      <c r="AC13" t="s">
        <v>22</v>
      </c>
      <c r="AD13" t="s">
        <v>207</v>
      </c>
      <c r="AE13">
        <v>2.2287308188509401E-2</v>
      </c>
      <c r="AG13" t="s">
        <v>96</v>
      </c>
      <c r="AH13" t="s">
        <v>207</v>
      </c>
      <c r="AI13">
        <v>7.7124345875903444E-2</v>
      </c>
      <c r="AK13">
        <v>2020</v>
      </c>
      <c r="AL13" t="s">
        <v>202</v>
      </c>
      <c r="AM13">
        <v>0.10021941194592847</v>
      </c>
      <c r="AN13" t="s">
        <v>198</v>
      </c>
    </row>
    <row r="14" spans="1:40" x14ac:dyDescent="0.45">
      <c r="C14" t="s">
        <v>204</v>
      </c>
      <c r="I14" t="s">
        <v>159</v>
      </c>
      <c r="J14" t="s">
        <v>208</v>
      </c>
      <c r="K14">
        <v>0.3395907535970244</v>
      </c>
      <c r="L14" t="s">
        <v>161</v>
      </c>
      <c r="N14" t="s">
        <v>171</v>
      </c>
      <c r="O14" t="s">
        <v>208</v>
      </c>
      <c r="P14">
        <v>0.10187279888665141</v>
      </c>
      <c r="Q14" t="s">
        <v>161</v>
      </c>
      <c r="S14" t="s">
        <v>181</v>
      </c>
      <c r="T14" t="s">
        <v>208</v>
      </c>
      <c r="U14">
        <v>9.7831958531855626E-2</v>
      </c>
      <c r="V14" t="s">
        <v>161</v>
      </c>
      <c r="X14">
        <v>0.11552511415525114</v>
      </c>
      <c r="Y14">
        <v>0.16263862301005233</v>
      </c>
      <c r="Z14" t="s">
        <v>208</v>
      </c>
      <c r="AA14" t="s">
        <v>25</v>
      </c>
      <c r="AC14" t="s">
        <v>22</v>
      </c>
      <c r="AD14" t="s">
        <v>208</v>
      </c>
      <c r="AE14">
        <v>0.13448914454131938</v>
      </c>
      <c r="AG14" t="s">
        <v>96</v>
      </c>
      <c r="AH14" t="s">
        <v>208</v>
      </c>
      <c r="AI14">
        <v>0.18427145085144958</v>
      </c>
      <c r="AK14">
        <v>2020</v>
      </c>
      <c r="AL14" t="s">
        <v>204</v>
      </c>
      <c r="AM14">
        <v>0.26322048957262084</v>
      </c>
      <c r="AN14" t="s">
        <v>198</v>
      </c>
    </row>
    <row r="15" spans="1:40" x14ac:dyDescent="0.45">
      <c r="I15" t="s">
        <v>159</v>
      </c>
      <c r="J15" t="s">
        <v>209</v>
      </c>
      <c r="K15">
        <v>1.1456168623946546E-2</v>
      </c>
      <c r="L15" t="s">
        <v>161</v>
      </c>
      <c r="N15" t="s">
        <v>171</v>
      </c>
      <c r="O15" t="s">
        <v>209</v>
      </c>
      <c r="P15">
        <v>0.11627325397460019</v>
      </c>
      <c r="Q15" t="s">
        <v>161</v>
      </c>
      <c r="S15" t="s">
        <v>181</v>
      </c>
      <c r="T15" t="s">
        <v>209</v>
      </c>
      <c r="U15">
        <v>0.11140850429297697</v>
      </c>
      <c r="V15" t="s">
        <v>161</v>
      </c>
      <c r="X15">
        <v>0.11552511415525114</v>
      </c>
      <c r="Y15">
        <v>5.3125160563193538E-2</v>
      </c>
      <c r="Z15" t="s">
        <v>209</v>
      </c>
      <c r="AA15" t="s">
        <v>25</v>
      </c>
      <c r="AC15" t="s">
        <v>22</v>
      </c>
      <c r="AD15" t="s">
        <v>209</v>
      </c>
      <c r="AE15">
        <v>0.10279744159742582</v>
      </c>
      <c r="AG15" t="s">
        <v>96</v>
      </c>
      <c r="AH15" t="s">
        <v>209</v>
      </c>
      <c r="AI15">
        <v>0.43467319244976488</v>
      </c>
      <c r="AK15">
        <v>2021</v>
      </c>
      <c r="AL15" t="s">
        <v>199</v>
      </c>
      <c r="AM15">
        <v>9.524131556998261E-2</v>
      </c>
      <c r="AN15" t="s">
        <v>198</v>
      </c>
    </row>
    <row r="16" spans="1:40" x14ac:dyDescent="0.45">
      <c r="I16" t="s">
        <v>159</v>
      </c>
      <c r="J16" t="s">
        <v>210</v>
      </c>
      <c r="K16">
        <v>3.0560020376463215E-2</v>
      </c>
      <c r="L16" t="s">
        <v>161</v>
      </c>
      <c r="N16" t="s">
        <v>171</v>
      </c>
      <c r="O16" t="s">
        <v>210</v>
      </c>
      <c r="P16">
        <v>2.0002471355154372E-2</v>
      </c>
      <c r="Q16" t="s">
        <v>161</v>
      </c>
      <c r="S16" t="s">
        <v>181</v>
      </c>
      <c r="T16" t="s">
        <v>210</v>
      </c>
      <c r="U16">
        <v>2.0861710584929624E-2</v>
      </c>
      <c r="V16" t="s">
        <v>161</v>
      </c>
      <c r="X16">
        <v>2.1004566210045664E-2</v>
      </c>
      <c r="Y16">
        <v>3.6291010947302131E-2</v>
      </c>
      <c r="Z16" t="s">
        <v>210</v>
      </c>
      <c r="AA16" t="s">
        <v>25</v>
      </c>
      <c r="AC16" t="s">
        <v>22</v>
      </c>
      <c r="AD16" t="s">
        <v>210</v>
      </c>
      <c r="AE16">
        <v>2.4520931529955946E-2</v>
      </c>
      <c r="AG16" t="s">
        <v>96</v>
      </c>
      <c r="AH16" t="s">
        <v>210</v>
      </c>
      <c r="AI16">
        <v>0.19135234057832529</v>
      </c>
      <c r="AK16">
        <v>2021</v>
      </c>
      <c r="AL16" t="s">
        <v>201</v>
      </c>
      <c r="AM16">
        <v>0.37382685992951759</v>
      </c>
      <c r="AN16" t="s">
        <v>198</v>
      </c>
    </row>
    <row r="17" spans="9:40" x14ac:dyDescent="0.45">
      <c r="I17" t="s">
        <v>159</v>
      </c>
      <c r="J17" t="s">
        <v>211</v>
      </c>
      <c r="K17">
        <v>0.35000344472530137</v>
      </c>
      <c r="L17" t="s">
        <v>161</v>
      </c>
      <c r="N17" t="s">
        <v>171</v>
      </c>
      <c r="O17" t="s">
        <v>211</v>
      </c>
      <c r="P17">
        <v>7.5383855336480385E-2</v>
      </c>
      <c r="Q17" t="s">
        <v>161</v>
      </c>
      <c r="S17" t="s">
        <v>181</v>
      </c>
      <c r="T17" t="s">
        <v>211</v>
      </c>
      <c r="U17">
        <v>7.0790228890380072E-2</v>
      </c>
      <c r="V17" t="s">
        <v>161</v>
      </c>
      <c r="X17">
        <v>0.11552511415525114</v>
      </c>
      <c r="Y17">
        <v>0.16263862301005233</v>
      </c>
      <c r="Z17" t="s">
        <v>211</v>
      </c>
      <c r="AA17" t="s">
        <v>25</v>
      </c>
      <c r="AC17" t="s">
        <v>22</v>
      </c>
      <c r="AD17" t="s">
        <v>211</v>
      </c>
      <c r="AE17">
        <v>0.1233952719849371</v>
      </c>
      <c r="AG17" t="s">
        <v>96</v>
      </c>
      <c r="AH17" t="s">
        <v>211</v>
      </c>
      <c r="AI17">
        <v>0.11075361348465074</v>
      </c>
      <c r="AK17">
        <v>2021</v>
      </c>
      <c r="AL17" t="s">
        <v>202</v>
      </c>
      <c r="AM17">
        <v>9.1859967088208094E-2</v>
      </c>
      <c r="AN17" t="s">
        <v>198</v>
      </c>
    </row>
    <row r="18" spans="9:40" x14ac:dyDescent="0.45">
      <c r="I18" t="s">
        <v>159</v>
      </c>
      <c r="J18" t="s">
        <v>212</v>
      </c>
      <c r="K18">
        <v>2.8350242772259452E-2</v>
      </c>
      <c r="L18" t="s">
        <v>161</v>
      </c>
      <c r="N18" t="s">
        <v>171</v>
      </c>
      <c r="O18" t="s">
        <v>212</v>
      </c>
      <c r="P18">
        <v>8.4996374762196625E-2</v>
      </c>
      <c r="Q18" t="s">
        <v>161</v>
      </c>
      <c r="S18" t="s">
        <v>181</v>
      </c>
      <c r="T18" t="s">
        <v>212</v>
      </c>
      <c r="U18">
        <v>8.8163769572166498E-2</v>
      </c>
      <c r="V18" t="s">
        <v>161</v>
      </c>
      <c r="X18">
        <v>0.11552511415525114</v>
      </c>
      <c r="Y18">
        <v>5.3125160563193538E-2</v>
      </c>
      <c r="Z18" t="s">
        <v>212</v>
      </c>
      <c r="AA18" t="s">
        <v>25</v>
      </c>
      <c r="AC18" t="s">
        <v>22</v>
      </c>
      <c r="AD18" t="s">
        <v>212</v>
      </c>
      <c r="AE18">
        <v>8.7951066356878368E-2</v>
      </c>
      <c r="AG18" t="s">
        <v>96</v>
      </c>
      <c r="AH18" t="s">
        <v>212</v>
      </c>
      <c r="AI18">
        <v>0.36249885782163749</v>
      </c>
      <c r="AK18">
        <v>2021</v>
      </c>
      <c r="AL18" t="s">
        <v>204</v>
      </c>
      <c r="AM18">
        <v>0.18889259227055935</v>
      </c>
      <c r="AN18" t="s">
        <v>198</v>
      </c>
    </row>
    <row r="19" spans="9:40" x14ac:dyDescent="0.45">
      <c r="I19" t="s">
        <v>159</v>
      </c>
      <c r="J19" t="s">
        <v>213</v>
      </c>
      <c r="K19">
        <v>4.1618791290052345E-2</v>
      </c>
      <c r="L19" t="s">
        <v>161</v>
      </c>
      <c r="N19" t="s">
        <v>171</v>
      </c>
      <c r="O19" t="s">
        <v>213</v>
      </c>
      <c r="P19">
        <v>1.4423152329712172E-2</v>
      </c>
      <c r="Q19" t="s">
        <v>161</v>
      </c>
      <c r="S19" t="s">
        <v>181</v>
      </c>
      <c r="T19" t="s">
        <v>213</v>
      </c>
      <c r="U19">
        <v>1.4711794131009984E-2</v>
      </c>
      <c r="V19" t="s">
        <v>161</v>
      </c>
      <c r="X19">
        <v>2.1004566210045664E-2</v>
      </c>
      <c r="Y19">
        <v>3.6291010947302131E-2</v>
      </c>
      <c r="Z19" t="s">
        <v>213</v>
      </c>
      <c r="AA19" t="s">
        <v>25</v>
      </c>
      <c r="AC19" t="s">
        <v>22</v>
      </c>
      <c r="AD19" t="s">
        <v>213</v>
      </c>
      <c r="AE19">
        <v>2.1875174466262866E-2</v>
      </c>
      <c r="AG19" t="s">
        <v>96</v>
      </c>
      <c r="AH19" t="s">
        <v>213</v>
      </c>
      <c r="AI19">
        <v>9.9292387499685386E-2</v>
      </c>
      <c r="AK19">
        <v>2022</v>
      </c>
      <c r="AL19" t="s">
        <v>199</v>
      </c>
      <c r="AM19">
        <v>9.4959536529834701E-2</v>
      </c>
      <c r="AN19" t="s">
        <v>198</v>
      </c>
    </row>
    <row r="20" spans="9:40" x14ac:dyDescent="0.45">
      <c r="I20" t="s">
        <v>159</v>
      </c>
      <c r="J20" t="s">
        <v>214</v>
      </c>
      <c r="K20">
        <v>6.1653175796083044E-2</v>
      </c>
      <c r="L20" t="s">
        <v>161</v>
      </c>
      <c r="N20" t="s">
        <v>171</v>
      </c>
      <c r="O20" t="s">
        <v>214</v>
      </c>
      <c r="P20">
        <v>0.14120383999683231</v>
      </c>
      <c r="Q20" t="s">
        <v>161</v>
      </c>
      <c r="S20" t="s">
        <v>181</v>
      </c>
      <c r="T20" t="s">
        <v>214</v>
      </c>
      <c r="U20">
        <v>0.14397384614028458</v>
      </c>
      <c r="V20" t="s">
        <v>161</v>
      </c>
      <c r="X20">
        <v>0.11301369863013698</v>
      </c>
      <c r="Y20">
        <v>0.15910300077070333</v>
      </c>
      <c r="Z20" t="s">
        <v>214</v>
      </c>
      <c r="AA20" t="s">
        <v>25</v>
      </c>
      <c r="AC20" t="s">
        <v>22</v>
      </c>
      <c r="AD20" t="s">
        <v>214</v>
      </c>
      <c r="AE20">
        <v>0.1366084304959812</v>
      </c>
      <c r="AG20" t="s">
        <v>96</v>
      </c>
      <c r="AH20" t="s">
        <v>214</v>
      </c>
      <c r="AI20">
        <v>0.16101867372692014</v>
      </c>
      <c r="AK20">
        <v>2022</v>
      </c>
      <c r="AL20" t="s">
        <v>201</v>
      </c>
      <c r="AM20">
        <v>0.3490303043965044</v>
      </c>
      <c r="AN20" t="s">
        <v>198</v>
      </c>
    </row>
    <row r="21" spans="9:40" x14ac:dyDescent="0.45">
      <c r="I21" t="s">
        <v>159</v>
      </c>
      <c r="J21" t="s">
        <v>215</v>
      </c>
      <c r="K21">
        <v>0</v>
      </c>
      <c r="L21" t="s">
        <v>161</v>
      </c>
      <c r="N21" t="s">
        <v>171</v>
      </c>
      <c r="O21" t="s">
        <v>215</v>
      </c>
      <c r="P21">
        <v>0.14398397161429599</v>
      </c>
      <c r="Q21" t="s">
        <v>161</v>
      </c>
      <c r="S21" t="s">
        <v>181</v>
      </c>
      <c r="T21" t="s">
        <v>215</v>
      </c>
      <c r="U21">
        <v>0.14329637083828534</v>
      </c>
      <c r="V21" t="s">
        <v>161</v>
      </c>
      <c r="X21">
        <v>0.11301369863013698</v>
      </c>
      <c r="Y21">
        <v>5.197026576834151E-2</v>
      </c>
      <c r="Z21" t="s">
        <v>215</v>
      </c>
      <c r="AA21" t="s">
        <v>25</v>
      </c>
      <c r="AC21" t="s">
        <v>22</v>
      </c>
      <c r="AD21" t="s">
        <v>215</v>
      </c>
      <c r="AE21">
        <v>0.10572678687890934</v>
      </c>
      <c r="AG21" t="s">
        <v>96</v>
      </c>
      <c r="AH21" t="s">
        <v>215</v>
      </c>
      <c r="AI21">
        <v>0.35430916552667591</v>
      </c>
      <c r="AK21">
        <v>2022</v>
      </c>
      <c r="AL21" t="s">
        <v>202</v>
      </c>
      <c r="AM21">
        <v>0.1231374405446225</v>
      </c>
      <c r="AN21" t="s">
        <v>198</v>
      </c>
    </row>
    <row r="22" spans="9:40" x14ac:dyDescent="0.45">
      <c r="I22" t="s">
        <v>159</v>
      </c>
      <c r="J22" t="s">
        <v>216</v>
      </c>
      <c r="K22">
        <v>7.7211459559322054E-4</v>
      </c>
      <c r="L22" t="s">
        <v>161</v>
      </c>
      <c r="N22" t="s">
        <v>171</v>
      </c>
      <c r="O22" t="s">
        <v>216</v>
      </c>
      <c r="P22">
        <v>2.5542408001770042E-2</v>
      </c>
      <c r="Q22" t="s">
        <v>161</v>
      </c>
      <c r="S22" t="s">
        <v>181</v>
      </c>
      <c r="T22" t="s">
        <v>216</v>
      </c>
      <c r="U22">
        <v>2.5734501711345829E-2</v>
      </c>
      <c r="V22" t="s">
        <v>161</v>
      </c>
      <c r="X22">
        <v>2.0547945205479451E-2</v>
      </c>
      <c r="Y22">
        <v>3.5502075926708607E-2</v>
      </c>
      <c r="Z22" t="s">
        <v>216</v>
      </c>
      <c r="AA22" t="s">
        <v>25</v>
      </c>
      <c r="AC22" t="s">
        <v>22</v>
      </c>
      <c r="AD22" t="s">
        <v>216</v>
      </c>
      <c r="AE22">
        <v>2.5446459976933566E-2</v>
      </c>
      <c r="AG22" t="s">
        <v>96</v>
      </c>
      <c r="AH22" t="s">
        <v>216</v>
      </c>
      <c r="AI22">
        <v>0.13756314132330627</v>
      </c>
      <c r="AK22">
        <v>2022</v>
      </c>
      <c r="AL22" t="s">
        <v>204</v>
      </c>
      <c r="AM22">
        <v>0.20378662724980431</v>
      </c>
      <c r="AN22" t="s">
        <v>198</v>
      </c>
    </row>
    <row r="23" spans="9:40" x14ac:dyDescent="0.45">
      <c r="I23" t="s">
        <v>162</v>
      </c>
      <c r="J23" t="s">
        <v>205</v>
      </c>
      <c r="K23">
        <v>0.13436151996823581</v>
      </c>
      <c r="L23" t="s">
        <v>161</v>
      </c>
      <c r="N23" t="s">
        <v>172</v>
      </c>
      <c r="O23" t="s">
        <v>205</v>
      </c>
      <c r="P23">
        <v>0.12623231101858226</v>
      </c>
      <c r="Q23" t="s">
        <v>161</v>
      </c>
      <c r="S23" t="s">
        <v>182</v>
      </c>
      <c r="T23" t="s">
        <v>205</v>
      </c>
      <c r="U23">
        <v>0.12276266654557628</v>
      </c>
      <c r="V23" t="s">
        <v>161</v>
      </c>
      <c r="AC23" t="s">
        <v>19</v>
      </c>
      <c r="AD23" t="s">
        <v>205</v>
      </c>
      <c r="AE23">
        <v>0.11525473939674771</v>
      </c>
    </row>
    <row r="24" spans="9:40" x14ac:dyDescent="0.45">
      <c r="I24" t="s">
        <v>162</v>
      </c>
      <c r="J24" t="s">
        <v>206</v>
      </c>
      <c r="K24">
        <v>0</v>
      </c>
      <c r="L24" t="s">
        <v>161</v>
      </c>
      <c r="N24" t="s">
        <v>172</v>
      </c>
      <c r="O24" t="s">
        <v>206</v>
      </c>
      <c r="P24">
        <v>0.13055349531759622</v>
      </c>
      <c r="Q24" t="s">
        <v>161</v>
      </c>
      <c r="S24" t="s">
        <v>182</v>
      </c>
      <c r="T24" t="s">
        <v>206</v>
      </c>
      <c r="U24">
        <v>0.12264609632448868</v>
      </c>
      <c r="V24" t="s">
        <v>161</v>
      </c>
      <c r="AC24" t="s">
        <v>19</v>
      </c>
      <c r="AD24" t="s">
        <v>206</v>
      </c>
      <c r="AE24">
        <v>0.11302090248375916</v>
      </c>
    </row>
    <row r="25" spans="9:40" x14ac:dyDescent="0.45">
      <c r="I25" t="s">
        <v>162</v>
      </c>
      <c r="J25" t="s">
        <v>207</v>
      </c>
      <c r="K25">
        <v>6.3106643663050719E-3</v>
      </c>
      <c r="L25" t="s">
        <v>161</v>
      </c>
      <c r="N25" t="s">
        <v>172</v>
      </c>
      <c r="O25" t="s">
        <v>207</v>
      </c>
      <c r="P25">
        <v>2.4624777555178935E-2</v>
      </c>
      <c r="Q25" t="s">
        <v>161</v>
      </c>
      <c r="S25" t="s">
        <v>182</v>
      </c>
      <c r="T25" t="s">
        <v>207</v>
      </c>
      <c r="U25">
        <v>2.2993520887147151E-2</v>
      </c>
      <c r="V25" t="s">
        <v>161</v>
      </c>
      <c r="AC25" t="s">
        <v>19</v>
      </c>
      <c r="AD25" t="s">
        <v>207</v>
      </c>
      <c r="AE25">
        <v>2.0953204505640581E-2</v>
      </c>
    </row>
    <row r="26" spans="9:40" x14ac:dyDescent="0.45">
      <c r="I26" t="s">
        <v>162</v>
      </c>
      <c r="J26" t="s">
        <v>208</v>
      </c>
      <c r="K26">
        <v>0.33870927865070405</v>
      </c>
      <c r="L26" t="s">
        <v>161</v>
      </c>
      <c r="N26" t="s">
        <v>172</v>
      </c>
      <c r="O26" t="s">
        <v>208</v>
      </c>
      <c r="P26">
        <v>9.5114770771647109E-2</v>
      </c>
      <c r="Q26" t="s">
        <v>161</v>
      </c>
      <c r="S26" t="s">
        <v>182</v>
      </c>
      <c r="T26" t="s">
        <v>208</v>
      </c>
      <c r="U26">
        <v>0.10575350478417023</v>
      </c>
      <c r="V26" t="s">
        <v>161</v>
      </c>
      <c r="AC26" t="s">
        <v>19</v>
      </c>
      <c r="AD26" t="s">
        <v>208</v>
      </c>
      <c r="AE26">
        <v>0.11661531948709852</v>
      </c>
    </row>
    <row r="27" spans="9:40" x14ac:dyDescent="0.45">
      <c r="I27" t="s">
        <v>162</v>
      </c>
      <c r="J27" t="s">
        <v>209</v>
      </c>
      <c r="K27">
        <v>1.1715744221576289E-2</v>
      </c>
      <c r="L27" t="s">
        <v>161</v>
      </c>
      <c r="N27" t="s">
        <v>172</v>
      </c>
      <c r="O27" t="s">
        <v>209</v>
      </c>
      <c r="P27">
        <v>0.11973772122169224</v>
      </c>
      <c r="Q27" t="s">
        <v>161</v>
      </c>
      <c r="S27" t="s">
        <v>182</v>
      </c>
      <c r="T27" t="s">
        <v>209</v>
      </c>
      <c r="U27">
        <v>0.12531325263667828</v>
      </c>
      <c r="V27" t="s">
        <v>161</v>
      </c>
      <c r="AC27" t="s">
        <v>19</v>
      </c>
      <c r="AD27" t="s">
        <v>209</v>
      </c>
      <c r="AE27">
        <v>0.11430104589132642</v>
      </c>
    </row>
    <row r="28" spans="9:40" x14ac:dyDescent="0.45">
      <c r="I28" t="s">
        <v>162</v>
      </c>
      <c r="J28" t="s">
        <v>210</v>
      </c>
      <c r="K28">
        <v>3.1960460122039541E-2</v>
      </c>
      <c r="L28" t="s">
        <v>161</v>
      </c>
      <c r="N28" t="s">
        <v>172</v>
      </c>
      <c r="O28" t="s">
        <v>210</v>
      </c>
      <c r="P28">
        <v>2.0514259951730684E-2</v>
      </c>
      <c r="Q28" t="s">
        <v>161</v>
      </c>
      <c r="S28" t="s">
        <v>182</v>
      </c>
      <c r="T28" t="s">
        <v>210</v>
      </c>
      <c r="U28">
        <v>2.0882781609282204E-2</v>
      </c>
      <c r="V28" t="s">
        <v>161</v>
      </c>
      <c r="AC28" t="s">
        <v>19</v>
      </c>
      <c r="AD28" t="s">
        <v>210</v>
      </c>
      <c r="AE28">
        <v>2.12077773072664E-2</v>
      </c>
    </row>
    <row r="29" spans="9:40" x14ac:dyDescent="0.45">
      <c r="I29" t="s">
        <v>162</v>
      </c>
      <c r="J29" t="s">
        <v>211</v>
      </c>
      <c r="K29">
        <v>0.34749175189458548</v>
      </c>
      <c r="L29" t="s">
        <v>161</v>
      </c>
      <c r="N29" t="s">
        <v>172</v>
      </c>
      <c r="O29" t="s">
        <v>211</v>
      </c>
      <c r="P29">
        <v>7.0704084952972993E-2</v>
      </c>
      <c r="Q29" t="s">
        <v>161</v>
      </c>
      <c r="S29" t="s">
        <v>182</v>
      </c>
      <c r="T29" t="s">
        <v>211</v>
      </c>
      <c r="U29">
        <v>7.586354052131207E-2</v>
      </c>
      <c r="V29" t="s">
        <v>161</v>
      </c>
      <c r="AC29" t="s">
        <v>19</v>
      </c>
      <c r="AD29" t="s">
        <v>211</v>
      </c>
      <c r="AE29">
        <v>0.11666879313487617</v>
      </c>
    </row>
    <row r="30" spans="9:40" x14ac:dyDescent="0.45">
      <c r="I30" t="s">
        <v>162</v>
      </c>
      <c r="J30" t="s">
        <v>212</v>
      </c>
      <c r="K30">
        <v>2.8299686981235223E-2</v>
      </c>
      <c r="L30" t="s">
        <v>161</v>
      </c>
      <c r="N30" t="s">
        <v>172</v>
      </c>
      <c r="O30" t="s">
        <v>212</v>
      </c>
      <c r="P30">
        <v>8.2338599834377593E-2</v>
      </c>
      <c r="Q30" t="s">
        <v>161</v>
      </c>
      <c r="S30" t="s">
        <v>182</v>
      </c>
      <c r="T30" t="s">
        <v>212</v>
      </c>
      <c r="U30">
        <v>8.4370901408461679E-2</v>
      </c>
      <c r="V30" t="s">
        <v>161</v>
      </c>
      <c r="AC30" t="s">
        <v>19</v>
      </c>
      <c r="AD30" t="s">
        <v>212</v>
      </c>
      <c r="AE30">
        <v>0.11408049457126304</v>
      </c>
    </row>
    <row r="31" spans="9:40" x14ac:dyDescent="0.45">
      <c r="I31" t="s">
        <v>162</v>
      </c>
      <c r="J31" t="s">
        <v>213</v>
      </c>
      <c r="K31">
        <v>4.2660601929297805E-2</v>
      </c>
      <c r="L31" t="s">
        <v>161</v>
      </c>
      <c r="N31" t="s">
        <v>172</v>
      </c>
      <c r="O31" t="s">
        <v>213</v>
      </c>
      <c r="P31">
        <v>1.3608211766741953E-2</v>
      </c>
      <c r="Q31" t="s">
        <v>161</v>
      </c>
      <c r="S31" t="s">
        <v>182</v>
      </c>
      <c r="T31" t="s">
        <v>213</v>
      </c>
      <c r="U31">
        <v>1.5564113760227651E-2</v>
      </c>
      <c r="V31" t="s">
        <v>161</v>
      </c>
      <c r="AC31" t="s">
        <v>19</v>
      </c>
      <c r="AD31" t="s">
        <v>213</v>
      </c>
      <c r="AE31">
        <v>2.1171590008758855E-2</v>
      </c>
    </row>
    <row r="32" spans="9:40" x14ac:dyDescent="0.45">
      <c r="I32" t="s">
        <v>162</v>
      </c>
      <c r="J32" t="s">
        <v>214</v>
      </c>
      <c r="K32">
        <v>5.7662057978430659E-2</v>
      </c>
      <c r="L32" t="s">
        <v>161</v>
      </c>
      <c r="N32" t="s">
        <v>172</v>
      </c>
      <c r="O32" t="s">
        <v>214</v>
      </c>
      <c r="P32">
        <v>0.14244028611116841</v>
      </c>
      <c r="Q32" t="s">
        <v>161</v>
      </c>
      <c r="S32" t="s">
        <v>182</v>
      </c>
      <c r="T32" t="s">
        <v>214</v>
      </c>
      <c r="U32">
        <v>0.13861259665145279</v>
      </c>
      <c r="V32" t="s">
        <v>161</v>
      </c>
      <c r="AC32" t="s">
        <v>19</v>
      </c>
      <c r="AD32" t="s">
        <v>214</v>
      </c>
      <c r="AE32">
        <v>0.11409603904318778</v>
      </c>
    </row>
    <row r="33" spans="9:31" x14ac:dyDescent="0.45">
      <c r="I33" t="s">
        <v>162</v>
      </c>
      <c r="J33" t="s">
        <v>215</v>
      </c>
      <c r="K33">
        <v>0</v>
      </c>
      <c r="L33" t="s">
        <v>161</v>
      </c>
      <c r="N33" t="s">
        <v>172</v>
      </c>
      <c r="O33" t="s">
        <v>215</v>
      </c>
      <c r="P33">
        <v>0.14785375890904379</v>
      </c>
      <c r="Q33" t="s">
        <v>161</v>
      </c>
      <c r="S33" t="s">
        <v>182</v>
      </c>
      <c r="T33" t="s">
        <v>215</v>
      </c>
      <c r="U33">
        <v>0.13947579829621104</v>
      </c>
      <c r="V33" t="s">
        <v>161</v>
      </c>
      <c r="AC33" t="s">
        <v>19</v>
      </c>
      <c r="AD33" t="s">
        <v>215</v>
      </c>
      <c r="AE33">
        <v>0.11184091969716967</v>
      </c>
    </row>
    <row r="34" spans="9:31" x14ac:dyDescent="0.45">
      <c r="I34" t="s">
        <v>162</v>
      </c>
      <c r="J34" t="s">
        <v>216</v>
      </c>
      <c r="K34">
        <v>8.2823388759100227E-4</v>
      </c>
      <c r="L34" t="s">
        <v>161</v>
      </c>
      <c r="N34" t="s">
        <v>172</v>
      </c>
      <c r="O34" t="s">
        <v>216</v>
      </c>
      <c r="P34">
        <v>2.6277722589268512E-2</v>
      </c>
      <c r="Q34" t="s">
        <v>161</v>
      </c>
      <c r="S34" t="s">
        <v>182</v>
      </c>
      <c r="T34" t="s">
        <v>216</v>
      </c>
      <c r="U34">
        <v>2.5761226574989242E-2</v>
      </c>
      <c r="V34" t="s">
        <v>161</v>
      </c>
      <c r="AC34" t="s">
        <v>19</v>
      </c>
      <c r="AD34" t="s">
        <v>216</v>
      </c>
      <c r="AE34">
        <v>2.078917447290568E-2</v>
      </c>
    </row>
    <row r="35" spans="9:31" x14ac:dyDescent="0.45">
      <c r="I35" t="s">
        <v>163</v>
      </c>
      <c r="J35" t="s">
        <v>205</v>
      </c>
      <c r="K35">
        <v>0.13500310412361974</v>
      </c>
      <c r="L35" t="s">
        <v>161</v>
      </c>
      <c r="N35" t="s">
        <v>173</v>
      </c>
      <c r="O35" t="s">
        <v>205</v>
      </c>
      <c r="P35">
        <v>0.12536188372040413</v>
      </c>
      <c r="Q35" t="s">
        <v>161</v>
      </c>
      <c r="S35" t="s">
        <v>183</v>
      </c>
      <c r="T35" t="s">
        <v>205</v>
      </c>
      <c r="U35">
        <v>0.12443393572831933</v>
      </c>
      <c r="V35" t="s">
        <v>161</v>
      </c>
    </row>
    <row r="36" spans="9:31" x14ac:dyDescent="0.45">
      <c r="I36" t="s">
        <v>163</v>
      </c>
      <c r="J36" t="s">
        <v>206</v>
      </c>
      <c r="K36">
        <v>0</v>
      </c>
      <c r="L36" t="s">
        <v>161</v>
      </c>
      <c r="N36" t="s">
        <v>173</v>
      </c>
      <c r="O36" t="s">
        <v>206</v>
      </c>
      <c r="P36">
        <v>0.1278386008728</v>
      </c>
      <c r="Q36" t="s">
        <v>161</v>
      </c>
      <c r="S36" t="s">
        <v>183</v>
      </c>
      <c r="T36" t="s">
        <v>206</v>
      </c>
      <c r="U36">
        <v>0.12613452503576533</v>
      </c>
      <c r="V36" t="s">
        <v>161</v>
      </c>
    </row>
    <row r="37" spans="9:31" x14ac:dyDescent="0.45">
      <c r="I37" t="s">
        <v>163</v>
      </c>
      <c r="J37" t="s">
        <v>207</v>
      </c>
      <c r="K37">
        <v>6.6959494792035567E-3</v>
      </c>
      <c r="L37" t="s">
        <v>161</v>
      </c>
      <c r="N37" t="s">
        <v>173</v>
      </c>
      <c r="O37" t="s">
        <v>207</v>
      </c>
      <c r="P37">
        <v>2.3704504380990362E-2</v>
      </c>
      <c r="Q37" t="s">
        <v>161</v>
      </c>
      <c r="S37" t="s">
        <v>183</v>
      </c>
      <c r="T37" t="s">
        <v>207</v>
      </c>
      <c r="U37">
        <v>2.3635694395010731E-2</v>
      </c>
      <c r="V37" t="s">
        <v>161</v>
      </c>
    </row>
    <row r="38" spans="9:31" x14ac:dyDescent="0.45">
      <c r="I38" t="s">
        <v>163</v>
      </c>
      <c r="J38" t="s">
        <v>208</v>
      </c>
      <c r="K38">
        <v>0.33118047424626473</v>
      </c>
      <c r="L38" t="s">
        <v>161</v>
      </c>
      <c r="N38" t="s">
        <v>173</v>
      </c>
      <c r="O38" t="s">
        <v>208</v>
      </c>
      <c r="P38">
        <v>9.8835229655628479E-2</v>
      </c>
      <c r="Q38" t="s">
        <v>161</v>
      </c>
      <c r="S38" t="s">
        <v>183</v>
      </c>
      <c r="T38" t="s">
        <v>208</v>
      </c>
      <c r="U38">
        <v>9.9841239475802632E-2</v>
      </c>
      <c r="V38" t="s">
        <v>161</v>
      </c>
    </row>
    <row r="39" spans="9:31" x14ac:dyDescent="0.45">
      <c r="I39" t="s">
        <v>163</v>
      </c>
      <c r="J39" t="s">
        <v>209</v>
      </c>
      <c r="K39">
        <v>1.1755525684161329E-2</v>
      </c>
      <c r="L39" t="s">
        <v>161</v>
      </c>
      <c r="N39" t="s">
        <v>173</v>
      </c>
      <c r="O39" t="s">
        <v>209</v>
      </c>
      <c r="P39">
        <v>0.11789754716505101</v>
      </c>
      <c r="Q39" t="s">
        <v>161</v>
      </c>
      <c r="S39" t="s">
        <v>183</v>
      </c>
      <c r="T39" t="s">
        <v>209</v>
      </c>
      <c r="U39">
        <v>0.11791770755721365</v>
      </c>
      <c r="V39" t="s">
        <v>161</v>
      </c>
    </row>
    <row r="40" spans="9:31" x14ac:dyDescent="0.45">
      <c r="I40" t="s">
        <v>163</v>
      </c>
      <c r="J40" t="s">
        <v>210</v>
      </c>
      <c r="K40">
        <v>3.6251175836210695E-2</v>
      </c>
      <c r="L40" t="s">
        <v>161</v>
      </c>
      <c r="N40" t="s">
        <v>173</v>
      </c>
      <c r="O40" t="s">
        <v>210</v>
      </c>
      <c r="P40">
        <v>1.9373886858890285E-2</v>
      </c>
      <c r="Q40" t="s">
        <v>161</v>
      </c>
      <c r="S40" t="s">
        <v>183</v>
      </c>
      <c r="T40" t="s">
        <v>210</v>
      </c>
      <c r="U40">
        <v>1.9760942577181882E-2</v>
      </c>
      <c r="V40" t="s">
        <v>161</v>
      </c>
    </row>
    <row r="41" spans="9:31" x14ac:dyDescent="0.45">
      <c r="I41" t="s">
        <v>163</v>
      </c>
      <c r="J41" t="s">
        <v>211</v>
      </c>
      <c r="K41">
        <v>0.34625255393782994</v>
      </c>
      <c r="L41" t="s">
        <v>161</v>
      </c>
      <c r="N41" t="s">
        <v>173</v>
      </c>
      <c r="O41" t="s">
        <v>211</v>
      </c>
      <c r="P41">
        <v>7.2572416227745837E-2</v>
      </c>
      <c r="Q41" t="s">
        <v>161</v>
      </c>
      <c r="S41" t="s">
        <v>183</v>
      </c>
      <c r="T41" t="s">
        <v>211</v>
      </c>
      <c r="U41">
        <v>7.702618789542158E-2</v>
      </c>
      <c r="V41" t="s">
        <v>161</v>
      </c>
    </row>
    <row r="42" spans="9:31" x14ac:dyDescent="0.45">
      <c r="I42" t="s">
        <v>163</v>
      </c>
      <c r="J42" t="s">
        <v>212</v>
      </c>
      <c r="K42">
        <v>2.9156778943424087E-2</v>
      </c>
      <c r="L42" t="s">
        <v>161</v>
      </c>
      <c r="N42" t="s">
        <v>173</v>
      </c>
      <c r="O42" t="s">
        <v>212</v>
      </c>
      <c r="P42">
        <v>7.7635093538547389E-2</v>
      </c>
      <c r="Q42" t="s">
        <v>161</v>
      </c>
      <c r="S42" t="s">
        <v>183</v>
      </c>
      <c r="T42" t="s">
        <v>212</v>
      </c>
      <c r="U42">
        <v>8.1221550627143285E-2</v>
      </c>
      <c r="V42" t="s">
        <v>161</v>
      </c>
    </row>
    <row r="43" spans="9:31" x14ac:dyDescent="0.45">
      <c r="I43" t="s">
        <v>163</v>
      </c>
      <c r="J43" t="s">
        <v>213</v>
      </c>
      <c r="K43">
        <v>4.8401757195441979E-2</v>
      </c>
      <c r="L43" t="s">
        <v>161</v>
      </c>
      <c r="N43" t="s">
        <v>173</v>
      </c>
      <c r="O43" t="s">
        <v>213</v>
      </c>
      <c r="P43">
        <v>1.3421769586347837E-2</v>
      </c>
      <c r="Q43" t="s">
        <v>161</v>
      </c>
      <c r="S43" t="s">
        <v>183</v>
      </c>
      <c r="T43" t="s">
        <v>213</v>
      </c>
      <c r="U43">
        <v>1.5154138840989975E-2</v>
      </c>
      <c r="V43" t="s">
        <v>161</v>
      </c>
    </row>
    <row r="44" spans="9:31" x14ac:dyDescent="0.45">
      <c r="I44" t="s">
        <v>163</v>
      </c>
      <c r="J44" t="s">
        <v>214</v>
      </c>
      <c r="K44">
        <v>5.4329615706684507E-2</v>
      </c>
      <c r="L44" t="s">
        <v>161</v>
      </c>
      <c r="N44" t="s">
        <v>173</v>
      </c>
      <c r="O44" t="s">
        <v>214</v>
      </c>
      <c r="P44">
        <v>0.14477685270700921</v>
      </c>
      <c r="Q44" t="s">
        <v>161</v>
      </c>
      <c r="S44" t="s">
        <v>183</v>
      </c>
      <c r="T44" t="s">
        <v>214</v>
      </c>
      <c r="U44">
        <v>0.14190073795107472</v>
      </c>
      <c r="V44" t="s">
        <v>161</v>
      </c>
    </row>
    <row r="45" spans="9:31" x14ac:dyDescent="0.45">
      <c r="I45" t="s">
        <v>163</v>
      </c>
      <c r="J45" t="s">
        <v>215</v>
      </c>
      <c r="K45">
        <v>0</v>
      </c>
      <c r="L45" t="s">
        <v>161</v>
      </c>
      <c r="N45" t="s">
        <v>173</v>
      </c>
      <c r="O45" t="s">
        <v>215</v>
      </c>
      <c r="P45">
        <v>0.15181020071438098</v>
      </c>
      <c r="Q45" t="s">
        <v>161</v>
      </c>
      <c r="S45" t="s">
        <v>183</v>
      </c>
      <c r="T45" t="s">
        <v>215</v>
      </c>
      <c r="U45">
        <v>0.14660511422182776</v>
      </c>
      <c r="V45" t="s">
        <v>161</v>
      </c>
    </row>
    <row r="46" spans="9:31" x14ac:dyDescent="0.45">
      <c r="I46" t="s">
        <v>163</v>
      </c>
      <c r="J46" t="s">
        <v>216</v>
      </c>
      <c r="K46">
        <v>9.7306484716063813E-4</v>
      </c>
      <c r="L46" t="s">
        <v>161</v>
      </c>
      <c r="N46" t="s">
        <v>173</v>
      </c>
      <c r="O46" t="s">
        <v>216</v>
      </c>
      <c r="P46">
        <v>2.6772014572204437E-2</v>
      </c>
      <c r="Q46" t="s">
        <v>161</v>
      </c>
      <c r="S46" t="s">
        <v>183</v>
      </c>
      <c r="T46" t="s">
        <v>216</v>
      </c>
      <c r="U46">
        <v>2.6368225694246846E-2</v>
      </c>
      <c r="V46" t="s">
        <v>161</v>
      </c>
    </row>
    <row r="47" spans="9:31" x14ac:dyDescent="0.45">
      <c r="I47" t="s">
        <v>164</v>
      </c>
      <c r="J47" t="s">
        <v>205</v>
      </c>
      <c r="K47">
        <v>0.13148168541114555</v>
      </c>
      <c r="L47" t="s">
        <v>161</v>
      </c>
      <c r="N47" t="s">
        <v>174</v>
      </c>
      <c r="O47" t="s">
        <v>205</v>
      </c>
      <c r="P47">
        <v>0.13347659548247376</v>
      </c>
      <c r="Q47" t="s">
        <v>161</v>
      </c>
      <c r="S47" t="s">
        <v>184</v>
      </c>
      <c r="T47" t="s">
        <v>205</v>
      </c>
      <c r="U47">
        <v>0.12353995959652231</v>
      </c>
      <c r="V47" t="s">
        <v>161</v>
      </c>
    </row>
    <row r="48" spans="9:31" x14ac:dyDescent="0.45">
      <c r="I48" t="s">
        <v>164</v>
      </c>
      <c r="J48" t="s">
        <v>206</v>
      </c>
      <c r="K48">
        <v>0</v>
      </c>
      <c r="L48" t="s">
        <v>161</v>
      </c>
      <c r="N48" t="s">
        <v>174</v>
      </c>
      <c r="O48" t="s">
        <v>206</v>
      </c>
      <c r="P48">
        <v>0.14306766356674325</v>
      </c>
      <c r="Q48" t="s">
        <v>161</v>
      </c>
      <c r="S48" t="s">
        <v>184</v>
      </c>
      <c r="T48" t="s">
        <v>206</v>
      </c>
      <c r="U48">
        <v>0.12484879513368594</v>
      </c>
      <c r="V48" t="s">
        <v>161</v>
      </c>
    </row>
    <row r="49" spans="9:22" x14ac:dyDescent="0.45">
      <c r="I49" t="s">
        <v>164</v>
      </c>
      <c r="J49" t="s">
        <v>207</v>
      </c>
      <c r="K49">
        <v>6.5929168569448587E-3</v>
      </c>
      <c r="L49" t="s">
        <v>161</v>
      </c>
      <c r="N49" t="s">
        <v>174</v>
      </c>
      <c r="O49" t="s">
        <v>207</v>
      </c>
      <c r="P49">
        <v>2.447435273499788E-2</v>
      </c>
      <c r="Q49" t="s">
        <v>161</v>
      </c>
      <c r="S49" t="s">
        <v>184</v>
      </c>
      <c r="T49" t="s">
        <v>207</v>
      </c>
      <c r="U49">
        <v>2.3117894113774677E-2</v>
      </c>
      <c r="V49" t="s">
        <v>161</v>
      </c>
    </row>
    <row r="50" spans="9:22" x14ac:dyDescent="0.45">
      <c r="I50" t="s">
        <v>164</v>
      </c>
      <c r="J50" t="s">
        <v>208</v>
      </c>
      <c r="K50">
        <v>0.33525411158017182</v>
      </c>
      <c r="L50" t="s">
        <v>161</v>
      </c>
      <c r="N50" t="s">
        <v>174</v>
      </c>
      <c r="O50" t="s">
        <v>208</v>
      </c>
      <c r="P50">
        <v>0.10230524519538496</v>
      </c>
      <c r="Q50" t="s">
        <v>161</v>
      </c>
      <c r="S50" t="s">
        <v>184</v>
      </c>
      <c r="T50" t="s">
        <v>208</v>
      </c>
      <c r="U50">
        <v>0.1052183065858168</v>
      </c>
      <c r="V50" t="s">
        <v>161</v>
      </c>
    </row>
    <row r="51" spans="9:22" x14ac:dyDescent="0.45">
      <c r="I51" t="s">
        <v>164</v>
      </c>
      <c r="J51" t="s">
        <v>209</v>
      </c>
      <c r="K51">
        <v>1.1311437169498419E-2</v>
      </c>
      <c r="L51" t="s">
        <v>161</v>
      </c>
      <c r="N51" t="s">
        <v>174</v>
      </c>
      <c r="O51" t="s">
        <v>209</v>
      </c>
      <c r="P51">
        <v>0.12264712947390413</v>
      </c>
      <c r="Q51" t="s">
        <v>161</v>
      </c>
      <c r="S51" t="s">
        <v>184</v>
      </c>
      <c r="T51" t="s">
        <v>209</v>
      </c>
      <c r="U51">
        <v>0.1246017984035771</v>
      </c>
      <c r="V51" t="s">
        <v>161</v>
      </c>
    </row>
    <row r="52" spans="9:22" x14ac:dyDescent="0.45">
      <c r="I52" t="s">
        <v>164</v>
      </c>
      <c r="J52" t="s">
        <v>210</v>
      </c>
      <c r="K52">
        <v>3.568297819196771E-2</v>
      </c>
      <c r="L52" t="s">
        <v>161</v>
      </c>
      <c r="N52" t="s">
        <v>174</v>
      </c>
      <c r="O52" t="s">
        <v>210</v>
      </c>
      <c r="P52">
        <v>2.057168675685132E-2</v>
      </c>
      <c r="Q52" t="s">
        <v>161</v>
      </c>
      <c r="S52" t="s">
        <v>184</v>
      </c>
      <c r="T52" t="s">
        <v>210</v>
      </c>
      <c r="U52">
        <v>2.1301952615848375E-2</v>
      </c>
      <c r="V52" t="s">
        <v>161</v>
      </c>
    </row>
    <row r="53" spans="9:22" x14ac:dyDescent="0.45">
      <c r="I53" t="s">
        <v>164</v>
      </c>
      <c r="J53" t="s">
        <v>211</v>
      </c>
      <c r="K53">
        <v>0.34386706873445727</v>
      </c>
      <c r="L53" t="s">
        <v>161</v>
      </c>
      <c r="N53" t="s">
        <v>174</v>
      </c>
      <c r="O53" t="s">
        <v>211</v>
      </c>
      <c r="P53">
        <v>6.1179089077984944E-2</v>
      </c>
      <c r="Q53" t="s">
        <v>161</v>
      </c>
      <c r="S53" t="s">
        <v>184</v>
      </c>
      <c r="T53" t="s">
        <v>211</v>
      </c>
      <c r="U53">
        <v>7.6299668921857383E-2</v>
      </c>
      <c r="V53" t="s">
        <v>161</v>
      </c>
    </row>
    <row r="54" spans="9:22" x14ac:dyDescent="0.45">
      <c r="I54" t="s">
        <v>164</v>
      </c>
      <c r="J54" t="s">
        <v>212</v>
      </c>
      <c r="K54">
        <v>2.7618133841397243E-2</v>
      </c>
      <c r="L54" t="s">
        <v>161</v>
      </c>
      <c r="N54" t="s">
        <v>174</v>
      </c>
      <c r="O54" t="s">
        <v>212</v>
      </c>
      <c r="P54">
        <v>7.4825548639142078E-2</v>
      </c>
      <c r="Q54" t="s">
        <v>161</v>
      </c>
      <c r="S54" t="s">
        <v>184</v>
      </c>
      <c r="T54" t="s">
        <v>212</v>
      </c>
      <c r="U54">
        <v>8.521595143809102E-2</v>
      </c>
      <c r="V54" t="s">
        <v>161</v>
      </c>
    </row>
    <row r="55" spans="9:22" x14ac:dyDescent="0.45">
      <c r="I55" t="s">
        <v>164</v>
      </c>
      <c r="J55" t="s">
        <v>213</v>
      </c>
      <c r="K55">
        <v>4.6240618594053894E-2</v>
      </c>
      <c r="L55" t="s">
        <v>161</v>
      </c>
      <c r="N55" t="s">
        <v>174</v>
      </c>
      <c r="O55" t="s">
        <v>213</v>
      </c>
      <c r="P55">
        <v>1.1341500129763879E-2</v>
      </c>
      <c r="Q55" t="s">
        <v>161</v>
      </c>
      <c r="S55" t="s">
        <v>184</v>
      </c>
      <c r="T55" t="s">
        <v>213</v>
      </c>
      <c r="U55">
        <v>1.5955815042293261E-2</v>
      </c>
      <c r="V55" t="s">
        <v>161</v>
      </c>
    </row>
    <row r="56" spans="9:22" x14ac:dyDescent="0.45">
      <c r="I56" t="s">
        <v>164</v>
      </c>
      <c r="J56" t="s">
        <v>214</v>
      </c>
      <c r="K56">
        <v>6.1094384108379349E-2</v>
      </c>
      <c r="L56" t="s">
        <v>161</v>
      </c>
      <c r="N56" t="s">
        <v>174</v>
      </c>
      <c r="O56" t="s">
        <v>214</v>
      </c>
      <c r="P56">
        <v>0.13896649126870922</v>
      </c>
      <c r="Q56" t="s">
        <v>161</v>
      </c>
      <c r="S56" t="s">
        <v>184</v>
      </c>
      <c r="T56" t="s">
        <v>214</v>
      </c>
      <c r="U56">
        <v>0.13737256149899246</v>
      </c>
      <c r="V56" t="s">
        <v>161</v>
      </c>
    </row>
    <row r="57" spans="9:22" x14ac:dyDescent="0.45">
      <c r="I57" t="s">
        <v>164</v>
      </c>
      <c r="J57" t="s">
        <v>215</v>
      </c>
      <c r="K57">
        <v>0</v>
      </c>
      <c r="L57" t="s">
        <v>161</v>
      </c>
      <c r="N57" t="s">
        <v>174</v>
      </c>
      <c r="O57" t="s">
        <v>215</v>
      </c>
      <c r="P57">
        <v>0.1413498826991719</v>
      </c>
      <c r="Q57" t="s">
        <v>161</v>
      </c>
      <c r="S57" t="s">
        <v>184</v>
      </c>
      <c r="T57" t="s">
        <v>215</v>
      </c>
      <c r="U57">
        <v>0.13728047063249252</v>
      </c>
      <c r="V57" t="s">
        <v>161</v>
      </c>
    </row>
    <row r="58" spans="9:22" x14ac:dyDescent="0.45">
      <c r="I58" t="s">
        <v>164</v>
      </c>
      <c r="J58" t="s">
        <v>216</v>
      </c>
      <c r="K58">
        <v>8.5666551198343302E-4</v>
      </c>
      <c r="L58" t="s">
        <v>161</v>
      </c>
      <c r="N58" t="s">
        <v>174</v>
      </c>
      <c r="O58" t="s">
        <v>216</v>
      </c>
      <c r="P58">
        <v>2.5794814974870666E-2</v>
      </c>
      <c r="Q58" t="s">
        <v>161</v>
      </c>
      <c r="S58" t="s">
        <v>184</v>
      </c>
      <c r="T58" t="s">
        <v>216</v>
      </c>
      <c r="U58">
        <v>2.5246826017047492E-2</v>
      </c>
      <c r="V58" t="s">
        <v>161</v>
      </c>
    </row>
    <row r="59" spans="9:22" x14ac:dyDescent="0.45">
      <c r="I59" t="s">
        <v>165</v>
      </c>
      <c r="J59" t="s">
        <v>205</v>
      </c>
      <c r="K59">
        <v>0.1238128128735452</v>
      </c>
      <c r="L59" t="s">
        <v>161</v>
      </c>
      <c r="N59" t="s">
        <v>175</v>
      </c>
      <c r="O59" t="s">
        <v>205</v>
      </c>
      <c r="P59">
        <v>0.13557961830343149</v>
      </c>
      <c r="Q59" t="s">
        <v>161</v>
      </c>
      <c r="S59" t="s">
        <v>185</v>
      </c>
      <c r="T59" t="s">
        <v>205</v>
      </c>
      <c r="U59">
        <v>0.12341574445527032</v>
      </c>
      <c r="V59" t="s">
        <v>161</v>
      </c>
    </row>
    <row r="60" spans="9:22" x14ac:dyDescent="0.45">
      <c r="I60" t="s">
        <v>165</v>
      </c>
      <c r="J60" t="s">
        <v>206</v>
      </c>
      <c r="K60">
        <v>1.0602506776671236E-3</v>
      </c>
      <c r="L60" t="s">
        <v>161</v>
      </c>
      <c r="N60" t="s">
        <v>175</v>
      </c>
      <c r="O60" t="s">
        <v>206</v>
      </c>
      <c r="P60">
        <v>0.14042107102705301</v>
      </c>
      <c r="Q60" t="s">
        <v>161</v>
      </c>
      <c r="S60" t="s">
        <v>185</v>
      </c>
      <c r="T60" t="s">
        <v>206</v>
      </c>
      <c r="U60">
        <v>0.12435756551083879</v>
      </c>
      <c r="V60" t="s">
        <v>161</v>
      </c>
    </row>
    <row r="61" spans="9:22" x14ac:dyDescent="0.45">
      <c r="I61" t="s">
        <v>165</v>
      </c>
      <c r="J61" t="s">
        <v>207</v>
      </c>
      <c r="K61">
        <v>1.0839450434723757E-2</v>
      </c>
      <c r="L61" t="s">
        <v>161</v>
      </c>
      <c r="N61" t="s">
        <v>175</v>
      </c>
      <c r="O61" t="s">
        <v>207</v>
      </c>
      <c r="P61">
        <v>2.4369792819435979E-2</v>
      </c>
      <c r="Q61" t="s">
        <v>161</v>
      </c>
      <c r="S61" t="s">
        <v>185</v>
      </c>
      <c r="T61" t="s">
        <v>207</v>
      </c>
      <c r="U61">
        <v>2.2912357246791637E-2</v>
      </c>
      <c r="V61" t="s">
        <v>161</v>
      </c>
    </row>
    <row r="62" spans="9:22" x14ac:dyDescent="0.45">
      <c r="I62" t="s">
        <v>165</v>
      </c>
      <c r="J62" t="s">
        <v>208</v>
      </c>
      <c r="K62">
        <v>0.31920593562323418</v>
      </c>
      <c r="L62" t="s">
        <v>161</v>
      </c>
      <c r="N62" t="s">
        <v>175</v>
      </c>
      <c r="O62" t="s">
        <v>208</v>
      </c>
      <c r="P62">
        <v>0.10836265926736187</v>
      </c>
      <c r="Q62" t="s">
        <v>161</v>
      </c>
      <c r="S62" t="s">
        <v>185</v>
      </c>
      <c r="T62" t="s">
        <v>208</v>
      </c>
      <c r="U62">
        <v>0.10936452084210821</v>
      </c>
      <c r="V62" t="s">
        <v>161</v>
      </c>
    </row>
    <row r="63" spans="9:22" x14ac:dyDescent="0.45">
      <c r="I63" t="s">
        <v>165</v>
      </c>
      <c r="J63" t="s">
        <v>209</v>
      </c>
      <c r="K63">
        <v>1.2421705837566473E-2</v>
      </c>
      <c r="L63" t="s">
        <v>161</v>
      </c>
      <c r="N63" t="s">
        <v>175</v>
      </c>
      <c r="O63" t="s">
        <v>209</v>
      </c>
      <c r="P63">
        <v>0.13266321767238068</v>
      </c>
      <c r="Q63" t="s">
        <v>161</v>
      </c>
      <c r="S63" t="s">
        <v>185</v>
      </c>
      <c r="T63" t="s">
        <v>209</v>
      </c>
      <c r="U63">
        <v>0.12477020372619171</v>
      </c>
      <c r="V63" t="s">
        <v>161</v>
      </c>
    </row>
    <row r="64" spans="9:22" x14ac:dyDescent="0.45">
      <c r="I64" t="s">
        <v>165</v>
      </c>
      <c r="J64" t="s">
        <v>210</v>
      </c>
      <c r="K64">
        <v>4.1110795551890324E-2</v>
      </c>
      <c r="L64" t="s">
        <v>161</v>
      </c>
      <c r="N64" t="s">
        <v>175</v>
      </c>
      <c r="O64" t="s">
        <v>210</v>
      </c>
      <c r="P64">
        <v>2.0330555298824916E-2</v>
      </c>
      <c r="Q64" t="s">
        <v>161</v>
      </c>
      <c r="S64" t="s">
        <v>185</v>
      </c>
      <c r="T64" t="s">
        <v>210</v>
      </c>
      <c r="U64">
        <v>2.2197273749903049E-2</v>
      </c>
      <c r="V64" t="s">
        <v>161</v>
      </c>
    </row>
    <row r="65" spans="9:22" x14ac:dyDescent="0.45">
      <c r="I65" t="s">
        <v>165</v>
      </c>
      <c r="J65" t="s">
        <v>211</v>
      </c>
      <c r="K65">
        <v>0.34837587536563314</v>
      </c>
      <c r="L65" t="s">
        <v>161</v>
      </c>
      <c r="N65" t="s">
        <v>175</v>
      </c>
      <c r="O65" t="s">
        <v>211</v>
      </c>
      <c r="P65">
        <v>5.8562585453047718E-2</v>
      </c>
      <c r="Q65" t="s">
        <v>161</v>
      </c>
      <c r="S65" t="s">
        <v>185</v>
      </c>
      <c r="T65" t="s">
        <v>211</v>
      </c>
      <c r="U65">
        <v>7.5606921788927056E-2</v>
      </c>
      <c r="V65" t="s">
        <v>161</v>
      </c>
    </row>
    <row r="66" spans="9:22" x14ac:dyDescent="0.45">
      <c r="I66" t="s">
        <v>165</v>
      </c>
      <c r="J66" t="s">
        <v>212</v>
      </c>
      <c r="K66">
        <v>3.0295915254360685E-2</v>
      </c>
      <c r="L66" t="s">
        <v>161</v>
      </c>
      <c r="N66" t="s">
        <v>175</v>
      </c>
      <c r="O66" t="s">
        <v>212</v>
      </c>
      <c r="P66">
        <v>6.8141303131018668E-2</v>
      </c>
      <c r="Q66" t="s">
        <v>161</v>
      </c>
      <c r="S66" t="s">
        <v>185</v>
      </c>
      <c r="T66" t="s">
        <v>212</v>
      </c>
      <c r="U66">
        <v>8.4060667309936138E-2</v>
      </c>
      <c r="V66" t="s">
        <v>161</v>
      </c>
    </row>
    <row r="67" spans="9:22" x14ac:dyDescent="0.45">
      <c r="I67" t="s">
        <v>165</v>
      </c>
      <c r="J67" t="s">
        <v>213</v>
      </c>
      <c r="K67">
        <v>4.702757471420678E-2</v>
      </c>
      <c r="L67" t="s">
        <v>161</v>
      </c>
      <c r="N67" t="s">
        <v>175</v>
      </c>
      <c r="O67" t="s">
        <v>213</v>
      </c>
      <c r="P67">
        <v>1.0649275455403347E-2</v>
      </c>
      <c r="Q67" t="s">
        <v>161</v>
      </c>
      <c r="S67" t="s">
        <v>185</v>
      </c>
      <c r="T67" t="s">
        <v>213</v>
      </c>
      <c r="U67">
        <v>1.6359336450262565E-2</v>
      </c>
      <c r="V67" t="s">
        <v>161</v>
      </c>
    </row>
    <row r="68" spans="9:22" x14ac:dyDescent="0.45">
      <c r="I68" t="s">
        <v>165</v>
      </c>
      <c r="J68" t="s">
        <v>214</v>
      </c>
      <c r="K68">
        <v>6.3426394478843628E-2</v>
      </c>
      <c r="L68" t="s">
        <v>161</v>
      </c>
      <c r="N68" t="s">
        <v>175</v>
      </c>
      <c r="O68" t="s">
        <v>214</v>
      </c>
      <c r="P68">
        <v>0.13116781217537873</v>
      </c>
      <c r="Q68" t="s">
        <v>161</v>
      </c>
      <c r="S68" t="s">
        <v>185</v>
      </c>
      <c r="T68" t="s">
        <v>214</v>
      </c>
      <c r="U68">
        <v>0.13623507290691247</v>
      </c>
      <c r="V68" t="s">
        <v>161</v>
      </c>
    </row>
    <row r="69" spans="9:22" x14ac:dyDescent="0.45">
      <c r="I69" t="s">
        <v>165</v>
      </c>
      <c r="J69" t="s">
        <v>215</v>
      </c>
      <c r="K69">
        <v>0</v>
      </c>
      <c r="L69" t="s">
        <v>161</v>
      </c>
      <c r="N69" t="s">
        <v>175</v>
      </c>
      <c r="O69" t="s">
        <v>215</v>
      </c>
      <c r="P69">
        <v>0.14377328396571257</v>
      </c>
      <c r="Q69" t="s">
        <v>161</v>
      </c>
      <c r="S69" t="s">
        <v>185</v>
      </c>
      <c r="T69" t="s">
        <v>215</v>
      </c>
      <c r="U69">
        <v>0.13569682446193787</v>
      </c>
      <c r="V69" t="s">
        <v>161</v>
      </c>
    </row>
    <row r="70" spans="9:22" x14ac:dyDescent="0.45">
      <c r="I70" t="s">
        <v>165</v>
      </c>
      <c r="J70" t="s">
        <v>216</v>
      </c>
      <c r="K70">
        <v>2.4232891883284023E-3</v>
      </c>
      <c r="L70" t="s">
        <v>161</v>
      </c>
      <c r="N70" t="s">
        <v>175</v>
      </c>
      <c r="O70" t="s">
        <v>216</v>
      </c>
      <c r="P70">
        <v>2.5978825430947525E-2</v>
      </c>
      <c r="Q70" t="s">
        <v>161</v>
      </c>
      <c r="S70" t="s">
        <v>185</v>
      </c>
      <c r="T70" t="s">
        <v>216</v>
      </c>
      <c r="U70">
        <v>2.5023511550920915E-2</v>
      </c>
      <c r="V70" t="s">
        <v>161</v>
      </c>
    </row>
    <row r="71" spans="9:22" x14ac:dyDescent="0.45">
      <c r="I71" t="s">
        <v>166</v>
      </c>
      <c r="J71" t="s">
        <v>205</v>
      </c>
      <c r="K71">
        <v>0.12527392277554852</v>
      </c>
      <c r="L71" t="s">
        <v>161</v>
      </c>
      <c r="N71" t="s">
        <v>176</v>
      </c>
      <c r="O71" t="s">
        <v>205</v>
      </c>
      <c r="P71">
        <v>0.13554032398682694</v>
      </c>
      <c r="Q71" t="s">
        <v>161</v>
      </c>
      <c r="S71" t="s">
        <v>186</v>
      </c>
      <c r="T71" t="s">
        <v>205</v>
      </c>
      <c r="U71">
        <v>0.12509936433530955</v>
      </c>
      <c r="V71" t="s">
        <v>161</v>
      </c>
    </row>
    <row r="72" spans="9:22" x14ac:dyDescent="0.45">
      <c r="I72" t="s">
        <v>166</v>
      </c>
      <c r="J72" t="s">
        <v>206</v>
      </c>
      <c r="K72">
        <v>1.1327951509023061E-3</v>
      </c>
      <c r="L72" t="s">
        <v>161</v>
      </c>
      <c r="N72" t="s">
        <v>176</v>
      </c>
      <c r="O72" t="s">
        <v>206</v>
      </c>
      <c r="P72">
        <v>0.14366078217957809</v>
      </c>
      <c r="Q72" t="s">
        <v>161</v>
      </c>
      <c r="S72" t="s">
        <v>186</v>
      </c>
      <c r="T72" t="s">
        <v>206</v>
      </c>
      <c r="U72">
        <v>0.12666360508352795</v>
      </c>
      <c r="V72" t="s">
        <v>161</v>
      </c>
    </row>
    <row r="73" spans="9:22" x14ac:dyDescent="0.45">
      <c r="I73" t="s">
        <v>166</v>
      </c>
      <c r="J73" t="s">
        <v>207</v>
      </c>
      <c r="K73">
        <v>1.1015200233670946E-2</v>
      </c>
      <c r="L73" t="s">
        <v>161</v>
      </c>
      <c r="N73" t="s">
        <v>176</v>
      </c>
      <c r="O73" t="s">
        <v>207</v>
      </c>
      <c r="P73">
        <v>2.4734927000690299E-2</v>
      </c>
      <c r="Q73" t="s">
        <v>161</v>
      </c>
      <c r="S73" t="s">
        <v>186</v>
      </c>
      <c r="T73" t="s">
        <v>207</v>
      </c>
      <c r="U73">
        <v>2.369964250036468E-2</v>
      </c>
      <c r="V73" t="s">
        <v>161</v>
      </c>
    </row>
    <row r="74" spans="9:22" x14ac:dyDescent="0.45">
      <c r="I74" t="s">
        <v>166</v>
      </c>
      <c r="J74" t="s">
        <v>208</v>
      </c>
      <c r="K74">
        <v>0.32458705739056165</v>
      </c>
      <c r="L74" t="s">
        <v>161</v>
      </c>
      <c r="N74" t="s">
        <v>176</v>
      </c>
      <c r="O74" t="s">
        <v>208</v>
      </c>
      <c r="P74">
        <v>0.10432050152620725</v>
      </c>
      <c r="Q74" t="s">
        <v>161</v>
      </c>
      <c r="S74" t="s">
        <v>186</v>
      </c>
      <c r="T74" t="s">
        <v>208</v>
      </c>
      <c r="U74">
        <v>0.10083989839030735</v>
      </c>
      <c r="V74" t="s">
        <v>161</v>
      </c>
    </row>
    <row r="75" spans="9:22" x14ac:dyDescent="0.45">
      <c r="I75" t="s">
        <v>166</v>
      </c>
      <c r="J75" t="s">
        <v>209</v>
      </c>
      <c r="K75">
        <v>1.3180641309405154E-2</v>
      </c>
      <c r="L75" t="s">
        <v>161</v>
      </c>
      <c r="N75" t="s">
        <v>176</v>
      </c>
      <c r="O75" t="s">
        <v>209</v>
      </c>
      <c r="P75">
        <v>0.12786776744122363</v>
      </c>
      <c r="Q75" t="s">
        <v>161</v>
      </c>
      <c r="S75" t="s">
        <v>186</v>
      </c>
      <c r="T75" t="s">
        <v>209</v>
      </c>
      <c r="U75">
        <v>0.11735065784063273</v>
      </c>
      <c r="V75" t="s">
        <v>161</v>
      </c>
    </row>
    <row r="76" spans="9:22" x14ac:dyDescent="0.45">
      <c r="I76" t="s">
        <v>166</v>
      </c>
      <c r="J76" t="s">
        <v>210</v>
      </c>
      <c r="K76">
        <v>4.2060914193193549E-2</v>
      </c>
      <c r="L76" t="s">
        <v>161</v>
      </c>
      <c r="N76" t="s">
        <v>176</v>
      </c>
      <c r="O76" t="s">
        <v>210</v>
      </c>
      <c r="P76">
        <v>2.0001197621566529E-2</v>
      </c>
      <c r="Q76" t="s">
        <v>161</v>
      </c>
      <c r="S76" t="s">
        <v>186</v>
      </c>
      <c r="T76" t="s">
        <v>210</v>
      </c>
      <c r="U76">
        <v>2.036950946678031E-2</v>
      </c>
      <c r="V76" t="s">
        <v>161</v>
      </c>
    </row>
    <row r="77" spans="9:22" x14ac:dyDescent="0.45">
      <c r="I77" t="s">
        <v>166</v>
      </c>
      <c r="J77" t="s">
        <v>211</v>
      </c>
      <c r="K77">
        <v>0.34060062445841527</v>
      </c>
      <c r="L77" t="s">
        <v>161</v>
      </c>
      <c r="N77" t="s">
        <v>176</v>
      </c>
      <c r="O77" t="s">
        <v>211</v>
      </c>
      <c r="P77">
        <v>5.8654481122158264E-2</v>
      </c>
      <c r="Q77" t="s">
        <v>161</v>
      </c>
      <c r="S77" t="s">
        <v>186</v>
      </c>
      <c r="T77" t="s">
        <v>211</v>
      </c>
      <c r="U77">
        <v>7.7658731497623326E-2</v>
      </c>
      <c r="V77" t="s">
        <v>161</v>
      </c>
    </row>
    <row r="78" spans="9:22" x14ac:dyDescent="0.45">
      <c r="I78" t="s">
        <v>166</v>
      </c>
      <c r="J78" t="s">
        <v>212</v>
      </c>
      <c r="K78">
        <v>3.3516419565519956E-2</v>
      </c>
      <c r="L78" t="s">
        <v>161</v>
      </c>
      <c r="N78" t="s">
        <v>176</v>
      </c>
      <c r="O78" t="s">
        <v>212</v>
      </c>
      <c r="P78">
        <v>7.0481231012858539E-2</v>
      </c>
      <c r="Q78" t="s">
        <v>161</v>
      </c>
      <c r="S78" t="s">
        <v>186</v>
      </c>
      <c r="T78" t="s">
        <v>212</v>
      </c>
      <c r="U78">
        <v>8.3517332998229749E-2</v>
      </c>
      <c r="V78" t="s">
        <v>161</v>
      </c>
    </row>
    <row r="79" spans="9:22" x14ac:dyDescent="0.45">
      <c r="I79" t="s">
        <v>166</v>
      </c>
      <c r="J79" t="s">
        <v>213</v>
      </c>
      <c r="K79">
        <v>4.8198576580527258E-2</v>
      </c>
      <c r="L79" t="s">
        <v>161</v>
      </c>
      <c r="N79" t="s">
        <v>176</v>
      </c>
      <c r="O79" t="s">
        <v>213</v>
      </c>
      <c r="P79">
        <v>1.0666129093906337E-2</v>
      </c>
      <c r="Q79" t="s">
        <v>161</v>
      </c>
      <c r="S79" t="s">
        <v>186</v>
      </c>
      <c r="T79" t="s">
        <v>213</v>
      </c>
      <c r="U79">
        <v>1.5400196565624235E-2</v>
      </c>
      <c r="V79" t="s">
        <v>161</v>
      </c>
    </row>
    <row r="80" spans="9:22" x14ac:dyDescent="0.45">
      <c r="I80" t="s">
        <v>166</v>
      </c>
      <c r="J80" t="s">
        <v>214</v>
      </c>
      <c r="K80">
        <v>5.8287549519940848E-2</v>
      </c>
      <c r="L80" t="s">
        <v>161</v>
      </c>
      <c r="N80" t="s">
        <v>176</v>
      </c>
      <c r="O80" t="s">
        <v>214</v>
      </c>
      <c r="P80">
        <v>0.13434769687984499</v>
      </c>
      <c r="Q80" t="s">
        <v>161</v>
      </c>
      <c r="S80" t="s">
        <v>186</v>
      </c>
      <c r="T80" t="s">
        <v>214</v>
      </c>
      <c r="U80">
        <v>0.14066268011120805</v>
      </c>
      <c r="V80" t="s">
        <v>161</v>
      </c>
    </row>
    <row r="81" spans="9:22" x14ac:dyDescent="0.45">
      <c r="I81" t="s">
        <v>166</v>
      </c>
      <c r="J81" t="s">
        <v>215</v>
      </c>
      <c r="K81">
        <v>0</v>
      </c>
      <c r="L81" t="s">
        <v>161</v>
      </c>
      <c r="N81" t="s">
        <v>176</v>
      </c>
      <c r="O81" t="s">
        <v>215</v>
      </c>
      <c r="P81">
        <v>0.14392446726869801</v>
      </c>
      <c r="Q81" t="s">
        <v>161</v>
      </c>
      <c r="S81" t="s">
        <v>186</v>
      </c>
      <c r="T81" t="s">
        <v>215</v>
      </c>
      <c r="U81">
        <v>0.14336990473529396</v>
      </c>
      <c r="V81" t="s">
        <v>161</v>
      </c>
    </row>
    <row r="82" spans="9:22" x14ac:dyDescent="0.45">
      <c r="I82" t="s">
        <v>166</v>
      </c>
      <c r="J82" t="s">
        <v>216</v>
      </c>
      <c r="K82">
        <v>2.1462988223149263E-3</v>
      </c>
      <c r="L82" t="s">
        <v>161</v>
      </c>
      <c r="N82" t="s">
        <v>176</v>
      </c>
      <c r="O82" t="s">
        <v>216</v>
      </c>
      <c r="P82">
        <v>2.5800494866440097E-2</v>
      </c>
      <c r="Q82" t="s">
        <v>161</v>
      </c>
      <c r="S82" t="s">
        <v>186</v>
      </c>
      <c r="T82" t="s">
        <v>216</v>
      </c>
      <c r="U82">
        <v>2.5368476475094656E-2</v>
      </c>
      <c r="V82" t="s">
        <v>161</v>
      </c>
    </row>
    <row r="83" spans="9:22" x14ac:dyDescent="0.45">
      <c r="I83" t="s">
        <v>167</v>
      </c>
      <c r="J83" t="s">
        <v>205</v>
      </c>
      <c r="K83">
        <v>0.12969694819409491</v>
      </c>
      <c r="L83" t="s">
        <v>161</v>
      </c>
      <c r="N83" t="s">
        <v>177</v>
      </c>
      <c r="O83" t="s">
        <v>205</v>
      </c>
      <c r="P83">
        <v>0.12987859112487368</v>
      </c>
      <c r="Q83" t="s">
        <v>161</v>
      </c>
      <c r="S83" t="s">
        <v>187</v>
      </c>
      <c r="T83" t="s">
        <v>205</v>
      </c>
      <c r="U83">
        <v>0.12486728028232781</v>
      </c>
      <c r="V83" t="s">
        <v>161</v>
      </c>
    </row>
    <row r="84" spans="9:22" x14ac:dyDescent="0.45">
      <c r="I84" t="s">
        <v>167</v>
      </c>
      <c r="J84" t="s">
        <v>206</v>
      </c>
      <c r="K84">
        <v>0</v>
      </c>
      <c r="L84" t="s">
        <v>161</v>
      </c>
      <c r="N84" t="s">
        <v>177</v>
      </c>
      <c r="O84" t="s">
        <v>206</v>
      </c>
      <c r="P84">
        <v>0.13580477087418141</v>
      </c>
      <c r="Q84" t="s">
        <v>161</v>
      </c>
      <c r="S84" t="s">
        <v>187</v>
      </c>
      <c r="T84" t="s">
        <v>206</v>
      </c>
      <c r="U84">
        <v>0.12539933128666758</v>
      </c>
      <c r="V84" t="s">
        <v>161</v>
      </c>
    </row>
    <row r="85" spans="9:22" x14ac:dyDescent="0.45">
      <c r="I85" t="s">
        <v>167</v>
      </c>
      <c r="J85" t="s">
        <v>207</v>
      </c>
      <c r="K85">
        <v>5.4276993817941443E-3</v>
      </c>
      <c r="L85" t="s">
        <v>161</v>
      </c>
      <c r="N85" t="s">
        <v>177</v>
      </c>
      <c r="O85" t="s">
        <v>207</v>
      </c>
      <c r="P85">
        <v>2.5348621584071491E-2</v>
      </c>
      <c r="Q85" t="s">
        <v>161</v>
      </c>
      <c r="S85" t="s">
        <v>187</v>
      </c>
      <c r="T85" t="s">
        <v>207</v>
      </c>
      <c r="U85">
        <v>2.3446060081971611E-2</v>
      </c>
      <c r="V85" t="s">
        <v>161</v>
      </c>
    </row>
    <row r="86" spans="9:22" x14ac:dyDescent="0.45">
      <c r="I86" t="s">
        <v>167</v>
      </c>
      <c r="J86" t="s">
        <v>208</v>
      </c>
      <c r="K86">
        <v>0.34310319825268731</v>
      </c>
      <c r="L86" t="s">
        <v>161</v>
      </c>
      <c r="N86" t="s">
        <v>177</v>
      </c>
      <c r="O86" t="s">
        <v>208</v>
      </c>
      <c r="P86">
        <v>0.10174806914395564</v>
      </c>
      <c r="Q86" t="s">
        <v>161</v>
      </c>
      <c r="S86" t="s">
        <v>187</v>
      </c>
      <c r="T86" t="s">
        <v>208</v>
      </c>
      <c r="U86">
        <v>0.10572423639604343</v>
      </c>
      <c r="V86" t="s">
        <v>161</v>
      </c>
    </row>
    <row r="87" spans="9:22" x14ac:dyDescent="0.45">
      <c r="I87" t="s">
        <v>167</v>
      </c>
      <c r="J87" t="s">
        <v>209</v>
      </c>
      <c r="K87">
        <v>1.083437501706718E-2</v>
      </c>
      <c r="L87" t="s">
        <v>161</v>
      </c>
      <c r="N87" t="s">
        <v>177</v>
      </c>
      <c r="O87" t="s">
        <v>209</v>
      </c>
      <c r="P87">
        <v>0.12901494359296961</v>
      </c>
      <c r="Q87" t="s">
        <v>161</v>
      </c>
      <c r="S87" t="s">
        <v>187</v>
      </c>
      <c r="T87" t="s">
        <v>209</v>
      </c>
      <c r="U87">
        <v>0.11821448389634857</v>
      </c>
      <c r="V87" t="s">
        <v>161</v>
      </c>
    </row>
    <row r="88" spans="9:22" x14ac:dyDescent="0.45">
      <c r="I88" t="s">
        <v>167</v>
      </c>
      <c r="J88" t="s">
        <v>210</v>
      </c>
      <c r="K88">
        <v>2.6863517912384467E-2</v>
      </c>
      <c r="L88" t="s">
        <v>161</v>
      </c>
      <c r="N88" t="s">
        <v>177</v>
      </c>
      <c r="O88" t="s">
        <v>210</v>
      </c>
      <c r="P88">
        <v>2.0475657980444959E-2</v>
      </c>
      <c r="Q88" t="s">
        <v>161</v>
      </c>
      <c r="S88" t="s">
        <v>187</v>
      </c>
      <c r="T88" t="s">
        <v>210</v>
      </c>
      <c r="U88">
        <v>2.1402237670568695E-2</v>
      </c>
      <c r="V88" t="s">
        <v>161</v>
      </c>
    </row>
    <row r="89" spans="9:22" x14ac:dyDescent="0.45">
      <c r="I89" t="s">
        <v>167</v>
      </c>
      <c r="J89" t="s">
        <v>211</v>
      </c>
      <c r="K89">
        <v>0.35127680488683927</v>
      </c>
      <c r="L89" t="s">
        <v>161</v>
      </c>
      <c r="N89" t="s">
        <v>177</v>
      </c>
      <c r="O89" t="s">
        <v>211</v>
      </c>
      <c r="P89">
        <v>6.2353939887393531E-2</v>
      </c>
      <c r="Q89" t="s">
        <v>161</v>
      </c>
      <c r="S89" t="s">
        <v>187</v>
      </c>
      <c r="T89" t="s">
        <v>211</v>
      </c>
      <c r="U89">
        <v>7.7059640716418326E-2</v>
      </c>
      <c r="V89" t="s">
        <v>161</v>
      </c>
    </row>
    <row r="90" spans="9:22" x14ac:dyDescent="0.45">
      <c r="I90" t="s">
        <v>167</v>
      </c>
      <c r="J90" t="s">
        <v>212</v>
      </c>
      <c r="K90">
        <v>2.8931211216533331E-2</v>
      </c>
      <c r="L90" t="s">
        <v>161</v>
      </c>
      <c r="N90" t="s">
        <v>177</v>
      </c>
      <c r="O90" t="s">
        <v>212</v>
      </c>
      <c r="P90">
        <v>7.3854785890244273E-2</v>
      </c>
      <c r="Q90" t="s">
        <v>161</v>
      </c>
      <c r="S90" t="s">
        <v>187</v>
      </c>
      <c r="T90" t="s">
        <v>212</v>
      </c>
      <c r="U90">
        <v>8.5428494156415458E-2</v>
      </c>
      <c r="V90" t="s">
        <v>161</v>
      </c>
    </row>
    <row r="91" spans="9:22" x14ac:dyDescent="0.45">
      <c r="I91" t="s">
        <v>167</v>
      </c>
      <c r="J91" t="s">
        <v>213</v>
      </c>
      <c r="K91">
        <v>3.8235721643798057E-2</v>
      </c>
      <c r="L91" t="s">
        <v>161</v>
      </c>
      <c r="N91" t="s">
        <v>177</v>
      </c>
      <c r="O91" t="s">
        <v>213</v>
      </c>
      <c r="P91">
        <v>1.1249952314581937E-2</v>
      </c>
      <c r="Q91" t="s">
        <v>161</v>
      </c>
      <c r="S91" t="s">
        <v>187</v>
      </c>
      <c r="T91" t="s">
        <v>213</v>
      </c>
      <c r="U91">
        <v>1.5610462344326137E-2</v>
      </c>
      <c r="V91" t="s">
        <v>161</v>
      </c>
    </row>
    <row r="92" spans="9:22" x14ac:dyDescent="0.45">
      <c r="I92" t="s">
        <v>167</v>
      </c>
      <c r="J92" t="s">
        <v>214</v>
      </c>
      <c r="K92">
        <v>6.5309276587764267E-2</v>
      </c>
      <c r="L92" t="s">
        <v>161</v>
      </c>
      <c r="N92" t="s">
        <v>177</v>
      </c>
      <c r="O92" t="s">
        <v>214</v>
      </c>
      <c r="P92">
        <v>0.13819072523738415</v>
      </c>
      <c r="Q92" t="s">
        <v>161</v>
      </c>
      <c r="S92" t="s">
        <v>187</v>
      </c>
      <c r="T92" t="s">
        <v>214</v>
      </c>
      <c r="U92">
        <v>0.1380157748727984</v>
      </c>
      <c r="V92" t="s">
        <v>161</v>
      </c>
    </row>
    <row r="93" spans="9:22" x14ac:dyDescent="0.45">
      <c r="I93" t="s">
        <v>167</v>
      </c>
      <c r="J93" t="s">
        <v>215</v>
      </c>
      <c r="K93">
        <v>0</v>
      </c>
      <c r="L93" t="s">
        <v>161</v>
      </c>
      <c r="N93" t="s">
        <v>177</v>
      </c>
      <c r="O93" t="s">
        <v>215</v>
      </c>
      <c r="P93">
        <v>0.14541261471765424</v>
      </c>
      <c r="Q93" t="s">
        <v>161</v>
      </c>
      <c r="S93" t="s">
        <v>187</v>
      </c>
      <c r="T93" t="s">
        <v>215</v>
      </c>
      <c r="U93">
        <v>0.1398629350689134</v>
      </c>
      <c r="V93" t="s">
        <v>161</v>
      </c>
    </row>
    <row r="94" spans="9:22" x14ac:dyDescent="0.45">
      <c r="I94" t="s">
        <v>167</v>
      </c>
      <c r="J94" t="s">
        <v>216</v>
      </c>
      <c r="K94">
        <v>3.2124690703267718E-4</v>
      </c>
      <c r="L94" t="s">
        <v>161</v>
      </c>
      <c r="N94" t="s">
        <v>177</v>
      </c>
      <c r="O94" t="s">
        <v>216</v>
      </c>
      <c r="P94">
        <v>2.6667327652246726E-2</v>
      </c>
      <c r="Q94" t="s">
        <v>161</v>
      </c>
      <c r="S94" t="s">
        <v>187</v>
      </c>
      <c r="T94" t="s">
        <v>216</v>
      </c>
      <c r="U94">
        <v>2.4969063227200879E-2</v>
      </c>
      <c r="V94" t="s">
        <v>161</v>
      </c>
    </row>
    <row r="95" spans="9:22" x14ac:dyDescent="0.45">
      <c r="I95" t="s">
        <v>168</v>
      </c>
      <c r="J95" t="s">
        <v>205</v>
      </c>
      <c r="K95">
        <v>0.12969441666539039</v>
      </c>
      <c r="L95" t="s">
        <v>161</v>
      </c>
      <c r="N95" t="s">
        <v>178</v>
      </c>
      <c r="O95" t="s">
        <v>205</v>
      </c>
      <c r="P95">
        <v>0.12723997013631622</v>
      </c>
      <c r="Q95" t="s">
        <v>161</v>
      </c>
      <c r="S95" t="s">
        <v>188</v>
      </c>
      <c r="T95" t="s">
        <v>205</v>
      </c>
      <c r="U95">
        <v>0.12770716603258919</v>
      </c>
      <c r="V95" t="s">
        <v>161</v>
      </c>
    </row>
    <row r="96" spans="9:22" x14ac:dyDescent="0.45">
      <c r="I96" t="s">
        <v>168</v>
      </c>
      <c r="J96" t="s">
        <v>206</v>
      </c>
      <c r="K96">
        <v>0</v>
      </c>
      <c r="L96" t="s">
        <v>161</v>
      </c>
      <c r="N96" t="s">
        <v>178</v>
      </c>
      <c r="O96" t="s">
        <v>206</v>
      </c>
      <c r="P96">
        <v>0.13534358593198162</v>
      </c>
      <c r="Q96" t="s">
        <v>161</v>
      </c>
      <c r="S96" t="s">
        <v>188</v>
      </c>
      <c r="T96" t="s">
        <v>206</v>
      </c>
      <c r="U96">
        <v>0.12737879430866472</v>
      </c>
      <c r="V96" t="s">
        <v>161</v>
      </c>
    </row>
    <row r="97" spans="9:22" x14ac:dyDescent="0.45">
      <c r="I97" t="s">
        <v>168</v>
      </c>
      <c r="J97" t="s">
        <v>207</v>
      </c>
      <c r="K97">
        <v>5.5958549037965835E-3</v>
      </c>
      <c r="L97" t="s">
        <v>161</v>
      </c>
      <c r="N97" t="s">
        <v>178</v>
      </c>
      <c r="O97" t="s">
        <v>207</v>
      </c>
      <c r="P97">
        <v>2.4783640875974216E-2</v>
      </c>
      <c r="Q97" t="s">
        <v>161</v>
      </c>
      <c r="S97" t="s">
        <v>188</v>
      </c>
      <c r="T97" t="s">
        <v>207</v>
      </c>
      <c r="U97">
        <v>2.4288880437058374E-2</v>
      </c>
      <c r="V97" t="s">
        <v>161</v>
      </c>
    </row>
    <row r="98" spans="9:22" x14ac:dyDescent="0.45">
      <c r="I98" t="s">
        <v>168</v>
      </c>
      <c r="J98" t="s">
        <v>208</v>
      </c>
      <c r="K98">
        <v>0.34566392212846969</v>
      </c>
      <c r="L98" t="s">
        <v>161</v>
      </c>
      <c r="N98" t="s">
        <v>178</v>
      </c>
      <c r="O98" t="s">
        <v>208</v>
      </c>
      <c r="P98">
        <v>9.8486985597168564E-2</v>
      </c>
      <c r="Q98" t="s">
        <v>161</v>
      </c>
      <c r="S98" t="s">
        <v>188</v>
      </c>
      <c r="T98" t="s">
        <v>208</v>
      </c>
      <c r="U98">
        <v>0.10590324461077337</v>
      </c>
      <c r="V98" t="s">
        <v>161</v>
      </c>
    </row>
    <row r="99" spans="9:22" x14ac:dyDescent="0.45">
      <c r="I99" t="s">
        <v>168</v>
      </c>
      <c r="J99" t="s">
        <v>209</v>
      </c>
      <c r="K99">
        <v>1.1190075489234617E-2</v>
      </c>
      <c r="L99" t="s">
        <v>161</v>
      </c>
      <c r="N99" t="s">
        <v>178</v>
      </c>
      <c r="O99" t="s">
        <v>209</v>
      </c>
      <c r="P99">
        <v>0.11922117016940822</v>
      </c>
      <c r="Q99" t="s">
        <v>161</v>
      </c>
      <c r="S99" t="s">
        <v>188</v>
      </c>
      <c r="T99" t="s">
        <v>209</v>
      </c>
      <c r="U99">
        <v>0.11264641410905263</v>
      </c>
      <c r="V99" t="s">
        <v>161</v>
      </c>
    </row>
    <row r="100" spans="9:22" x14ac:dyDescent="0.45">
      <c r="I100" t="s">
        <v>168</v>
      </c>
      <c r="J100" t="s">
        <v>210</v>
      </c>
      <c r="K100">
        <v>2.764766052482015E-2</v>
      </c>
      <c r="L100" t="s">
        <v>161</v>
      </c>
      <c r="N100" t="s">
        <v>178</v>
      </c>
      <c r="O100" t="s">
        <v>210</v>
      </c>
      <c r="P100">
        <v>2.0488220057147677E-2</v>
      </c>
      <c r="Q100" t="s">
        <v>161</v>
      </c>
      <c r="S100" t="s">
        <v>188</v>
      </c>
      <c r="T100" t="s">
        <v>210</v>
      </c>
      <c r="U100">
        <v>2.0341069459260331E-2</v>
      </c>
      <c r="V100" t="s">
        <v>161</v>
      </c>
    </row>
    <row r="101" spans="9:22" x14ac:dyDescent="0.45">
      <c r="I101" t="s">
        <v>168</v>
      </c>
      <c r="J101" t="s">
        <v>211</v>
      </c>
      <c r="K101">
        <v>0.34721313250276065</v>
      </c>
      <c r="L101" t="s">
        <v>161</v>
      </c>
      <c r="N101" t="s">
        <v>178</v>
      </c>
      <c r="O101" t="s">
        <v>211</v>
      </c>
      <c r="P101">
        <v>6.5810077209217582E-2</v>
      </c>
      <c r="Q101" t="s">
        <v>161</v>
      </c>
      <c r="S101" t="s">
        <v>188</v>
      </c>
      <c r="T101" t="s">
        <v>211</v>
      </c>
      <c r="U101">
        <v>7.4657461095064756E-2</v>
      </c>
      <c r="V101" t="s">
        <v>161</v>
      </c>
    </row>
    <row r="102" spans="9:22" x14ac:dyDescent="0.45">
      <c r="I102" t="s">
        <v>168</v>
      </c>
      <c r="J102" t="s">
        <v>212</v>
      </c>
      <c r="K102">
        <v>2.7940279503907046E-2</v>
      </c>
      <c r="L102" t="s">
        <v>161</v>
      </c>
      <c r="N102" t="s">
        <v>178</v>
      </c>
      <c r="O102" t="s">
        <v>212</v>
      </c>
      <c r="P102">
        <v>7.7661966579453678E-2</v>
      </c>
      <c r="Q102" t="s">
        <v>161</v>
      </c>
      <c r="S102" t="s">
        <v>188</v>
      </c>
      <c r="T102" t="s">
        <v>212</v>
      </c>
      <c r="U102">
        <v>8.2518391175515002E-2</v>
      </c>
      <c r="V102" t="s">
        <v>161</v>
      </c>
    </row>
    <row r="103" spans="9:22" x14ac:dyDescent="0.45">
      <c r="I103" t="s">
        <v>168</v>
      </c>
      <c r="J103" t="s">
        <v>213</v>
      </c>
      <c r="K103">
        <v>3.9526690878108797E-2</v>
      </c>
      <c r="L103" t="s">
        <v>161</v>
      </c>
      <c r="N103" t="s">
        <v>178</v>
      </c>
      <c r="O103" t="s">
        <v>213</v>
      </c>
      <c r="P103">
        <v>1.1996369662625782E-2</v>
      </c>
      <c r="Q103" t="s">
        <v>161</v>
      </c>
      <c r="S103" t="s">
        <v>188</v>
      </c>
      <c r="T103" t="s">
        <v>213</v>
      </c>
      <c r="U103">
        <v>1.4327936721337833E-2</v>
      </c>
      <c r="V103" t="s">
        <v>161</v>
      </c>
    </row>
    <row r="104" spans="9:22" x14ac:dyDescent="0.45">
      <c r="I104" t="s">
        <v>168</v>
      </c>
      <c r="J104" t="s">
        <v>214</v>
      </c>
      <c r="K104">
        <v>6.4986082411257126E-2</v>
      </c>
      <c r="L104" t="s">
        <v>161</v>
      </c>
      <c r="N104" t="s">
        <v>178</v>
      </c>
      <c r="O104" t="s">
        <v>214</v>
      </c>
      <c r="P104">
        <v>0.14768349639007367</v>
      </c>
      <c r="Q104" t="s">
        <v>161</v>
      </c>
      <c r="S104" t="s">
        <v>188</v>
      </c>
      <c r="T104" t="s">
        <v>214</v>
      </c>
      <c r="U104">
        <v>0.14162290526883228</v>
      </c>
      <c r="V104" t="s">
        <v>161</v>
      </c>
    </row>
    <row r="105" spans="9:22" x14ac:dyDescent="0.45">
      <c r="I105" t="s">
        <v>168</v>
      </c>
      <c r="J105" t="s">
        <v>215</v>
      </c>
      <c r="K105">
        <v>0</v>
      </c>
      <c r="L105" t="s">
        <v>161</v>
      </c>
      <c r="N105" t="s">
        <v>178</v>
      </c>
      <c r="O105" t="s">
        <v>215</v>
      </c>
      <c r="P105">
        <v>0.1450527778212039</v>
      </c>
      <c r="Q105" t="s">
        <v>161</v>
      </c>
      <c r="S105" t="s">
        <v>188</v>
      </c>
      <c r="T105" t="s">
        <v>215</v>
      </c>
      <c r="U105">
        <v>0.14287222861477769</v>
      </c>
      <c r="V105" t="s">
        <v>161</v>
      </c>
    </row>
    <row r="106" spans="9:22" x14ac:dyDescent="0.45">
      <c r="I106" t="s">
        <v>168</v>
      </c>
      <c r="J106" t="s">
        <v>216</v>
      </c>
      <c r="K106">
        <v>5.4188499225289104E-4</v>
      </c>
      <c r="L106" t="s">
        <v>161</v>
      </c>
      <c r="N106" t="s">
        <v>178</v>
      </c>
      <c r="O106" t="s">
        <v>216</v>
      </c>
      <c r="P106">
        <v>2.6231739569430302E-2</v>
      </c>
      <c r="Q106" t="s">
        <v>161</v>
      </c>
      <c r="S106" t="s">
        <v>188</v>
      </c>
      <c r="T106" t="s">
        <v>216</v>
      </c>
      <c r="U106">
        <v>2.5735508167076183E-2</v>
      </c>
      <c r="V106" t="s">
        <v>161</v>
      </c>
    </row>
    <row r="107" spans="9:22" x14ac:dyDescent="0.45">
      <c r="I107" t="s">
        <v>169</v>
      </c>
      <c r="J107" t="s">
        <v>205</v>
      </c>
      <c r="K107">
        <v>0.13536001186898217</v>
      </c>
      <c r="L107" t="s">
        <v>161</v>
      </c>
      <c r="N107" t="s">
        <v>179</v>
      </c>
      <c r="O107" t="s">
        <v>205</v>
      </c>
      <c r="P107">
        <v>0.1278805511095715</v>
      </c>
      <c r="Q107" t="s">
        <v>161</v>
      </c>
      <c r="S107" t="s">
        <v>189</v>
      </c>
      <c r="T107" t="s">
        <v>205</v>
      </c>
      <c r="U107">
        <v>0.12626657120473106</v>
      </c>
      <c r="V107" t="s">
        <v>161</v>
      </c>
    </row>
    <row r="108" spans="9:22" x14ac:dyDescent="0.45">
      <c r="I108" t="s">
        <v>169</v>
      </c>
      <c r="J108" t="s">
        <v>206</v>
      </c>
      <c r="K108">
        <v>2.6143305012917746E-6</v>
      </c>
      <c r="L108" t="s">
        <v>161</v>
      </c>
      <c r="N108" t="s">
        <v>179</v>
      </c>
      <c r="O108" t="s">
        <v>206</v>
      </c>
      <c r="P108">
        <v>0.13566395377371548</v>
      </c>
      <c r="Q108" t="s">
        <v>161</v>
      </c>
      <c r="S108" t="s">
        <v>189</v>
      </c>
      <c r="T108" t="s">
        <v>206</v>
      </c>
      <c r="U108">
        <v>0.12537670777854604</v>
      </c>
      <c r="V108" t="s">
        <v>161</v>
      </c>
    </row>
    <row r="109" spans="9:22" x14ac:dyDescent="0.45">
      <c r="I109" t="s">
        <v>169</v>
      </c>
      <c r="J109" t="s">
        <v>207</v>
      </c>
      <c r="K109">
        <v>6.3250508691010442E-3</v>
      </c>
      <c r="L109" t="s">
        <v>161</v>
      </c>
      <c r="N109" t="s">
        <v>179</v>
      </c>
      <c r="O109" t="s">
        <v>207</v>
      </c>
      <c r="P109">
        <v>2.5190663897341651E-2</v>
      </c>
      <c r="Q109" t="s">
        <v>161</v>
      </c>
      <c r="S109" t="s">
        <v>189</v>
      </c>
      <c r="T109" t="s">
        <v>207</v>
      </c>
      <c r="U109">
        <v>2.3495876553354715E-2</v>
      </c>
      <c r="V109" t="s">
        <v>161</v>
      </c>
    </row>
    <row r="110" spans="9:22" x14ac:dyDescent="0.45">
      <c r="I110" t="s">
        <v>169</v>
      </c>
      <c r="J110" t="s">
        <v>208</v>
      </c>
      <c r="K110">
        <v>0.34202797729418655</v>
      </c>
      <c r="L110" t="s">
        <v>161</v>
      </c>
      <c r="N110" t="s">
        <v>179</v>
      </c>
      <c r="O110" t="s">
        <v>208</v>
      </c>
      <c r="P110">
        <v>9.8692396616515632E-2</v>
      </c>
      <c r="Q110" t="s">
        <v>161</v>
      </c>
      <c r="S110" t="s">
        <v>189</v>
      </c>
      <c r="T110" t="s">
        <v>208</v>
      </c>
      <c r="U110">
        <v>0.11166035169928687</v>
      </c>
      <c r="V110" t="s">
        <v>161</v>
      </c>
    </row>
    <row r="111" spans="9:22" x14ac:dyDescent="0.45">
      <c r="I111" t="s">
        <v>169</v>
      </c>
      <c r="J111" t="s">
        <v>209</v>
      </c>
      <c r="K111">
        <v>1.2470926253792279E-2</v>
      </c>
      <c r="L111" t="s">
        <v>161</v>
      </c>
      <c r="N111" t="s">
        <v>179</v>
      </c>
      <c r="O111" t="s">
        <v>209</v>
      </c>
      <c r="P111">
        <v>0.12417081593812408</v>
      </c>
      <c r="Q111" t="s">
        <v>161</v>
      </c>
      <c r="S111" t="s">
        <v>189</v>
      </c>
      <c r="T111" t="s">
        <v>209</v>
      </c>
      <c r="U111">
        <v>0.12003943654127026</v>
      </c>
      <c r="V111" t="s">
        <v>161</v>
      </c>
    </row>
    <row r="112" spans="9:22" x14ac:dyDescent="0.45">
      <c r="I112" t="s">
        <v>169</v>
      </c>
      <c r="J112" t="s">
        <v>210</v>
      </c>
      <c r="K112">
        <v>2.8708101924884842E-2</v>
      </c>
      <c r="L112" t="s">
        <v>161</v>
      </c>
      <c r="N112" t="s">
        <v>179</v>
      </c>
      <c r="O112" t="s">
        <v>210</v>
      </c>
      <c r="P112">
        <v>2.0136672989564626E-2</v>
      </c>
      <c r="Q112" t="s">
        <v>161</v>
      </c>
      <c r="S112" t="s">
        <v>189</v>
      </c>
      <c r="T112" t="s">
        <v>210</v>
      </c>
      <c r="U112">
        <v>2.2111909199199989E-2</v>
      </c>
      <c r="V112" t="s">
        <v>161</v>
      </c>
    </row>
    <row r="113" spans="9:22" x14ac:dyDescent="0.45">
      <c r="I113" t="s">
        <v>169</v>
      </c>
      <c r="J113" t="s">
        <v>211</v>
      </c>
      <c r="K113">
        <v>0.34372823040101341</v>
      </c>
      <c r="L113" t="s">
        <v>161</v>
      </c>
      <c r="N113" t="s">
        <v>179</v>
      </c>
      <c r="O113" t="s">
        <v>211</v>
      </c>
      <c r="P113">
        <v>6.4747385478777467E-2</v>
      </c>
      <c r="Q113" t="s">
        <v>161</v>
      </c>
      <c r="S113" t="s">
        <v>189</v>
      </c>
      <c r="T113" t="s">
        <v>211</v>
      </c>
      <c r="U113">
        <v>7.2798312768543802E-2</v>
      </c>
      <c r="V113" t="s">
        <v>161</v>
      </c>
    </row>
    <row r="114" spans="9:22" x14ac:dyDescent="0.45">
      <c r="I114" t="s">
        <v>169</v>
      </c>
      <c r="J114" t="s">
        <v>212</v>
      </c>
      <c r="K114">
        <v>3.0719208420170421E-2</v>
      </c>
      <c r="L114" t="s">
        <v>161</v>
      </c>
      <c r="N114" t="s">
        <v>179</v>
      </c>
      <c r="O114" t="s">
        <v>212</v>
      </c>
      <c r="P114">
        <v>7.7927208902435013E-2</v>
      </c>
      <c r="Q114" t="s">
        <v>161</v>
      </c>
      <c r="S114" t="s">
        <v>189</v>
      </c>
      <c r="T114" t="s">
        <v>212</v>
      </c>
      <c r="U114">
        <v>8.4278642369442353E-2</v>
      </c>
      <c r="V114" t="s">
        <v>161</v>
      </c>
    </row>
    <row r="115" spans="9:22" x14ac:dyDescent="0.45">
      <c r="I115" t="s">
        <v>169</v>
      </c>
      <c r="J115" t="s">
        <v>213</v>
      </c>
      <c r="K115">
        <v>4.243301774091273E-2</v>
      </c>
      <c r="L115" t="s">
        <v>161</v>
      </c>
      <c r="N115" t="s">
        <v>179</v>
      </c>
      <c r="O115" t="s">
        <v>213</v>
      </c>
      <c r="P115">
        <v>1.1751045377757129E-2</v>
      </c>
      <c r="Q115" t="s">
        <v>161</v>
      </c>
      <c r="S115" t="s">
        <v>189</v>
      </c>
      <c r="T115" t="s">
        <v>213</v>
      </c>
      <c r="U115">
        <v>1.4685686918404045E-2</v>
      </c>
      <c r="V115" t="s">
        <v>161</v>
      </c>
    </row>
    <row r="116" spans="9:22" x14ac:dyDescent="0.45">
      <c r="I116" t="s">
        <v>169</v>
      </c>
      <c r="J116" t="s">
        <v>214</v>
      </c>
      <c r="K116">
        <v>5.799124016027541E-2</v>
      </c>
      <c r="L116" t="s">
        <v>161</v>
      </c>
      <c r="N116" t="s">
        <v>179</v>
      </c>
      <c r="O116" t="s">
        <v>214</v>
      </c>
      <c r="P116">
        <v>0.14165028120685769</v>
      </c>
      <c r="Q116" t="s">
        <v>161</v>
      </c>
      <c r="S116" t="s">
        <v>189</v>
      </c>
      <c r="T116" t="s">
        <v>214</v>
      </c>
      <c r="U116">
        <v>0.13708295912972512</v>
      </c>
      <c r="V116" t="s">
        <v>161</v>
      </c>
    </row>
    <row r="117" spans="9:22" x14ac:dyDescent="0.45">
      <c r="I117" t="s">
        <v>169</v>
      </c>
      <c r="J117" t="s">
        <v>215</v>
      </c>
      <c r="K117">
        <v>0</v>
      </c>
      <c r="L117" t="s">
        <v>161</v>
      </c>
      <c r="N117" t="s">
        <v>179</v>
      </c>
      <c r="O117" t="s">
        <v>215</v>
      </c>
      <c r="P117">
        <v>0.14591741988622092</v>
      </c>
      <c r="Q117" t="s">
        <v>161</v>
      </c>
      <c r="S117" t="s">
        <v>189</v>
      </c>
      <c r="T117" t="s">
        <v>215</v>
      </c>
      <c r="U117">
        <v>0.13719949272431858</v>
      </c>
      <c r="V117" t="s">
        <v>161</v>
      </c>
    </row>
    <row r="118" spans="9:22" x14ac:dyDescent="0.45">
      <c r="I118" t="s">
        <v>169</v>
      </c>
      <c r="J118" t="s">
        <v>216</v>
      </c>
      <c r="K118">
        <v>2.3362073618146722E-4</v>
      </c>
      <c r="L118" t="s">
        <v>161</v>
      </c>
      <c r="N118" t="s">
        <v>179</v>
      </c>
      <c r="O118" t="s">
        <v>216</v>
      </c>
      <c r="P118">
        <v>2.6271604823116527E-2</v>
      </c>
      <c r="Q118" t="s">
        <v>161</v>
      </c>
      <c r="S118" t="s">
        <v>189</v>
      </c>
      <c r="T118" t="s">
        <v>216</v>
      </c>
      <c r="U118">
        <v>2.5004053113176578E-2</v>
      </c>
      <c r="V118" t="s">
        <v>161</v>
      </c>
    </row>
    <row r="119" spans="9:22" x14ac:dyDescent="0.45">
      <c r="I119" t="s">
        <v>170</v>
      </c>
      <c r="J119" t="s">
        <v>205</v>
      </c>
      <c r="K119">
        <v>0.13272000669007697</v>
      </c>
      <c r="L119" t="s">
        <v>161</v>
      </c>
      <c r="N119" t="s">
        <v>180</v>
      </c>
      <c r="O119" t="s">
        <v>205</v>
      </c>
      <c r="P119">
        <v>0.13011295978269613</v>
      </c>
      <c r="Q119" t="s">
        <v>161</v>
      </c>
      <c r="S119" t="s">
        <v>190</v>
      </c>
      <c r="T119" t="s">
        <v>205</v>
      </c>
      <c r="U119">
        <v>0.12557616119439147</v>
      </c>
      <c r="V119" t="s">
        <v>161</v>
      </c>
    </row>
    <row r="120" spans="9:22" x14ac:dyDescent="0.45">
      <c r="I120" t="s">
        <v>170</v>
      </c>
      <c r="J120" t="s">
        <v>206</v>
      </c>
      <c r="K120">
        <v>1.2387310729347561E-6</v>
      </c>
      <c r="L120" t="s">
        <v>161</v>
      </c>
      <c r="N120" t="s">
        <v>180</v>
      </c>
      <c r="O120" t="s">
        <v>206</v>
      </c>
      <c r="P120">
        <v>0.14006233708285629</v>
      </c>
      <c r="Q120" t="s">
        <v>161</v>
      </c>
      <c r="S120" t="s">
        <v>190</v>
      </c>
      <c r="T120" t="s">
        <v>206</v>
      </c>
      <c r="U120">
        <v>0.12459598039134921</v>
      </c>
      <c r="V120" t="s">
        <v>161</v>
      </c>
    </row>
    <row r="121" spans="9:22" x14ac:dyDescent="0.45">
      <c r="I121" t="s">
        <v>170</v>
      </c>
      <c r="J121" t="s">
        <v>207</v>
      </c>
      <c r="K121">
        <v>5.8560856296785042E-3</v>
      </c>
      <c r="L121" t="s">
        <v>161</v>
      </c>
      <c r="N121" t="s">
        <v>180</v>
      </c>
      <c r="O121" t="s">
        <v>207</v>
      </c>
      <c r="P121">
        <v>2.5255046287080803E-2</v>
      </c>
      <c r="Q121" t="s">
        <v>161</v>
      </c>
      <c r="S121" t="s">
        <v>190</v>
      </c>
      <c r="T121" t="s">
        <v>207</v>
      </c>
      <c r="U121">
        <v>2.329239545510943E-2</v>
      </c>
      <c r="V121" t="s">
        <v>161</v>
      </c>
    </row>
    <row r="122" spans="9:22" x14ac:dyDescent="0.45">
      <c r="I122" t="s">
        <v>170</v>
      </c>
      <c r="J122" t="s">
        <v>208</v>
      </c>
      <c r="K122">
        <v>0.3440643212367735</v>
      </c>
      <c r="L122" t="s">
        <v>161</v>
      </c>
      <c r="N122" t="s">
        <v>180</v>
      </c>
      <c r="O122" t="s">
        <v>208</v>
      </c>
      <c r="P122">
        <v>0.10180336569020779</v>
      </c>
      <c r="Q122" t="s">
        <v>161</v>
      </c>
      <c r="S122" t="s">
        <v>190</v>
      </c>
      <c r="T122" t="s">
        <v>208</v>
      </c>
      <c r="U122">
        <v>0.11373373225858159</v>
      </c>
      <c r="V122" t="s">
        <v>161</v>
      </c>
    </row>
    <row r="123" spans="9:22" x14ac:dyDescent="0.45">
      <c r="I123" t="s">
        <v>170</v>
      </c>
      <c r="J123" t="s">
        <v>209</v>
      </c>
      <c r="K123">
        <v>1.2016944602156691E-2</v>
      </c>
      <c r="L123" t="s">
        <v>161</v>
      </c>
      <c r="N123" t="s">
        <v>180</v>
      </c>
      <c r="O123" t="s">
        <v>209</v>
      </c>
      <c r="P123">
        <v>0.12070910131171163</v>
      </c>
      <c r="Q123" t="s">
        <v>161</v>
      </c>
      <c r="S123" t="s">
        <v>190</v>
      </c>
      <c r="T123" t="s">
        <v>209</v>
      </c>
      <c r="U123">
        <v>0.1250227158472757</v>
      </c>
      <c r="V123" t="s">
        <v>161</v>
      </c>
    </row>
    <row r="124" spans="9:22" x14ac:dyDescent="0.45">
      <c r="I124" t="s">
        <v>170</v>
      </c>
      <c r="J124" t="s">
        <v>210</v>
      </c>
      <c r="K124">
        <v>2.7137524535566299E-2</v>
      </c>
      <c r="L124" t="s">
        <v>161</v>
      </c>
      <c r="N124" t="s">
        <v>180</v>
      </c>
      <c r="O124" t="s">
        <v>210</v>
      </c>
      <c r="P124">
        <v>2.135936650652635E-2</v>
      </c>
      <c r="Q124" t="s">
        <v>161</v>
      </c>
      <c r="S124" t="s">
        <v>190</v>
      </c>
      <c r="T124" t="s">
        <v>210</v>
      </c>
      <c r="U124">
        <v>2.3309265888401435E-2</v>
      </c>
      <c r="V124" t="s">
        <v>161</v>
      </c>
    </row>
    <row r="125" spans="9:22" x14ac:dyDescent="0.45">
      <c r="I125" t="s">
        <v>170</v>
      </c>
      <c r="J125" t="s">
        <v>211</v>
      </c>
      <c r="K125">
        <v>0.34549530053779004</v>
      </c>
      <c r="L125" t="s">
        <v>161</v>
      </c>
      <c r="N125" t="s">
        <v>180</v>
      </c>
      <c r="O125" t="s">
        <v>211</v>
      </c>
      <c r="P125">
        <v>6.2988323681288511E-2</v>
      </c>
      <c r="Q125" t="s">
        <v>161</v>
      </c>
      <c r="S125" t="s">
        <v>190</v>
      </c>
      <c r="T125" t="s">
        <v>211</v>
      </c>
      <c r="U125">
        <v>7.0942326289346311E-2</v>
      </c>
      <c r="V125" t="s">
        <v>161</v>
      </c>
    </row>
    <row r="126" spans="9:22" x14ac:dyDescent="0.45">
      <c r="I126" t="s">
        <v>170</v>
      </c>
      <c r="J126" t="s">
        <v>212</v>
      </c>
      <c r="K126">
        <v>2.9561909077399629E-2</v>
      </c>
      <c r="L126" t="s">
        <v>161</v>
      </c>
      <c r="N126" t="s">
        <v>180</v>
      </c>
      <c r="O126" t="s">
        <v>212</v>
      </c>
      <c r="P126">
        <v>7.5373151046224898E-2</v>
      </c>
      <c r="Q126" t="s">
        <v>161</v>
      </c>
      <c r="S126" t="s">
        <v>190</v>
      </c>
      <c r="T126" t="s">
        <v>212</v>
      </c>
      <c r="U126">
        <v>8.1567329793672219E-2</v>
      </c>
      <c r="V126" t="s">
        <v>161</v>
      </c>
    </row>
    <row r="127" spans="9:22" x14ac:dyDescent="0.45">
      <c r="I127" t="s">
        <v>170</v>
      </c>
      <c r="J127" t="s">
        <v>213</v>
      </c>
      <c r="K127">
        <v>4.0460603842328885E-2</v>
      </c>
      <c r="L127" t="s">
        <v>161</v>
      </c>
      <c r="N127" t="s">
        <v>180</v>
      </c>
      <c r="O127" t="s">
        <v>213</v>
      </c>
      <c r="P127">
        <v>1.1632006892634319E-2</v>
      </c>
      <c r="Q127" t="s">
        <v>161</v>
      </c>
      <c r="S127" t="s">
        <v>190</v>
      </c>
      <c r="T127" t="s">
        <v>213</v>
      </c>
      <c r="U127">
        <v>1.510090292040407E-2</v>
      </c>
      <c r="V127" t="s">
        <v>161</v>
      </c>
    </row>
    <row r="128" spans="9:22" x14ac:dyDescent="0.45">
      <c r="I128" t="s">
        <v>170</v>
      </c>
      <c r="J128" t="s">
        <v>214</v>
      </c>
      <c r="K128">
        <v>6.2433250305038733E-2</v>
      </c>
      <c r="L128" t="s">
        <v>161</v>
      </c>
      <c r="N128" t="s">
        <v>180</v>
      </c>
      <c r="O128" t="s">
        <v>214</v>
      </c>
      <c r="P128">
        <v>0.14260471245902107</v>
      </c>
      <c r="Q128" t="s">
        <v>161</v>
      </c>
      <c r="S128" t="s">
        <v>190</v>
      </c>
      <c r="T128" t="s">
        <v>214</v>
      </c>
      <c r="U128">
        <v>0.13640268867901117</v>
      </c>
      <c r="V128" t="s">
        <v>161</v>
      </c>
    </row>
    <row r="129" spans="9:22" x14ac:dyDescent="0.45">
      <c r="I129" t="s">
        <v>170</v>
      </c>
      <c r="J129" t="s">
        <v>215</v>
      </c>
      <c r="K129">
        <v>0</v>
      </c>
      <c r="L129" t="s">
        <v>161</v>
      </c>
      <c r="N129" t="s">
        <v>180</v>
      </c>
      <c r="O129" t="s">
        <v>215</v>
      </c>
      <c r="P129">
        <v>0.14200079494812978</v>
      </c>
      <c r="Q129" t="s">
        <v>161</v>
      </c>
      <c r="S129" t="s">
        <v>190</v>
      </c>
      <c r="T129" t="s">
        <v>215</v>
      </c>
      <c r="U129">
        <v>0.13541347121483244</v>
      </c>
      <c r="V129" t="s">
        <v>161</v>
      </c>
    </row>
    <row r="130" spans="9:22" x14ac:dyDescent="0.45">
      <c r="I130" t="s">
        <v>170</v>
      </c>
      <c r="J130" t="s">
        <v>216</v>
      </c>
      <c r="K130">
        <v>2.5281481212217146E-4</v>
      </c>
      <c r="L130" t="s">
        <v>161</v>
      </c>
      <c r="N130" t="s">
        <v>180</v>
      </c>
      <c r="O130" t="s">
        <v>216</v>
      </c>
      <c r="P130">
        <v>2.6098834311620051E-2</v>
      </c>
      <c r="Q130" t="s">
        <v>161</v>
      </c>
      <c r="S130" t="s">
        <v>190</v>
      </c>
      <c r="T130" t="s">
        <v>216</v>
      </c>
      <c r="U130">
        <v>2.5043030067624882E-2</v>
      </c>
      <c r="V13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2025-11-06T09:50:13Z</dcterms:modified>
</cp:coreProperties>
</file>