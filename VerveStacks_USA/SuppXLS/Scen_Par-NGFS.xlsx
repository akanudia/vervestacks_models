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21AFAAED-AD04-46E0-8E87-117E9FBADE4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<sst xmlns="http://schemas.openxmlformats.org/spreadsheetml/2006/main" count="58771" uniqueCount="92">
  <si>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</si>
  <si>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</si>
  <si>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</si>
  <si>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</si>
  <si>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</si>
  <si>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</si>
  <si>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</si>
  <si>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</si>
  <si>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</si>
  <si>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</si>
  <si>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</si>
  <si>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</si>
  <si>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</si>
  <si>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</si>
  <si>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</si>
  <si>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</si>
  <si>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</si>
  <si>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</si>
  <si>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</si>
  <si>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</si>
  <si>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</si>
  <si>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</si>
  <si>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</si>
  <si>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</si>
  <si>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</si>
  <si>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</si>
  <si>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</si>
  <si>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</si>
  <si>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</si>
  <si>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</si>
  <si>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</si>
  <si>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</si>
  <si>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</si>
  <si>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</si>
  <si>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</si>
  <si>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</si>
  <si>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</si>
  <si>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</si>
  <si>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</si>
  <si>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</si>
  <si>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</si>
  <si>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</si>
  <si>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</si>
  <si>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</si>
  <si>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</si>
  <si>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</si>
  <si>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</si>
  <si>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</si>
  <si>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</si>
  <si>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</si>
  <si>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</si>
  <si>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</si>
  <si>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</si>
  <si>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</si>
  <si>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</si>
  <si>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</si>
  <si>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</si>
  <si>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</si>
  <si>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</si>
  <si>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</si>
  <si>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</si>
  <si>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</si>
  <si>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</si>
  <si>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</si>
  <si>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</si>
  <si>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</si>
  <si>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</si>
  <si>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</si>
  <si>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</si>
  <si>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</si>
  <si>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</si>
  <si>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</si>
  <si>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</si>
  <si>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</si>
  <si>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</si>
  <si>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</si>
  <si>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</si>
  <si>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</si>
  <si>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</si>
  <si>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</si>
  <si>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</si>
  <si>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</si>
  <si>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</si>
  <si>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</si>
  <si>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USA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</si>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</sst>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4318.4900000000007</c:v>
                </c:pt>
                <c:pt idx="1">
                  <c:v>4410.2967632170594</c:v>
                </c:pt>
                <c:pt idx="2">
                  <c:v>4974.6625823282384</c:v>
                </c:pt>
                <c:pt idx="3">
                  <c:v>5426.5368753093053</c:v>
                </c:pt>
                <c:pt idx="4">
                  <c:v>5644.4825285267889</c:v>
                </c:pt>
                <c:pt idx="5">
                  <c:v>5689.4547141665362</c:v>
                </c:pt>
                <c:pt idx="6">
                  <c:v>5754.7452905349037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1565.52</c:v>
                </c:pt>
                <c:pt idx="1">
                  <c:v>1700.5993977579203</c:v>
                </c:pt>
                <c:pt idx="2">
                  <c:v>1771.2761728210251</c:v>
                </c:pt>
                <c:pt idx="3">
                  <c:v>1667.9513909202376</c:v>
                </c:pt>
                <c:pt idx="4">
                  <c:v>1406.3824188955655</c:v>
                </c:pt>
                <c:pt idx="5">
                  <c:v>1542.9298190192892</c:v>
                </c:pt>
                <c:pt idx="6">
                  <c:v>1670.3753067489245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4318.4900000000007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4318.4900000000007</v>
      </c>
      <c r="S12" s="8">
        <f t="shared" ref="S12:X12" si="0">SUM(S17:S20)</f>
        <v>4410.2967632170594</v>
      </c>
      <c r="T12" s="8">
        <f t="shared" si="0"/>
        <v>4974.6625823282384</v>
      </c>
      <c r="U12" s="8">
        <f t="shared" si="0"/>
        <v>5426.5368753093053</v>
      </c>
      <c r="V12" s="8">
        <f t="shared" si="0"/>
        <v>5644.4825285267889</v>
      </c>
      <c r="W12" s="8">
        <f t="shared" si="0"/>
        <v>5689.4547141665362</v>
      </c>
      <c r="X12" s="8">
        <f t="shared" si="0"/>
        <v>5754.7452905349037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0.1113</v>
      </c>
      <c r="H16" s="10">
        <f>SUMIFS(ngfs_median!$J$2:$J$17119,ngfs_median!$B$2:$B$17119,Veda!$C$5,ngfs_median!$H$2:$H$17119,Veda!$Q16,ngfs_median!$I$2:$I$17119,Veda!H$15)</f>
        <v>0.49419999999999997</v>
      </c>
      <c r="I16" s="10">
        <f>SUMIFS(ngfs_median!$J$2:$J$17119,ngfs_median!$B$2:$B$17119,Veda!$C$5,ngfs_median!$H$2:$H$17119,Veda!$Q16,ngfs_median!$I$2:$I$17119,Veda!I$15)</f>
        <v>0.84894999999999998</v>
      </c>
      <c r="J16" s="10">
        <f>SUMIFS(ngfs_median!$J$2:$J$17119,ngfs_median!$B$2:$B$17119,Veda!$C$5,ngfs_median!$H$2:$H$17119,Veda!$Q16,ngfs_median!$I$2:$I$17119,Veda!J$15)</f>
        <v>1.1212</v>
      </c>
      <c r="K16" s="10">
        <f>SUMIFS(ngfs_median!$J$2:$J$17119,ngfs_median!$B$2:$B$17119,Veda!$C$5,ngfs_median!$H$2:$H$17119,Veda!$Q16,ngfs_median!$I$2:$I$17119,Veda!K$15)</f>
        <v>1.2922500000000001</v>
      </c>
      <c r="L16" s="10">
        <f>SUMIFS(ngfs_median!$J$2:$J$17119,ngfs_median!$B$2:$B$17119,Veda!$C$5,ngfs_median!$H$2:$H$17119,Veda!$Q16,ngfs_median!$I$2:$I$17119,Veda!L$15)</f>
        <v>1.4058999999999999</v>
      </c>
      <c r="M16" s="10">
        <f>SUMIFS(ngfs_median!$J$2:$J$17119,ngfs_median!$B$2:$B$17119,Veda!$C$5,ngfs_median!$H$2:$H$17119,Veda!$Q16,ngfs_median!$I$2:$I$17119,Veda!M$15)</f>
        <v>1.63395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98.541666666666671</v>
      </c>
      <c r="U16" s="6">
        <f t="shared" si="2"/>
        <v>174.16666666666666</v>
      </c>
      <c r="V16" s="6">
        <f t="shared" si="2"/>
        <v>221.6805555555556</v>
      </c>
      <c r="W16" s="6">
        <f t="shared" si="2"/>
        <v>253.24999999999997</v>
      </c>
      <c r="X16" s="6">
        <f t="shared" si="2"/>
        <v>316.59722222222223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0.27579999999999999</v>
      </c>
      <c r="H17" s="10">
        <f>SUMIFS(ngfs_median!$J$2:$J$17119,ngfs_median!$B$2:$B$17119,Veda!$C$5,ngfs_median!$H$2:$H$17119,Veda!$Q17,ngfs_median!$I$2:$I$17119,Veda!H$15)</f>
        <v>0.68564999999999998</v>
      </c>
      <c r="I17" s="10">
        <f>SUMIFS(ngfs_median!$J$2:$J$17119,ngfs_median!$B$2:$B$17119,Veda!$C$5,ngfs_median!$H$2:$H$17119,Veda!$Q17,ngfs_median!$I$2:$I$17119,Veda!I$15)</f>
        <v>1.4014</v>
      </c>
      <c r="J17" s="10">
        <f>SUMIFS(ngfs_median!$J$2:$J$17119,ngfs_median!$B$2:$B$17119,Veda!$C$5,ngfs_median!$H$2:$H$17119,Veda!$Q17,ngfs_median!$I$2:$I$17119,Veda!J$15)</f>
        <v>2.2556000000000003</v>
      </c>
      <c r="K17" s="10">
        <f>SUMIFS(ngfs_median!$J$2:$J$17119,ngfs_median!$B$2:$B$17119,Veda!$C$5,ngfs_median!$H$2:$H$17119,Veda!$Q17,ngfs_median!$I$2:$I$17119,Veda!K$15)</f>
        <v>2.9039000000000001</v>
      </c>
      <c r="L17" s="10">
        <f>SUMIFS(ngfs_median!$J$2:$J$17119,ngfs_median!$B$2:$B$17119,Veda!$C$5,ngfs_median!$H$2:$H$17119,Veda!$Q17,ngfs_median!$I$2:$I$17119,Veda!L$15)</f>
        <v>3.20465</v>
      </c>
      <c r="M17" s="10">
        <f>SUMIFS(ngfs_median!$J$2:$J$17119,ngfs_median!$B$2:$B$17119,Veda!$C$5,ngfs_median!$H$2:$H$17119,Veda!$Q17,ngfs_median!$I$2:$I$17119,Veda!M$15)</f>
        <v>3.4223499999999998</v>
      </c>
      <c r="Q17" s="12" t="s">
        <v>10</v>
      </c>
      <c r="R17" s="6">
        <f>$Q$10*G17/SUM($G$17:$G$19)</f>
        <v>84.204540389972152</v>
      </c>
      <c r="S17" s="6">
        <f>R17</f>
        <v>84.204540389972152</v>
      </c>
      <c r="T17" s="6">
        <f t="shared" ref="T17:X17" si="3">S17</f>
        <v>84.204540389972152</v>
      </c>
      <c r="U17" s="6">
        <f t="shared" si="3"/>
        <v>84.204540389972152</v>
      </c>
      <c r="V17" s="6">
        <f t="shared" si="3"/>
        <v>84.204540389972152</v>
      </c>
      <c r="W17" s="6">
        <f t="shared" si="3"/>
        <v>84.204540389972152</v>
      </c>
      <c r="X17" s="6">
        <f t="shared" si="3"/>
        <v>84.204540389972152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10.713200000000001</v>
      </c>
      <c r="H18" s="10">
        <f>SUMIFS(ngfs_median!$J$2:$J$17119,ngfs_median!$B$2:$B$17119,Veda!$C$5,ngfs_median!$H$2:$H$17119,Veda!$Q18,ngfs_median!$I$2:$I$17119,Veda!H$15)</f>
        <v>10.597850000000001</v>
      </c>
      <c r="I18" s="10">
        <f>SUMIFS(ngfs_median!$J$2:$J$17119,ngfs_median!$B$2:$B$17119,Veda!$C$5,ngfs_median!$H$2:$H$17119,Veda!$Q18,ngfs_median!$I$2:$I$17119,Veda!I$15)</f>
        <v>11.264849999999999</v>
      </c>
      <c r="J18" s="10">
        <f>SUMIFS(ngfs_median!$J$2:$J$17119,ngfs_median!$B$2:$B$17119,Veda!$C$5,ngfs_median!$H$2:$H$17119,Veda!$Q18,ngfs_median!$I$2:$I$17119,Veda!J$15)</f>
        <v>11.6105</v>
      </c>
      <c r="K18" s="10">
        <f>SUMIFS(ngfs_median!$J$2:$J$17119,ngfs_median!$B$2:$B$17119,Veda!$C$5,ngfs_median!$H$2:$H$17119,Veda!$Q18,ngfs_median!$I$2:$I$17119,Veda!K$15)</f>
        <v>11.545850000000002</v>
      </c>
      <c r="L18" s="10">
        <f>SUMIFS(ngfs_median!$J$2:$J$17119,ngfs_median!$B$2:$B$17119,Veda!$C$5,ngfs_median!$H$2:$H$17119,Veda!$Q18,ngfs_median!$I$2:$I$17119,Veda!L$15)</f>
        <v>11.321149999999999</v>
      </c>
      <c r="M18" s="10">
        <f>SUMIFS(ngfs_median!$J$2:$J$17119,ngfs_median!$B$2:$B$17119,Veda!$C$5,ngfs_median!$H$2:$H$17119,Veda!$Q18,ngfs_median!$I$2:$I$17119,Veda!M$15)</f>
        <v>11.282</v>
      </c>
      <c r="Q18" s="12" t="s">
        <v>12</v>
      </c>
      <c r="R18" s="6">
        <f>$Q$10*G18/SUM($G$17:$G$19)</f>
        <v>3270.8487385998901</v>
      </c>
      <c r="S18" s="6">
        <f t="shared" ref="S18:X19" si="4">R18*H18/G18</f>
        <v>3235.6312123707994</v>
      </c>
      <c r="T18" s="6">
        <f t="shared" si="4"/>
        <v>3439.273084887519</v>
      </c>
      <c r="U18" s="6">
        <f t="shared" si="4"/>
        <v>3544.8035395133129</v>
      </c>
      <c r="V18" s="6">
        <f t="shared" si="4"/>
        <v>3525.0652380767228</v>
      </c>
      <c r="W18" s="6">
        <f t="shared" si="4"/>
        <v>3456.4620465407293</v>
      </c>
      <c r="X18" s="6">
        <f t="shared" si="4"/>
        <v>3444.5091540234434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3.1556000000000002</v>
      </c>
      <c r="H19" s="10">
        <f>SUMIFS(ngfs_median!$J$2:$J$17119,ngfs_median!$B$2:$B$17119,Veda!$C$5,ngfs_median!$H$2:$H$17119,Veda!$Q19,ngfs_median!$I$2:$I$17119,Veda!H$15)</f>
        <v>3.1617999999999999</v>
      </c>
      <c r="I19" s="10">
        <f>SUMIFS(ngfs_median!$J$2:$J$17119,ngfs_median!$B$2:$B$17119,Veda!$C$5,ngfs_median!$H$2:$H$17119,Veda!$Q19,ngfs_median!$I$2:$I$17119,Veda!I$15)</f>
        <v>3.6275500000000003</v>
      </c>
      <c r="J19" s="10">
        <f>SUMIFS(ngfs_median!$J$2:$J$17119,ngfs_median!$B$2:$B$17119,Veda!$C$5,ngfs_median!$H$2:$H$17119,Veda!$Q19,ngfs_median!$I$2:$I$17119,Veda!J$15)</f>
        <v>3.9077500000000001</v>
      </c>
      <c r="K19" s="10">
        <f>SUMIFS(ngfs_median!$J$2:$J$17119,ngfs_median!$B$2:$B$17119,Veda!$C$5,ngfs_median!$H$2:$H$17119,Veda!$Q19,ngfs_median!$I$2:$I$17119,Veda!K$15)</f>
        <v>4.0379500000000004</v>
      </c>
      <c r="L19" s="10">
        <f>SUMIFS(ngfs_median!$J$2:$J$17119,ngfs_median!$B$2:$B$17119,Veda!$C$5,ngfs_median!$H$2:$H$17119,Veda!$Q19,ngfs_median!$I$2:$I$17119,Veda!L$15)</f>
        <v>4.1091999999999995</v>
      </c>
      <c r="M19" s="10">
        <f>SUMIFS(ngfs_median!$J$2:$J$17119,ngfs_median!$B$2:$B$17119,Veda!$C$5,ngfs_median!$H$2:$H$17119,Veda!$Q19,ngfs_median!$I$2:$I$17119,Veda!M$15)</f>
        <v>4.1444999999999999</v>
      </c>
      <c r="Q19" s="12" t="s">
        <v>13</v>
      </c>
      <c r="R19" s="6">
        <f>$Q$10*G19/SUM($G$17:$G$19)</f>
        <v>963.4367210101384</v>
      </c>
      <c r="S19" s="6">
        <f t="shared" si="4"/>
        <v>965.32964396306738</v>
      </c>
      <c r="T19" s="6">
        <f t="shared" si="4"/>
        <v>1107.5278480480185</v>
      </c>
      <c r="U19" s="6">
        <f t="shared" si="4"/>
        <v>1193.0757531142629</v>
      </c>
      <c r="V19" s="6">
        <f t="shared" si="4"/>
        <v>1232.8271351257727</v>
      </c>
      <c r="W19" s="6">
        <f t="shared" si="4"/>
        <v>1254.5804835767713</v>
      </c>
      <c r="X19" s="6">
        <f t="shared" si="4"/>
        <v>1265.3579320023189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125.13136649322004</v>
      </c>
      <c r="T20" s="6">
        <f t="shared" si="5"/>
        <v>343.65710900272904</v>
      </c>
      <c r="U20" s="6">
        <f t="shared" si="5"/>
        <v>604.45304229175804</v>
      </c>
      <c r="V20" s="6">
        <f t="shared" si="5"/>
        <v>802.38561493432132</v>
      </c>
      <c r="W20" s="6">
        <f t="shared" si="5"/>
        <v>894.20764365906427</v>
      </c>
      <c r="X20" s="6">
        <f t="shared" si="5"/>
        <v>960.67366411916919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1565.52</v>
      </c>
      <c r="D22" s="12" t="s">
        <v>79</v>
      </c>
      <c r="G22" s="8">
        <f>G35/$G$35*$B22</f>
        <v>1565.52</v>
      </c>
      <c r="H22" s="8">
        <f t="shared" ref="H22:M22" si="6">H35/$G$35*$B22</f>
        <v>1700.5993977579203</v>
      </c>
      <c r="I22" s="8">
        <f t="shared" si="6"/>
        <v>1771.2761728210251</v>
      </c>
      <c r="J22" s="8">
        <f t="shared" si="6"/>
        <v>1667.9513909202376</v>
      </c>
      <c r="K22" s="8">
        <f t="shared" si="6"/>
        <v>1406.3824188955655</v>
      </c>
      <c r="L22" s="8">
        <f t="shared" si="6"/>
        <v>1542.9298190192892</v>
      </c>
      <c r="M22" s="8">
        <f t="shared" si="6"/>
        <v>1670.3753067489245</v>
      </c>
      <c r="Q22" t="s">
        <v>64</v>
      </c>
      <c r="T22" s="8">
        <f>I35*1000</f>
        <v>832908.7</v>
      </c>
      <c r="U22" s="8">
        <f>J35*1000</f>
        <v>784322.20000000007</v>
      </c>
      <c r="V22" s="8">
        <f>K35*1000</f>
        <v>661324.40000000014</v>
      </c>
      <c r="W22" s="8">
        <f>L35*1000</f>
        <v>725533.20000000007</v>
      </c>
      <c r="X22" s="8">
        <f>M35*1000</f>
        <v>785462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57</v>
      </c>
      <c r="S26" s="3">
        <f>AVERAGEIFS(historical_data_long!$D$3:$D$9999,historical_data_long!$B$3:$B$9999,"&gt;2017",historical_data_long!$A$3:$A$9999,$O26)</f>
        <v>54.65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15.8</v>
      </c>
      <c r="S27" s="3">
        <f>AVERAGEIFS(historical_data_long!$D$3:$D$9999,historical_data_long!$B$3:$B$9999,"&gt;2017",historical_data_long!$A$3:$A$9999,$O27)</f>
        <v>16.25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736.1558</v>
      </c>
      <c r="H35" s="11">
        <f>SUMIFS(ngfs_median!$J$2:$J$17119,ngfs_median!$B$2:$B$17119,Veda!$C$5,ngfs_median!$D$2:$D$17119,Veda!$D22,ngfs_median!$I$2:$I$17119,Veda!H$15)</f>
        <v>799.67430000000002</v>
      </c>
      <c r="I35" s="11">
        <f>SUMIFS(ngfs_median!$J$2:$J$17119,ngfs_median!$B$2:$B$17119,Veda!$C$5,ngfs_median!$D$2:$D$17119,Veda!$D22,ngfs_median!$I$2:$I$17119,Veda!I$15)</f>
        <v>832.90869999999995</v>
      </c>
      <c r="J35" s="11">
        <f>SUMIFS(ngfs_median!$J$2:$J$17119,ngfs_median!$B$2:$B$17119,Veda!$C$5,ngfs_median!$D$2:$D$17119,Veda!$D22,ngfs_median!$I$2:$I$17119,Veda!J$15)</f>
        <v>784.32220000000007</v>
      </c>
      <c r="K35" s="11">
        <f>SUMIFS(ngfs_median!$J$2:$J$17119,ngfs_median!$B$2:$B$17119,Veda!$C$5,ngfs_median!$D$2:$D$17119,Veda!$D22,ngfs_median!$I$2:$I$17119,Veda!K$15)</f>
        <v>661.32440000000008</v>
      </c>
      <c r="L35" s="11">
        <f>SUMIFS(ngfs_median!$J$2:$J$17119,ngfs_median!$B$2:$B$17119,Veda!$C$5,ngfs_median!$D$2:$D$17119,Veda!$D22,ngfs_median!$I$2:$I$17119,Veda!L$15)</f>
        <v>725.53320000000008</v>
      </c>
      <c r="M35" s="11">
        <f>SUMIFS(ngfs_median!$J$2:$J$17119,ngfs_median!$B$2:$B$17119,Veda!$C$5,ngfs_median!$D$2:$D$17119,Veda!$D22,ngfs_median!$I$2:$I$17119,Veda!M$15)</f>
        <v>785.46199999999999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60.73</v>
      </c>
    </row>
    <row r="3" spans="1:4" x14ac:dyDescent="0.45">
      <c r="A3" t="s">
        <v>34</v>
      </c>
      <c r="B3">
        <v>2000</v>
      </c>
      <c r="C3" t="s">
        <v>74</v>
      </c>
      <c r="D3">
        <v>1966.27</v>
      </c>
    </row>
    <row r="4" spans="1:4" x14ac:dyDescent="0.45">
      <c r="A4" t="s">
        <v>36</v>
      </c>
      <c r="B4">
        <v>2000</v>
      </c>
      <c r="C4" t="s">
        <v>74</v>
      </c>
      <c r="D4">
        <v>614.99</v>
      </c>
    </row>
    <row r="5" spans="1:4" x14ac:dyDescent="0.45">
      <c r="A5" t="s">
        <v>56</v>
      </c>
      <c r="B5">
        <v>2000</v>
      </c>
      <c r="C5" t="s">
        <v>74</v>
      </c>
      <c r="D5">
        <v>270.02999999999997</v>
      </c>
    </row>
    <row r="6" spans="1:4" x14ac:dyDescent="0.45">
      <c r="A6" t="s">
        <v>57</v>
      </c>
      <c r="B6">
        <v>2000</v>
      </c>
      <c r="C6" t="s">
        <v>74</v>
      </c>
      <c r="D6">
        <v>753.89</v>
      </c>
    </row>
    <row r="7" spans="1:4" x14ac:dyDescent="0.45">
      <c r="A7" t="s">
        <v>38</v>
      </c>
      <c r="B7">
        <v>2000</v>
      </c>
      <c r="C7" t="s">
        <v>74</v>
      </c>
      <c r="D7">
        <v>116.02</v>
      </c>
    </row>
    <row r="8" spans="1:4" x14ac:dyDescent="0.45">
      <c r="A8" t="s">
        <v>32</v>
      </c>
      <c r="B8">
        <v>2000</v>
      </c>
      <c r="C8" t="s">
        <v>74</v>
      </c>
      <c r="D8">
        <v>14.09</v>
      </c>
    </row>
    <row r="9" spans="1:4" x14ac:dyDescent="0.45">
      <c r="A9" t="s">
        <v>58</v>
      </c>
      <c r="B9">
        <v>2000</v>
      </c>
      <c r="C9" t="s">
        <v>74</v>
      </c>
      <c r="D9">
        <v>0.49</v>
      </c>
    </row>
    <row r="10" spans="1:4" x14ac:dyDescent="0.45">
      <c r="A10" t="s">
        <v>91</v>
      </c>
      <c r="B10">
        <v>2000</v>
      </c>
      <c r="C10" t="s">
        <v>74</v>
      </c>
      <c r="D10">
        <v>5.59</v>
      </c>
    </row>
    <row r="11" spans="1:4" x14ac:dyDescent="0.45">
      <c r="A11" t="s">
        <v>32</v>
      </c>
      <c r="B11">
        <v>2001</v>
      </c>
      <c r="C11" t="s">
        <v>74</v>
      </c>
      <c r="D11">
        <v>49.75</v>
      </c>
    </row>
    <row r="12" spans="1:4" x14ac:dyDescent="0.45">
      <c r="A12" t="s">
        <v>34</v>
      </c>
      <c r="B12">
        <v>2001</v>
      </c>
      <c r="C12" t="s">
        <v>74</v>
      </c>
      <c r="D12">
        <v>1903.96</v>
      </c>
    </row>
    <row r="13" spans="1:4" x14ac:dyDescent="0.45">
      <c r="A13" t="s">
        <v>36</v>
      </c>
      <c r="B13">
        <v>2001</v>
      </c>
      <c r="C13" t="s">
        <v>74</v>
      </c>
      <c r="D13">
        <v>639.13</v>
      </c>
    </row>
    <row r="14" spans="1:4" x14ac:dyDescent="0.45">
      <c r="A14" t="s">
        <v>56</v>
      </c>
      <c r="B14">
        <v>2001</v>
      </c>
      <c r="C14" t="s">
        <v>74</v>
      </c>
      <c r="D14">
        <v>208.14</v>
      </c>
    </row>
    <row r="15" spans="1:4" x14ac:dyDescent="0.45">
      <c r="A15" t="s">
        <v>57</v>
      </c>
      <c r="B15">
        <v>2001</v>
      </c>
      <c r="C15" t="s">
        <v>74</v>
      </c>
      <c r="D15">
        <v>768.83</v>
      </c>
    </row>
    <row r="16" spans="1:4" x14ac:dyDescent="0.45">
      <c r="A16" t="s">
        <v>38</v>
      </c>
      <c r="B16">
        <v>2001</v>
      </c>
      <c r="C16" t="s">
        <v>74</v>
      </c>
      <c r="D16">
        <v>135.59</v>
      </c>
    </row>
    <row r="17" spans="1:4" x14ac:dyDescent="0.45">
      <c r="A17" t="s">
        <v>32</v>
      </c>
      <c r="B17">
        <v>2001</v>
      </c>
      <c r="C17" t="s">
        <v>74</v>
      </c>
      <c r="D17">
        <v>14.89</v>
      </c>
    </row>
    <row r="18" spans="1:4" x14ac:dyDescent="0.45">
      <c r="A18" t="s">
        <v>58</v>
      </c>
      <c r="B18">
        <v>2001</v>
      </c>
      <c r="C18" t="s">
        <v>74</v>
      </c>
      <c r="D18">
        <v>0.54</v>
      </c>
    </row>
    <row r="19" spans="1:4" x14ac:dyDescent="0.45">
      <c r="A19" t="s">
        <v>91</v>
      </c>
      <c r="B19">
        <v>2001</v>
      </c>
      <c r="C19" t="s">
        <v>74</v>
      </c>
      <c r="D19">
        <v>6.74</v>
      </c>
    </row>
    <row r="20" spans="1:4" x14ac:dyDescent="0.45">
      <c r="A20" t="s">
        <v>32</v>
      </c>
      <c r="B20">
        <v>2002</v>
      </c>
      <c r="C20" t="s">
        <v>74</v>
      </c>
      <c r="D20">
        <v>53.71</v>
      </c>
    </row>
    <row r="21" spans="1:4" x14ac:dyDescent="0.45">
      <c r="A21" t="s">
        <v>34</v>
      </c>
      <c r="B21">
        <v>2002</v>
      </c>
      <c r="C21" t="s">
        <v>74</v>
      </c>
      <c r="D21">
        <v>1933.13</v>
      </c>
    </row>
    <row r="22" spans="1:4" x14ac:dyDescent="0.45">
      <c r="A22" t="s">
        <v>36</v>
      </c>
      <c r="B22">
        <v>2002</v>
      </c>
      <c r="C22" t="s">
        <v>74</v>
      </c>
      <c r="D22">
        <v>691.01</v>
      </c>
    </row>
    <row r="23" spans="1:4" x14ac:dyDescent="0.45">
      <c r="A23" t="s">
        <v>56</v>
      </c>
      <c r="B23">
        <v>2002</v>
      </c>
      <c r="C23" t="s">
        <v>74</v>
      </c>
      <c r="D23">
        <v>255.59</v>
      </c>
    </row>
    <row r="24" spans="1:4" x14ac:dyDescent="0.45">
      <c r="A24" t="s">
        <v>57</v>
      </c>
      <c r="B24">
        <v>2002</v>
      </c>
      <c r="C24" t="s">
        <v>74</v>
      </c>
      <c r="D24">
        <v>780.06</v>
      </c>
    </row>
    <row r="25" spans="1:4" x14ac:dyDescent="0.45">
      <c r="A25" t="s">
        <v>38</v>
      </c>
      <c r="B25">
        <v>2002</v>
      </c>
      <c r="C25" t="s">
        <v>74</v>
      </c>
      <c r="D25">
        <v>103.69</v>
      </c>
    </row>
    <row r="26" spans="1:4" x14ac:dyDescent="0.45">
      <c r="A26" t="s">
        <v>32</v>
      </c>
      <c r="B26">
        <v>2002</v>
      </c>
      <c r="C26" t="s">
        <v>74</v>
      </c>
      <c r="D26">
        <v>16.14</v>
      </c>
    </row>
    <row r="27" spans="1:4" x14ac:dyDescent="0.45">
      <c r="A27" t="s">
        <v>58</v>
      </c>
      <c r="B27">
        <v>2002</v>
      </c>
      <c r="C27" t="s">
        <v>74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74</v>
      </c>
      <c r="D28">
        <v>10.35</v>
      </c>
    </row>
    <row r="29" spans="1:4" x14ac:dyDescent="0.45">
      <c r="A29" t="s">
        <v>32</v>
      </c>
      <c r="B29">
        <v>2003</v>
      </c>
      <c r="C29" t="s">
        <v>74</v>
      </c>
      <c r="D29">
        <v>53.34</v>
      </c>
    </row>
    <row r="30" spans="1:4" x14ac:dyDescent="0.45">
      <c r="A30" t="s">
        <v>34</v>
      </c>
      <c r="B30">
        <v>2003</v>
      </c>
      <c r="C30" t="s">
        <v>74</v>
      </c>
      <c r="D30">
        <v>1973.74</v>
      </c>
    </row>
    <row r="31" spans="1:4" x14ac:dyDescent="0.45">
      <c r="A31" t="s">
        <v>36</v>
      </c>
      <c r="B31">
        <v>2003</v>
      </c>
      <c r="C31" t="s">
        <v>74</v>
      </c>
      <c r="D31">
        <v>649.91</v>
      </c>
    </row>
    <row r="32" spans="1:4" x14ac:dyDescent="0.45">
      <c r="A32" t="s">
        <v>56</v>
      </c>
      <c r="B32">
        <v>2003</v>
      </c>
      <c r="C32" t="s">
        <v>74</v>
      </c>
      <c r="D32">
        <v>267.27</v>
      </c>
    </row>
    <row r="33" spans="1:4" x14ac:dyDescent="0.45">
      <c r="A33" t="s">
        <v>57</v>
      </c>
      <c r="B33">
        <v>2003</v>
      </c>
      <c r="C33" t="s">
        <v>74</v>
      </c>
      <c r="D33">
        <v>763.73</v>
      </c>
    </row>
    <row r="34" spans="1:4" x14ac:dyDescent="0.45">
      <c r="A34" t="s">
        <v>38</v>
      </c>
      <c r="B34">
        <v>2003</v>
      </c>
      <c r="C34" t="s">
        <v>74</v>
      </c>
      <c r="D34">
        <v>132.38</v>
      </c>
    </row>
    <row r="35" spans="1:4" x14ac:dyDescent="0.45">
      <c r="A35" t="s">
        <v>32</v>
      </c>
      <c r="B35">
        <v>2003</v>
      </c>
      <c r="C35" t="s">
        <v>74</v>
      </c>
      <c r="D35">
        <v>16.850000000000001</v>
      </c>
    </row>
    <row r="36" spans="1:4" x14ac:dyDescent="0.45">
      <c r="A36" t="s">
        <v>58</v>
      </c>
      <c r="B36">
        <v>2003</v>
      </c>
      <c r="C36" t="s">
        <v>74</v>
      </c>
      <c r="D36">
        <v>0.53</v>
      </c>
    </row>
    <row r="37" spans="1:4" x14ac:dyDescent="0.45">
      <c r="A37" t="s">
        <v>91</v>
      </c>
      <c r="B37">
        <v>2003</v>
      </c>
      <c r="C37" t="s">
        <v>74</v>
      </c>
      <c r="D37">
        <v>11.19</v>
      </c>
    </row>
    <row r="38" spans="1:4" x14ac:dyDescent="0.45">
      <c r="A38" t="s">
        <v>32</v>
      </c>
      <c r="B38">
        <v>2004</v>
      </c>
      <c r="C38" t="s">
        <v>74</v>
      </c>
      <c r="D38">
        <v>53.54</v>
      </c>
    </row>
    <row r="39" spans="1:4" x14ac:dyDescent="0.45">
      <c r="A39" t="s">
        <v>34</v>
      </c>
      <c r="B39">
        <v>2004</v>
      </c>
      <c r="C39" t="s">
        <v>74</v>
      </c>
      <c r="D39">
        <v>1978.3</v>
      </c>
    </row>
    <row r="40" spans="1:4" x14ac:dyDescent="0.45">
      <c r="A40" t="s">
        <v>36</v>
      </c>
      <c r="B40">
        <v>2004</v>
      </c>
      <c r="C40" t="s">
        <v>74</v>
      </c>
      <c r="D40">
        <v>710.1</v>
      </c>
    </row>
    <row r="41" spans="1:4" x14ac:dyDescent="0.45">
      <c r="A41" t="s">
        <v>56</v>
      </c>
      <c r="B41">
        <v>2004</v>
      </c>
      <c r="C41" t="s">
        <v>74</v>
      </c>
      <c r="D41">
        <v>259.93</v>
      </c>
    </row>
    <row r="42" spans="1:4" x14ac:dyDescent="0.45">
      <c r="A42" t="s">
        <v>57</v>
      </c>
      <c r="B42">
        <v>2004</v>
      </c>
      <c r="C42" t="s">
        <v>74</v>
      </c>
      <c r="D42">
        <v>788.53</v>
      </c>
    </row>
    <row r="43" spans="1:4" x14ac:dyDescent="0.45">
      <c r="A43" t="s">
        <v>38</v>
      </c>
      <c r="B43">
        <v>2004</v>
      </c>
      <c r="C43" t="s">
        <v>74</v>
      </c>
      <c r="D43">
        <v>129.88</v>
      </c>
    </row>
    <row r="44" spans="1:4" x14ac:dyDescent="0.45">
      <c r="A44" t="s">
        <v>32</v>
      </c>
      <c r="B44">
        <v>2004</v>
      </c>
      <c r="C44" t="s">
        <v>74</v>
      </c>
      <c r="D44">
        <v>16.95</v>
      </c>
    </row>
    <row r="45" spans="1:4" x14ac:dyDescent="0.45">
      <c r="A45" t="s">
        <v>58</v>
      </c>
      <c r="B45">
        <v>2004</v>
      </c>
      <c r="C45" t="s">
        <v>74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74</v>
      </c>
      <c r="D46">
        <v>14.14</v>
      </c>
    </row>
    <row r="47" spans="1:4" x14ac:dyDescent="0.45">
      <c r="A47" t="s">
        <v>32</v>
      </c>
      <c r="B47">
        <v>2005</v>
      </c>
      <c r="C47" t="s">
        <v>74</v>
      </c>
      <c r="D47">
        <v>54.28</v>
      </c>
    </row>
    <row r="48" spans="1:4" x14ac:dyDescent="0.45">
      <c r="A48" t="s">
        <v>34</v>
      </c>
      <c r="B48">
        <v>2005</v>
      </c>
      <c r="C48" t="s">
        <v>74</v>
      </c>
      <c r="D48">
        <v>2012.87</v>
      </c>
    </row>
    <row r="49" spans="1:4" x14ac:dyDescent="0.45">
      <c r="A49" t="s">
        <v>36</v>
      </c>
      <c r="B49">
        <v>2005</v>
      </c>
      <c r="C49" t="s">
        <v>74</v>
      </c>
      <c r="D49">
        <v>760.96</v>
      </c>
    </row>
    <row r="50" spans="1:4" x14ac:dyDescent="0.45">
      <c r="A50" t="s">
        <v>56</v>
      </c>
      <c r="B50">
        <v>2005</v>
      </c>
      <c r="C50" t="s">
        <v>74</v>
      </c>
      <c r="D50">
        <v>263.76</v>
      </c>
    </row>
    <row r="51" spans="1:4" x14ac:dyDescent="0.45">
      <c r="A51" t="s">
        <v>57</v>
      </c>
      <c r="B51">
        <v>2005</v>
      </c>
      <c r="C51" t="s">
        <v>74</v>
      </c>
      <c r="D51">
        <v>781.99</v>
      </c>
    </row>
    <row r="52" spans="1:4" x14ac:dyDescent="0.45">
      <c r="A52" t="s">
        <v>38</v>
      </c>
      <c r="B52">
        <v>2005</v>
      </c>
      <c r="C52" t="s">
        <v>74</v>
      </c>
      <c r="D52">
        <v>126.13</v>
      </c>
    </row>
    <row r="53" spans="1:4" x14ac:dyDescent="0.45">
      <c r="A53" t="s">
        <v>32</v>
      </c>
      <c r="B53">
        <v>2005</v>
      </c>
      <c r="C53" t="s">
        <v>74</v>
      </c>
      <c r="D53">
        <v>16.64</v>
      </c>
    </row>
    <row r="54" spans="1:4" x14ac:dyDescent="0.45">
      <c r="A54" t="s">
        <v>58</v>
      </c>
      <c r="B54">
        <v>2005</v>
      </c>
      <c r="C54" t="s">
        <v>74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74</v>
      </c>
      <c r="D55">
        <v>17.809999999999999</v>
      </c>
    </row>
    <row r="56" spans="1:4" x14ac:dyDescent="0.45">
      <c r="A56" t="s">
        <v>32</v>
      </c>
      <c r="B56">
        <v>2006</v>
      </c>
      <c r="C56" t="s">
        <v>74</v>
      </c>
      <c r="D56">
        <v>54.86</v>
      </c>
    </row>
    <row r="57" spans="1:4" x14ac:dyDescent="0.45">
      <c r="A57" t="s">
        <v>34</v>
      </c>
      <c r="B57">
        <v>2006</v>
      </c>
      <c r="C57" t="s">
        <v>74</v>
      </c>
      <c r="D57">
        <v>1990.51</v>
      </c>
    </row>
    <row r="58" spans="1:4" x14ac:dyDescent="0.45">
      <c r="A58" t="s">
        <v>36</v>
      </c>
      <c r="B58">
        <v>2006</v>
      </c>
      <c r="C58" t="s">
        <v>74</v>
      </c>
      <c r="D58">
        <v>816.44</v>
      </c>
    </row>
    <row r="59" spans="1:4" x14ac:dyDescent="0.45">
      <c r="A59" t="s">
        <v>56</v>
      </c>
      <c r="B59">
        <v>2006</v>
      </c>
      <c r="C59" t="s">
        <v>74</v>
      </c>
      <c r="D59">
        <v>282.69</v>
      </c>
    </row>
    <row r="60" spans="1:4" x14ac:dyDescent="0.45">
      <c r="A60" t="s">
        <v>57</v>
      </c>
      <c r="B60">
        <v>2006</v>
      </c>
      <c r="C60" t="s">
        <v>74</v>
      </c>
      <c r="D60">
        <v>787.22</v>
      </c>
    </row>
    <row r="61" spans="1:4" x14ac:dyDescent="0.45">
      <c r="A61" t="s">
        <v>38</v>
      </c>
      <c r="B61">
        <v>2006</v>
      </c>
      <c r="C61" t="s">
        <v>74</v>
      </c>
      <c r="D61">
        <v>71.61</v>
      </c>
    </row>
    <row r="62" spans="1:4" x14ac:dyDescent="0.45">
      <c r="A62" t="s">
        <v>32</v>
      </c>
      <c r="B62">
        <v>2006</v>
      </c>
      <c r="C62" t="s">
        <v>74</v>
      </c>
      <c r="D62">
        <v>16.510000000000002</v>
      </c>
    </row>
    <row r="63" spans="1:4" x14ac:dyDescent="0.45">
      <c r="A63" t="s">
        <v>58</v>
      </c>
      <c r="B63">
        <v>2006</v>
      </c>
      <c r="C63" t="s">
        <v>74</v>
      </c>
      <c r="D63">
        <v>0.51</v>
      </c>
    </row>
    <row r="64" spans="1:4" x14ac:dyDescent="0.45">
      <c r="A64" t="s">
        <v>91</v>
      </c>
      <c r="B64">
        <v>2006</v>
      </c>
      <c r="C64" t="s">
        <v>74</v>
      </c>
      <c r="D64">
        <v>26.59</v>
      </c>
    </row>
    <row r="65" spans="1:4" x14ac:dyDescent="0.45">
      <c r="A65" t="s">
        <v>32</v>
      </c>
      <c r="B65">
        <v>2007</v>
      </c>
      <c r="C65" t="s">
        <v>74</v>
      </c>
      <c r="D65">
        <v>55.54</v>
      </c>
    </row>
    <row r="66" spans="1:4" x14ac:dyDescent="0.45">
      <c r="A66" t="s">
        <v>34</v>
      </c>
      <c r="B66">
        <v>2007</v>
      </c>
      <c r="C66" t="s">
        <v>74</v>
      </c>
      <c r="D66">
        <v>2016.46</v>
      </c>
    </row>
    <row r="67" spans="1:4" x14ac:dyDescent="0.45">
      <c r="A67" t="s">
        <v>36</v>
      </c>
      <c r="B67">
        <v>2007</v>
      </c>
      <c r="C67" t="s">
        <v>74</v>
      </c>
      <c r="D67">
        <v>896.59</v>
      </c>
    </row>
    <row r="68" spans="1:4" x14ac:dyDescent="0.45">
      <c r="A68" t="s">
        <v>56</v>
      </c>
      <c r="B68">
        <v>2007</v>
      </c>
      <c r="C68" t="s">
        <v>74</v>
      </c>
      <c r="D68">
        <v>240.61</v>
      </c>
    </row>
    <row r="69" spans="1:4" x14ac:dyDescent="0.45">
      <c r="A69" t="s">
        <v>57</v>
      </c>
      <c r="B69">
        <v>2007</v>
      </c>
      <c r="C69" t="s">
        <v>74</v>
      </c>
      <c r="D69">
        <v>806.42</v>
      </c>
    </row>
    <row r="70" spans="1:4" x14ac:dyDescent="0.45">
      <c r="A70" t="s">
        <v>38</v>
      </c>
      <c r="B70">
        <v>2007</v>
      </c>
      <c r="C70" t="s">
        <v>74</v>
      </c>
      <c r="D70">
        <v>75.19</v>
      </c>
    </row>
    <row r="71" spans="1:4" x14ac:dyDescent="0.45">
      <c r="A71" t="s">
        <v>32</v>
      </c>
      <c r="B71">
        <v>2007</v>
      </c>
      <c r="C71" t="s">
        <v>74</v>
      </c>
      <c r="D71">
        <v>16.7</v>
      </c>
    </row>
    <row r="72" spans="1:4" x14ac:dyDescent="0.45">
      <c r="A72" t="s">
        <v>58</v>
      </c>
      <c r="B72">
        <v>2007</v>
      </c>
      <c r="C72" t="s">
        <v>74</v>
      </c>
      <c r="D72">
        <v>0.61</v>
      </c>
    </row>
    <row r="73" spans="1:4" x14ac:dyDescent="0.45">
      <c r="A73" t="s">
        <v>91</v>
      </c>
      <c r="B73">
        <v>2007</v>
      </c>
      <c r="C73" t="s">
        <v>74</v>
      </c>
      <c r="D73">
        <v>34.450000000000003</v>
      </c>
    </row>
    <row r="74" spans="1:4" x14ac:dyDescent="0.45">
      <c r="A74" t="s">
        <v>32</v>
      </c>
      <c r="B74">
        <v>2008</v>
      </c>
      <c r="C74" t="s">
        <v>74</v>
      </c>
      <c r="D74">
        <v>55.03</v>
      </c>
    </row>
    <row r="75" spans="1:4" x14ac:dyDescent="0.45">
      <c r="A75" t="s">
        <v>34</v>
      </c>
      <c r="B75">
        <v>2008</v>
      </c>
      <c r="C75" t="s">
        <v>74</v>
      </c>
      <c r="D75">
        <v>1985.8</v>
      </c>
    </row>
    <row r="76" spans="1:4" x14ac:dyDescent="0.45">
      <c r="A76" t="s">
        <v>36</v>
      </c>
      <c r="B76">
        <v>2008</v>
      </c>
      <c r="C76" t="s">
        <v>74</v>
      </c>
      <c r="D76">
        <v>882.98</v>
      </c>
    </row>
    <row r="77" spans="1:4" x14ac:dyDescent="0.45">
      <c r="A77" t="s">
        <v>56</v>
      </c>
      <c r="B77">
        <v>2008</v>
      </c>
      <c r="C77" t="s">
        <v>74</v>
      </c>
      <c r="D77">
        <v>248.54</v>
      </c>
    </row>
    <row r="78" spans="1:4" x14ac:dyDescent="0.45">
      <c r="A78" t="s">
        <v>57</v>
      </c>
      <c r="B78">
        <v>2008</v>
      </c>
      <c r="C78" t="s">
        <v>74</v>
      </c>
      <c r="D78">
        <v>806.21</v>
      </c>
    </row>
    <row r="79" spans="1:4" x14ac:dyDescent="0.45">
      <c r="A79" t="s">
        <v>38</v>
      </c>
      <c r="B79">
        <v>2008</v>
      </c>
      <c r="C79" t="s">
        <v>74</v>
      </c>
      <c r="D79">
        <v>55.43</v>
      </c>
    </row>
    <row r="80" spans="1:4" x14ac:dyDescent="0.45">
      <c r="A80" t="s">
        <v>32</v>
      </c>
      <c r="B80">
        <v>2008</v>
      </c>
      <c r="C80" t="s">
        <v>74</v>
      </c>
      <c r="D80">
        <v>17.32</v>
      </c>
    </row>
    <row r="81" spans="1:4" x14ac:dyDescent="0.45">
      <c r="A81" t="s">
        <v>58</v>
      </c>
      <c r="B81">
        <v>2008</v>
      </c>
      <c r="C81" t="s">
        <v>74</v>
      </c>
      <c r="D81">
        <v>0.86</v>
      </c>
    </row>
    <row r="82" spans="1:4" x14ac:dyDescent="0.45">
      <c r="A82" t="s">
        <v>91</v>
      </c>
      <c r="B82">
        <v>2008</v>
      </c>
      <c r="C82" t="s">
        <v>74</v>
      </c>
      <c r="D82">
        <v>55.36</v>
      </c>
    </row>
    <row r="83" spans="1:4" x14ac:dyDescent="0.45">
      <c r="A83" t="s">
        <v>32</v>
      </c>
      <c r="B83">
        <v>2009</v>
      </c>
      <c r="C83" t="s">
        <v>74</v>
      </c>
      <c r="D83">
        <v>54.49</v>
      </c>
    </row>
    <row r="84" spans="1:4" x14ac:dyDescent="0.45">
      <c r="A84" t="s">
        <v>34</v>
      </c>
      <c r="B84">
        <v>2009</v>
      </c>
      <c r="C84" t="s">
        <v>74</v>
      </c>
      <c r="D84">
        <v>1755.9</v>
      </c>
    </row>
    <row r="85" spans="1:4" x14ac:dyDescent="0.45">
      <c r="A85" t="s">
        <v>36</v>
      </c>
      <c r="B85">
        <v>2009</v>
      </c>
      <c r="C85" t="s">
        <v>74</v>
      </c>
      <c r="D85">
        <v>920.98</v>
      </c>
    </row>
    <row r="86" spans="1:4" x14ac:dyDescent="0.45">
      <c r="A86" t="s">
        <v>56</v>
      </c>
      <c r="B86">
        <v>2009</v>
      </c>
      <c r="C86" t="s">
        <v>74</v>
      </c>
      <c r="D86">
        <v>268.82</v>
      </c>
    </row>
    <row r="87" spans="1:4" x14ac:dyDescent="0.45">
      <c r="A87" t="s">
        <v>57</v>
      </c>
      <c r="B87">
        <v>2009</v>
      </c>
      <c r="C87" t="s">
        <v>74</v>
      </c>
      <c r="D87">
        <v>798.85</v>
      </c>
    </row>
    <row r="88" spans="1:4" x14ac:dyDescent="0.45">
      <c r="A88" t="s">
        <v>38</v>
      </c>
      <c r="B88">
        <v>2009</v>
      </c>
      <c r="C88" t="s">
        <v>74</v>
      </c>
      <c r="D88">
        <v>48.53</v>
      </c>
    </row>
    <row r="89" spans="1:4" x14ac:dyDescent="0.45">
      <c r="A89" t="s">
        <v>32</v>
      </c>
      <c r="B89">
        <v>2009</v>
      </c>
      <c r="C89" t="s">
        <v>74</v>
      </c>
      <c r="D89">
        <v>17.47</v>
      </c>
    </row>
    <row r="90" spans="1:4" x14ac:dyDescent="0.45">
      <c r="A90" t="s">
        <v>58</v>
      </c>
      <c r="B90">
        <v>2009</v>
      </c>
      <c r="C90" t="s">
        <v>74</v>
      </c>
      <c r="D90">
        <v>0.89</v>
      </c>
    </row>
    <row r="91" spans="1:4" x14ac:dyDescent="0.45">
      <c r="A91" t="s">
        <v>91</v>
      </c>
      <c r="B91">
        <v>2009</v>
      </c>
      <c r="C91" t="s">
        <v>74</v>
      </c>
      <c r="D91">
        <v>73.89</v>
      </c>
    </row>
    <row r="92" spans="1:4" x14ac:dyDescent="0.45">
      <c r="A92" t="s">
        <v>32</v>
      </c>
      <c r="B92">
        <v>2010</v>
      </c>
      <c r="C92" t="s">
        <v>74</v>
      </c>
      <c r="D92">
        <v>56.09</v>
      </c>
    </row>
    <row r="93" spans="1:4" x14ac:dyDescent="0.45">
      <c r="A93" t="s">
        <v>34</v>
      </c>
      <c r="B93">
        <v>2010</v>
      </c>
      <c r="C93" t="s">
        <v>74</v>
      </c>
      <c r="D93">
        <v>1847.29</v>
      </c>
    </row>
    <row r="94" spans="1:4" x14ac:dyDescent="0.45">
      <c r="A94" t="s">
        <v>36</v>
      </c>
      <c r="B94">
        <v>2010</v>
      </c>
      <c r="C94" t="s">
        <v>74</v>
      </c>
      <c r="D94">
        <v>987.7</v>
      </c>
    </row>
    <row r="95" spans="1:4" x14ac:dyDescent="0.45">
      <c r="A95" t="s">
        <v>56</v>
      </c>
      <c r="B95">
        <v>2010</v>
      </c>
      <c r="C95" t="s">
        <v>74</v>
      </c>
      <c r="D95">
        <v>254.7</v>
      </c>
    </row>
    <row r="96" spans="1:4" x14ac:dyDescent="0.45">
      <c r="A96" t="s">
        <v>57</v>
      </c>
      <c r="B96">
        <v>2010</v>
      </c>
      <c r="C96" t="s">
        <v>74</v>
      </c>
      <c r="D96">
        <v>806.97</v>
      </c>
    </row>
    <row r="97" spans="1:4" x14ac:dyDescent="0.45">
      <c r="A97" t="s">
        <v>38</v>
      </c>
      <c r="B97">
        <v>2010</v>
      </c>
      <c r="C97" t="s">
        <v>74</v>
      </c>
      <c r="D97">
        <v>47.5</v>
      </c>
    </row>
    <row r="98" spans="1:4" x14ac:dyDescent="0.45">
      <c r="A98" t="s">
        <v>32</v>
      </c>
      <c r="B98">
        <v>2010</v>
      </c>
      <c r="C98" t="s">
        <v>74</v>
      </c>
      <c r="D98">
        <v>17.829999999999998</v>
      </c>
    </row>
    <row r="99" spans="1:4" x14ac:dyDescent="0.45">
      <c r="A99" t="s">
        <v>58</v>
      </c>
      <c r="B99">
        <v>2010</v>
      </c>
      <c r="C99" t="s">
        <v>74</v>
      </c>
      <c r="D99">
        <v>1.21</v>
      </c>
    </row>
    <row r="100" spans="1:4" x14ac:dyDescent="0.45">
      <c r="A100" t="s">
        <v>91</v>
      </c>
      <c r="B100">
        <v>2010</v>
      </c>
      <c r="C100" t="s">
        <v>74</v>
      </c>
      <c r="D100">
        <v>94.65</v>
      </c>
    </row>
    <row r="101" spans="1:4" x14ac:dyDescent="0.45">
      <c r="A101" t="s">
        <v>32</v>
      </c>
      <c r="B101">
        <v>2011</v>
      </c>
      <c r="C101" t="s">
        <v>74</v>
      </c>
      <c r="D101">
        <v>56.67</v>
      </c>
    </row>
    <row r="102" spans="1:4" x14ac:dyDescent="0.45">
      <c r="A102" t="s">
        <v>34</v>
      </c>
      <c r="B102">
        <v>2011</v>
      </c>
      <c r="C102" t="s">
        <v>74</v>
      </c>
      <c r="D102">
        <v>1733.43</v>
      </c>
    </row>
    <row r="103" spans="1:4" x14ac:dyDescent="0.45">
      <c r="A103" t="s">
        <v>36</v>
      </c>
      <c r="B103">
        <v>2011</v>
      </c>
      <c r="C103" t="s">
        <v>74</v>
      </c>
      <c r="D103">
        <v>1013.69</v>
      </c>
    </row>
    <row r="104" spans="1:4" x14ac:dyDescent="0.45">
      <c r="A104" t="s">
        <v>56</v>
      </c>
      <c r="B104">
        <v>2011</v>
      </c>
      <c r="C104" t="s">
        <v>74</v>
      </c>
      <c r="D104">
        <v>312.93</v>
      </c>
    </row>
    <row r="105" spans="1:4" x14ac:dyDescent="0.45">
      <c r="A105" t="s">
        <v>57</v>
      </c>
      <c r="B105">
        <v>2011</v>
      </c>
      <c r="C105" t="s">
        <v>74</v>
      </c>
      <c r="D105">
        <v>790.2</v>
      </c>
    </row>
    <row r="106" spans="1:4" x14ac:dyDescent="0.45">
      <c r="A106" t="s">
        <v>38</v>
      </c>
      <c r="B106">
        <v>2011</v>
      </c>
      <c r="C106" t="s">
        <v>74</v>
      </c>
      <c r="D106">
        <v>41.81</v>
      </c>
    </row>
    <row r="107" spans="1:4" x14ac:dyDescent="0.45">
      <c r="A107" t="s">
        <v>32</v>
      </c>
      <c r="B107">
        <v>2011</v>
      </c>
      <c r="C107" t="s">
        <v>74</v>
      </c>
      <c r="D107">
        <v>18.14</v>
      </c>
    </row>
    <row r="108" spans="1:4" x14ac:dyDescent="0.45">
      <c r="A108" t="s">
        <v>58</v>
      </c>
      <c r="B108">
        <v>2011</v>
      </c>
      <c r="C108" t="s">
        <v>74</v>
      </c>
      <c r="D108">
        <v>1.82</v>
      </c>
    </row>
    <row r="109" spans="1:4" x14ac:dyDescent="0.45">
      <c r="A109" t="s">
        <v>91</v>
      </c>
      <c r="B109">
        <v>2011</v>
      </c>
      <c r="C109" t="s">
        <v>74</v>
      </c>
      <c r="D109">
        <v>120.18</v>
      </c>
    </row>
    <row r="110" spans="1:4" x14ac:dyDescent="0.45">
      <c r="A110" t="s">
        <v>32</v>
      </c>
      <c r="B110">
        <v>2012</v>
      </c>
      <c r="C110" t="s">
        <v>74</v>
      </c>
      <c r="D110">
        <v>57.62</v>
      </c>
    </row>
    <row r="111" spans="1:4" x14ac:dyDescent="0.45">
      <c r="A111" t="s">
        <v>34</v>
      </c>
      <c r="B111">
        <v>2012</v>
      </c>
      <c r="C111" t="s">
        <v>74</v>
      </c>
      <c r="D111">
        <v>1514.04</v>
      </c>
    </row>
    <row r="112" spans="1:4" x14ac:dyDescent="0.45">
      <c r="A112" t="s">
        <v>36</v>
      </c>
      <c r="B112">
        <v>2012</v>
      </c>
      <c r="C112" t="s">
        <v>74</v>
      </c>
      <c r="D112">
        <v>1225.8900000000001</v>
      </c>
    </row>
    <row r="113" spans="1:4" x14ac:dyDescent="0.45">
      <c r="A113" t="s">
        <v>56</v>
      </c>
      <c r="B113">
        <v>2012</v>
      </c>
      <c r="C113" t="s">
        <v>74</v>
      </c>
      <c r="D113">
        <v>271.29000000000002</v>
      </c>
    </row>
    <row r="114" spans="1:4" x14ac:dyDescent="0.45">
      <c r="A114" t="s">
        <v>57</v>
      </c>
      <c r="B114">
        <v>2012</v>
      </c>
      <c r="C114" t="s">
        <v>74</v>
      </c>
      <c r="D114">
        <v>769.33</v>
      </c>
    </row>
    <row r="115" spans="1:4" x14ac:dyDescent="0.45">
      <c r="A115" t="s">
        <v>38</v>
      </c>
      <c r="B115">
        <v>2012</v>
      </c>
      <c r="C115" t="s">
        <v>74</v>
      </c>
      <c r="D115">
        <v>39.090000000000003</v>
      </c>
    </row>
    <row r="116" spans="1:4" x14ac:dyDescent="0.45">
      <c r="A116" t="s">
        <v>32</v>
      </c>
      <c r="B116">
        <v>2012</v>
      </c>
      <c r="C116" t="s">
        <v>74</v>
      </c>
      <c r="D116">
        <v>18.260000000000002</v>
      </c>
    </row>
    <row r="117" spans="1:4" x14ac:dyDescent="0.45">
      <c r="A117" t="s">
        <v>58</v>
      </c>
      <c r="B117">
        <v>2012</v>
      </c>
      <c r="C117" t="s">
        <v>74</v>
      </c>
      <c r="D117">
        <v>4.33</v>
      </c>
    </row>
    <row r="118" spans="1:4" x14ac:dyDescent="0.45">
      <c r="A118" t="s">
        <v>91</v>
      </c>
      <c r="B118">
        <v>2012</v>
      </c>
      <c r="C118" t="s">
        <v>74</v>
      </c>
      <c r="D118">
        <v>140.82</v>
      </c>
    </row>
    <row r="119" spans="1:4" x14ac:dyDescent="0.45">
      <c r="A119" t="s">
        <v>32</v>
      </c>
      <c r="B119">
        <v>2013</v>
      </c>
      <c r="C119" t="s">
        <v>74</v>
      </c>
      <c r="D119">
        <v>60.86</v>
      </c>
    </row>
    <row r="120" spans="1:4" x14ac:dyDescent="0.45">
      <c r="A120" t="s">
        <v>34</v>
      </c>
      <c r="B120">
        <v>2013</v>
      </c>
      <c r="C120" t="s">
        <v>74</v>
      </c>
      <c r="D120">
        <v>1581.11</v>
      </c>
    </row>
    <row r="121" spans="1:4" x14ac:dyDescent="0.45">
      <c r="A121" t="s">
        <v>36</v>
      </c>
      <c r="B121">
        <v>2013</v>
      </c>
      <c r="C121" t="s">
        <v>74</v>
      </c>
      <c r="D121">
        <v>1124.8399999999999</v>
      </c>
    </row>
    <row r="122" spans="1:4" x14ac:dyDescent="0.45">
      <c r="A122" t="s">
        <v>56</v>
      </c>
      <c r="B122">
        <v>2013</v>
      </c>
      <c r="C122" t="s">
        <v>74</v>
      </c>
      <c r="D122">
        <v>263.88</v>
      </c>
    </row>
    <row r="123" spans="1:4" x14ac:dyDescent="0.45">
      <c r="A123" t="s">
        <v>57</v>
      </c>
      <c r="B123">
        <v>2013</v>
      </c>
      <c r="C123" t="s">
        <v>74</v>
      </c>
      <c r="D123">
        <v>789.02</v>
      </c>
    </row>
    <row r="124" spans="1:4" x14ac:dyDescent="0.45">
      <c r="A124" t="s">
        <v>38</v>
      </c>
      <c r="B124">
        <v>2013</v>
      </c>
      <c r="C124" t="s">
        <v>74</v>
      </c>
      <c r="D124">
        <v>40.26</v>
      </c>
    </row>
    <row r="125" spans="1:4" x14ac:dyDescent="0.45">
      <c r="A125" t="s">
        <v>32</v>
      </c>
      <c r="B125">
        <v>2013</v>
      </c>
      <c r="C125" t="s">
        <v>74</v>
      </c>
      <c r="D125">
        <v>18.760000000000002</v>
      </c>
    </row>
    <row r="126" spans="1:4" x14ac:dyDescent="0.45">
      <c r="A126" t="s">
        <v>58</v>
      </c>
      <c r="B126">
        <v>2013</v>
      </c>
      <c r="C126" t="s">
        <v>74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74</v>
      </c>
      <c r="D127">
        <v>167.84</v>
      </c>
    </row>
    <row r="128" spans="1:4" x14ac:dyDescent="0.45">
      <c r="A128" t="s">
        <v>32</v>
      </c>
      <c r="B128">
        <v>2014</v>
      </c>
      <c r="C128" t="s">
        <v>74</v>
      </c>
      <c r="D128">
        <v>63.99</v>
      </c>
    </row>
    <row r="129" spans="1:4" x14ac:dyDescent="0.45">
      <c r="A129" t="s">
        <v>34</v>
      </c>
      <c r="B129">
        <v>2014</v>
      </c>
      <c r="C129" t="s">
        <v>74</v>
      </c>
      <c r="D129">
        <v>1581.71</v>
      </c>
    </row>
    <row r="130" spans="1:4" x14ac:dyDescent="0.45">
      <c r="A130" t="s">
        <v>36</v>
      </c>
      <c r="B130">
        <v>2014</v>
      </c>
      <c r="C130" t="s">
        <v>74</v>
      </c>
      <c r="D130">
        <v>1126.6099999999999</v>
      </c>
    </row>
    <row r="131" spans="1:4" x14ac:dyDescent="0.45">
      <c r="A131" t="s">
        <v>56</v>
      </c>
      <c r="B131">
        <v>2014</v>
      </c>
      <c r="C131" t="s">
        <v>74</v>
      </c>
      <c r="D131">
        <v>253.19</v>
      </c>
    </row>
    <row r="132" spans="1:4" x14ac:dyDescent="0.45">
      <c r="A132" t="s">
        <v>57</v>
      </c>
      <c r="B132">
        <v>2014</v>
      </c>
      <c r="C132" t="s">
        <v>74</v>
      </c>
      <c r="D132">
        <v>797.17</v>
      </c>
    </row>
    <row r="133" spans="1:4" x14ac:dyDescent="0.45">
      <c r="A133" t="s">
        <v>38</v>
      </c>
      <c r="B133">
        <v>2014</v>
      </c>
      <c r="C133" t="s">
        <v>74</v>
      </c>
      <c r="D133">
        <v>43.69</v>
      </c>
    </row>
    <row r="134" spans="1:4" x14ac:dyDescent="0.45">
      <c r="A134" t="s">
        <v>32</v>
      </c>
      <c r="B134">
        <v>2014</v>
      </c>
      <c r="C134" t="s">
        <v>74</v>
      </c>
      <c r="D134">
        <v>19.079999999999998</v>
      </c>
    </row>
    <row r="135" spans="1:4" x14ac:dyDescent="0.45">
      <c r="A135" t="s">
        <v>58</v>
      </c>
      <c r="B135">
        <v>2014</v>
      </c>
      <c r="C135" t="s">
        <v>74</v>
      </c>
      <c r="D135">
        <v>28.92</v>
      </c>
    </row>
    <row r="136" spans="1:4" x14ac:dyDescent="0.45">
      <c r="A136" t="s">
        <v>91</v>
      </c>
      <c r="B136">
        <v>2014</v>
      </c>
      <c r="C136" t="s">
        <v>74</v>
      </c>
      <c r="D136">
        <v>181.65</v>
      </c>
    </row>
    <row r="137" spans="1:4" x14ac:dyDescent="0.45">
      <c r="A137" t="s">
        <v>32</v>
      </c>
      <c r="B137">
        <v>2015</v>
      </c>
      <c r="C137" t="s">
        <v>74</v>
      </c>
      <c r="D137">
        <v>63.63</v>
      </c>
    </row>
    <row r="138" spans="1:4" x14ac:dyDescent="0.45">
      <c r="A138" t="s">
        <v>34</v>
      </c>
      <c r="B138">
        <v>2015</v>
      </c>
      <c r="C138" t="s">
        <v>74</v>
      </c>
      <c r="D138">
        <v>1352.4</v>
      </c>
    </row>
    <row r="139" spans="1:4" x14ac:dyDescent="0.45">
      <c r="A139" t="s">
        <v>36</v>
      </c>
      <c r="B139">
        <v>2015</v>
      </c>
      <c r="C139" t="s">
        <v>74</v>
      </c>
      <c r="D139">
        <v>1333.48</v>
      </c>
    </row>
    <row r="140" spans="1:4" x14ac:dyDescent="0.45">
      <c r="A140" t="s">
        <v>56</v>
      </c>
      <c r="B140">
        <v>2015</v>
      </c>
      <c r="C140" t="s">
        <v>74</v>
      </c>
      <c r="D140">
        <v>243.99</v>
      </c>
    </row>
    <row r="141" spans="1:4" x14ac:dyDescent="0.45">
      <c r="A141" t="s">
        <v>57</v>
      </c>
      <c r="B141">
        <v>2015</v>
      </c>
      <c r="C141" t="s">
        <v>74</v>
      </c>
      <c r="D141">
        <v>797.18</v>
      </c>
    </row>
    <row r="142" spans="1:4" x14ac:dyDescent="0.45">
      <c r="A142" t="s">
        <v>38</v>
      </c>
      <c r="B142">
        <v>2015</v>
      </c>
      <c r="C142" t="s">
        <v>74</v>
      </c>
      <c r="D142">
        <v>44.44</v>
      </c>
    </row>
    <row r="143" spans="1:4" x14ac:dyDescent="0.45">
      <c r="A143" t="s">
        <v>32</v>
      </c>
      <c r="B143">
        <v>2015</v>
      </c>
      <c r="C143" t="s">
        <v>74</v>
      </c>
      <c r="D143">
        <v>19.12</v>
      </c>
    </row>
    <row r="144" spans="1:4" x14ac:dyDescent="0.45">
      <c r="A144" t="s">
        <v>58</v>
      </c>
      <c r="B144">
        <v>2015</v>
      </c>
      <c r="C144" t="s">
        <v>74</v>
      </c>
      <c r="D144">
        <v>39.03</v>
      </c>
    </row>
    <row r="145" spans="1:4" x14ac:dyDescent="0.45">
      <c r="A145" t="s">
        <v>91</v>
      </c>
      <c r="B145">
        <v>2015</v>
      </c>
      <c r="C145" t="s">
        <v>74</v>
      </c>
      <c r="D145">
        <v>190.72</v>
      </c>
    </row>
    <row r="146" spans="1:4" x14ac:dyDescent="0.45">
      <c r="A146" t="s">
        <v>32</v>
      </c>
      <c r="B146">
        <v>2016</v>
      </c>
      <c r="C146" t="s">
        <v>74</v>
      </c>
      <c r="D146">
        <v>62.76</v>
      </c>
    </row>
    <row r="147" spans="1:4" x14ac:dyDescent="0.45">
      <c r="A147" t="s">
        <v>34</v>
      </c>
      <c r="B147">
        <v>2016</v>
      </c>
      <c r="C147" t="s">
        <v>74</v>
      </c>
      <c r="D147">
        <v>1239.1500000000001</v>
      </c>
    </row>
    <row r="148" spans="1:4" x14ac:dyDescent="0.45">
      <c r="A148" t="s">
        <v>36</v>
      </c>
      <c r="B148">
        <v>2016</v>
      </c>
      <c r="C148" t="s">
        <v>74</v>
      </c>
      <c r="D148">
        <v>1378.31</v>
      </c>
    </row>
    <row r="149" spans="1:4" x14ac:dyDescent="0.45">
      <c r="A149" t="s">
        <v>56</v>
      </c>
      <c r="B149">
        <v>2016</v>
      </c>
      <c r="C149" t="s">
        <v>74</v>
      </c>
      <c r="D149">
        <v>261.13</v>
      </c>
    </row>
    <row r="150" spans="1:4" x14ac:dyDescent="0.45">
      <c r="A150" t="s">
        <v>57</v>
      </c>
      <c r="B150">
        <v>2016</v>
      </c>
      <c r="C150" t="s">
        <v>74</v>
      </c>
      <c r="D150">
        <v>805.69</v>
      </c>
    </row>
    <row r="151" spans="1:4" x14ac:dyDescent="0.45">
      <c r="A151" t="s">
        <v>38</v>
      </c>
      <c r="B151">
        <v>2016</v>
      </c>
      <c r="C151" t="s">
        <v>74</v>
      </c>
      <c r="D151">
        <v>39.5</v>
      </c>
    </row>
    <row r="152" spans="1:4" x14ac:dyDescent="0.45">
      <c r="A152" t="s">
        <v>32</v>
      </c>
      <c r="B152">
        <v>2016</v>
      </c>
      <c r="C152" t="s">
        <v>74</v>
      </c>
      <c r="D152">
        <v>19.16</v>
      </c>
    </row>
    <row r="153" spans="1:4" x14ac:dyDescent="0.45">
      <c r="A153" t="s">
        <v>58</v>
      </c>
      <c r="B153">
        <v>2016</v>
      </c>
      <c r="C153" t="s">
        <v>74</v>
      </c>
      <c r="D153">
        <v>54.87</v>
      </c>
    </row>
    <row r="154" spans="1:4" x14ac:dyDescent="0.45">
      <c r="A154" t="s">
        <v>91</v>
      </c>
      <c r="B154">
        <v>2016</v>
      </c>
      <c r="C154" t="s">
        <v>74</v>
      </c>
      <c r="D154">
        <v>226.99</v>
      </c>
    </row>
    <row r="155" spans="1:4" x14ac:dyDescent="0.45">
      <c r="A155" t="s">
        <v>32</v>
      </c>
      <c r="B155">
        <v>2017</v>
      </c>
      <c r="C155" t="s">
        <v>74</v>
      </c>
      <c r="D155">
        <v>62.73</v>
      </c>
    </row>
    <row r="156" spans="1:4" x14ac:dyDescent="0.45">
      <c r="A156" t="s">
        <v>34</v>
      </c>
      <c r="B156">
        <v>2017</v>
      </c>
      <c r="C156" t="s">
        <v>74</v>
      </c>
      <c r="D156">
        <v>1205.8399999999999</v>
      </c>
    </row>
    <row r="157" spans="1:4" x14ac:dyDescent="0.45">
      <c r="A157" t="s">
        <v>36</v>
      </c>
      <c r="B157">
        <v>2017</v>
      </c>
      <c r="C157" t="s">
        <v>74</v>
      </c>
      <c r="D157">
        <v>1296.44</v>
      </c>
    </row>
    <row r="158" spans="1:4" x14ac:dyDescent="0.45">
      <c r="A158" t="s">
        <v>56</v>
      </c>
      <c r="B158">
        <v>2017</v>
      </c>
      <c r="C158" t="s">
        <v>74</v>
      </c>
      <c r="D158">
        <v>293.83999999999997</v>
      </c>
    </row>
    <row r="159" spans="1:4" x14ac:dyDescent="0.45">
      <c r="A159" t="s">
        <v>57</v>
      </c>
      <c r="B159">
        <v>2017</v>
      </c>
      <c r="C159" t="s">
        <v>74</v>
      </c>
      <c r="D159">
        <v>804.95</v>
      </c>
    </row>
    <row r="160" spans="1:4" x14ac:dyDescent="0.45">
      <c r="A160" t="s">
        <v>38</v>
      </c>
      <c r="B160">
        <v>2017</v>
      </c>
      <c r="C160" t="s">
        <v>74</v>
      </c>
      <c r="D160">
        <v>37.89</v>
      </c>
    </row>
    <row r="161" spans="1:4" x14ac:dyDescent="0.45">
      <c r="A161" t="s">
        <v>32</v>
      </c>
      <c r="B161">
        <v>2017</v>
      </c>
      <c r="C161" t="s">
        <v>74</v>
      </c>
      <c r="D161">
        <v>19.04</v>
      </c>
    </row>
    <row r="162" spans="1:4" x14ac:dyDescent="0.45">
      <c r="A162" t="s">
        <v>58</v>
      </c>
      <c r="B162">
        <v>2017</v>
      </c>
      <c r="C162" t="s">
        <v>74</v>
      </c>
      <c r="D162">
        <v>77.28</v>
      </c>
    </row>
    <row r="163" spans="1:4" x14ac:dyDescent="0.45">
      <c r="A163" t="s">
        <v>91</v>
      </c>
      <c r="B163">
        <v>2017</v>
      </c>
      <c r="C163" t="s">
        <v>74</v>
      </c>
      <c r="D163">
        <v>254.3</v>
      </c>
    </row>
    <row r="164" spans="1:4" x14ac:dyDescent="0.45">
      <c r="A164" t="s">
        <v>32</v>
      </c>
      <c r="B164">
        <v>2018</v>
      </c>
      <c r="C164" t="s">
        <v>74</v>
      </c>
      <c r="D164">
        <v>61.83</v>
      </c>
    </row>
    <row r="165" spans="1:4" x14ac:dyDescent="0.45">
      <c r="A165" t="s">
        <v>34</v>
      </c>
      <c r="B165">
        <v>2018</v>
      </c>
      <c r="C165" t="s">
        <v>74</v>
      </c>
      <c r="D165">
        <v>1149.49</v>
      </c>
    </row>
    <row r="166" spans="1:4" x14ac:dyDescent="0.45">
      <c r="A166" t="s">
        <v>36</v>
      </c>
      <c r="B166">
        <v>2018</v>
      </c>
      <c r="C166" t="s">
        <v>74</v>
      </c>
      <c r="D166">
        <v>1469.13</v>
      </c>
    </row>
    <row r="167" spans="1:4" x14ac:dyDescent="0.45">
      <c r="A167" t="s">
        <v>56</v>
      </c>
      <c r="B167">
        <v>2018</v>
      </c>
      <c r="C167" t="s">
        <v>74</v>
      </c>
      <c r="D167">
        <v>286.62</v>
      </c>
    </row>
    <row r="168" spans="1:4" x14ac:dyDescent="0.45">
      <c r="A168" t="s">
        <v>57</v>
      </c>
      <c r="B168">
        <v>2018</v>
      </c>
      <c r="C168" t="s">
        <v>74</v>
      </c>
      <c r="D168">
        <v>807.08</v>
      </c>
    </row>
    <row r="169" spans="1:4" x14ac:dyDescent="0.45">
      <c r="A169" t="s">
        <v>38</v>
      </c>
      <c r="B169">
        <v>2018</v>
      </c>
      <c r="C169" t="s">
        <v>74</v>
      </c>
      <c r="D169">
        <v>42.68</v>
      </c>
    </row>
    <row r="170" spans="1:4" x14ac:dyDescent="0.45">
      <c r="A170" t="s">
        <v>32</v>
      </c>
      <c r="B170">
        <v>2018</v>
      </c>
      <c r="C170" t="s">
        <v>74</v>
      </c>
      <c r="D170">
        <v>18.690000000000001</v>
      </c>
    </row>
    <row r="171" spans="1:4" x14ac:dyDescent="0.45">
      <c r="A171" t="s">
        <v>58</v>
      </c>
      <c r="B171">
        <v>2018</v>
      </c>
      <c r="C171" t="s">
        <v>74</v>
      </c>
      <c r="D171">
        <v>93.36</v>
      </c>
    </row>
    <row r="172" spans="1:4" x14ac:dyDescent="0.45">
      <c r="A172" t="s">
        <v>91</v>
      </c>
      <c r="B172">
        <v>2018</v>
      </c>
      <c r="C172" t="s">
        <v>74</v>
      </c>
      <c r="D172">
        <v>272.67</v>
      </c>
    </row>
    <row r="173" spans="1:4" x14ac:dyDescent="0.45">
      <c r="A173" t="s">
        <v>32</v>
      </c>
      <c r="B173">
        <v>2019</v>
      </c>
      <c r="C173" t="s">
        <v>74</v>
      </c>
      <c r="D173">
        <v>57.51</v>
      </c>
    </row>
    <row r="174" spans="1:4" x14ac:dyDescent="0.45">
      <c r="A174" t="s">
        <v>34</v>
      </c>
      <c r="B174">
        <v>2019</v>
      </c>
      <c r="C174" t="s">
        <v>74</v>
      </c>
      <c r="D174">
        <v>964.96</v>
      </c>
    </row>
    <row r="175" spans="1:4" x14ac:dyDescent="0.45">
      <c r="A175" t="s">
        <v>36</v>
      </c>
      <c r="B175">
        <v>2019</v>
      </c>
      <c r="C175" t="s">
        <v>74</v>
      </c>
      <c r="D175">
        <v>1585.81</v>
      </c>
    </row>
    <row r="176" spans="1:4" x14ac:dyDescent="0.45">
      <c r="A176" t="s">
        <v>56</v>
      </c>
      <c r="B176">
        <v>2019</v>
      </c>
      <c r="C176" t="s">
        <v>74</v>
      </c>
      <c r="D176">
        <v>282.61</v>
      </c>
    </row>
    <row r="177" spans="1:4" x14ac:dyDescent="0.45">
      <c r="A177" t="s">
        <v>57</v>
      </c>
      <c r="B177">
        <v>2019</v>
      </c>
      <c r="C177" t="s">
        <v>74</v>
      </c>
      <c r="D177">
        <v>809.41</v>
      </c>
    </row>
    <row r="178" spans="1:4" x14ac:dyDescent="0.45">
      <c r="A178" t="s">
        <v>38</v>
      </c>
      <c r="B178">
        <v>2019</v>
      </c>
      <c r="C178" t="s">
        <v>74</v>
      </c>
      <c r="D178">
        <v>37.44</v>
      </c>
    </row>
    <row r="179" spans="1:4" x14ac:dyDescent="0.45">
      <c r="A179" t="s">
        <v>32</v>
      </c>
      <c r="B179">
        <v>2019</v>
      </c>
      <c r="C179" t="s">
        <v>74</v>
      </c>
      <c r="D179">
        <v>17.87</v>
      </c>
    </row>
    <row r="180" spans="1:4" x14ac:dyDescent="0.45">
      <c r="A180" t="s">
        <v>58</v>
      </c>
      <c r="B180">
        <v>2019</v>
      </c>
      <c r="C180" t="s">
        <v>74</v>
      </c>
      <c r="D180">
        <v>106.89</v>
      </c>
    </row>
    <row r="181" spans="1:4" x14ac:dyDescent="0.45">
      <c r="A181" t="s">
        <v>91</v>
      </c>
      <c r="B181">
        <v>2019</v>
      </c>
      <c r="C181" t="s">
        <v>74</v>
      </c>
      <c r="D181">
        <v>295.88</v>
      </c>
    </row>
    <row r="182" spans="1:4" x14ac:dyDescent="0.45">
      <c r="A182" t="s">
        <v>32</v>
      </c>
      <c r="B182">
        <v>2020</v>
      </c>
      <c r="C182" t="s">
        <v>74</v>
      </c>
      <c r="D182">
        <v>54.7</v>
      </c>
    </row>
    <row r="183" spans="1:4" x14ac:dyDescent="0.45">
      <c r="A183" t="s">
        <v>34</v>
      </c>
      <c r="B183">
        <v>2020</v>
      </c>
      <c r="C183" t="s">
        <v>74</v>
      </c>
      <c r="D183">
        <v>773.39</v>
      </c>
    </row>
    <row r="184" spans="1:4" x14ac:dyDescent="0.45">
      <c r="A184" t="s">
        <v>36</v>
      </c>
      <c r="B184">
        <v>2020</v>
      </c>
      <c r="C184" t="s">
        <v>74</v>
      </c>
      <c r="D184">
        <v>1624.17</v>
      </c>
    </row>
    <row r="185" spans="1:4" x14ac:dyDescent="0.45">
      <c r="A185" t="s">
        <v>56</v>
      </c>
      <c r="B185">
        <v>2020</v>
      </c>
      <c r="C185" t="s">
        <v>74</v>
      </c>
      <c r="D185">
        <v>279.95</v>
      </c>
    </row>
    <row r="186" spans="1:4" x14ac:dyDescent="0.45">
      <c r="A186" t="s">
        <v>57</v>
      </c>
      <c r="B186">
        <v>2020</v>
      </c>
      <c r="C186" t="s">
        <v>74</v>
      </c>
      <c r="D186">
        <v>789.88</v>
      </c>
    </row>
    <row r="187" spans="1:4" x14ac:dyDescent="0.45">
      <c r="A187" t="s">
        <v>38</v>
      </c>
      <c r="B187">
        <v>2020</v>
      </c>
      <c r="C187" t="s">
        <v>74</v>
      </c>
      <c r="D187">
        <v>34.340000000000003</v>
      </c>
    </row>
    <row r="188" spans="1:4" x14ac:dyDescent="0.45">
      <c r="A188" t="s">
        <v>32</v>
      </c>
      <c r="B188">
        <v>2020</v>
      </c>
      <c r="C188" t="s">
        <v>74</v>
      </c>
      <c r="D188">
        <v>18.09</v>
      </c>
    </row>
    <row r="189" spans="1:4" x14ac:dyDescent="0.45">
      <c r="A189" t="s">
        <v>58</v>
      </c>
      <c r="B189">
        <v>2020</v>
      </c>
      <c r="C189" t="s">
        <v>74</v>
      </c>
      <c r="D189">
        <v>130.72</v>
      </c>
    </row>
    <row r="190" spans="1:4" x14ac:dyDescent="0.45">
      <c r="A190" t="s">
        <v>91</v>
      </c>
      <c r="B190">
        <v>2020</v>
      </c>
      <c r="C190" t="s">
        <v>74</v>
      </c>
      <c r="D190">
        <v>337.94</v>
      </c>
    </row>
    <row r="191" spans="1:4" x14ac:dyDescent="0.45">
      <c r="A191" t="s">
        <v>32</v>
      </c>
      <c r="B191">
        <v>2021</v>
      </c>
      <c r="C191" t="s">
        <v>74</v>
      </c>
      <c r="D191">
        <v>54.25</v>
      </c>
    </row>
    <row r="192" spans="1:4" x14ac:dyDescent="0.45">
      <c r="A192" t="s">
        <v>34</v>
      </c>
      <c r="B192">
        <v>2021</v>
      </c>
      <c r="C192" t="s">
        <v>74</v>
      </c>
      <c r="D192">
        <v>898</v>
      </c>
    </row>
    <row r="193" spans="1:4" x14ac:dyDescent="0.45">
      <c r="A193" t="s">
        <v>36</v>
      </c>
      <c r="B193">
        <v>2021</v>
      </c>
      <c r="C193" t="s">
        <v>74</v>
      </c>
      <c r="D193">
        <v>1579.19</v>
      </c>
    </row>
    <row r="194" spans="1:4" x14ac:dyDescent="0.45">
      <c r="A194" t="s">
        <v>56</v>
      </c>
      <c r="B194">
        <v>2021</v>
      </c>
      <c r="C194" t="s">
        <v>74</v>
      </c>
      <c r="D194">
        <v>246.47</v>
      </c>
    </row>
    <row r="195" spans="1:4" x14ac:dyDescent="0.45">
      <c r="A195" t="s">
        <v>57</v>
      </c>
      <c r="B195">
        <v>2021</v>
      </c>
      <c r="C195" t="s">
        <v>74</v>
      </c>
      <c r="D195">
        <v>779.65</v>
      </c>
    </row>
    <row r="196" spans="1:4" x14ac:dyDescent="0.45">
      <c r="A196" t="s">
        <v>38</v>
      </c>
      <c r="B196">
        <v>2021</v>
      </c>
      <c r="C196" t="s">
        <v>74</v>
      </c>
      <c r="D196">
        <v>35.200000000000003</v>
      </c>
    </row>
    <row r="197" spans="1:4" x14ac:dyDescent="0.45">
      <c r="A197" t="s">
        <v>32</v>
      </c>
      <c r="B197">
        <v>2021</v>
      </c>
      <c r="C197" t="s">
        <v>74</v>
      </c>
      <c r="D197">
        <v>18.239999999999998</v>
      </c>
    </row>
    <row r="198" spans="1:4" x14ac:dyDescent="0.45">
      <c r="A198" t="s">
        <v>58</v>
      </c>
      <c r="B198">
        <v>2021</v>
      </c>
      <c r="C198" t="s">
        <v>74</v>
      </c>
      <c r="D198">
        <v>164.42</v>
      </c>
    </row>
    <row r="199" spans="1:4" x14ac:dyDescent="0.45">
      <c r="A199" t="s">
        <v>91</v>
      </c>
      <c r="B199">
        <v>2021</v>
      </c>
      <c r="C199" t="s">
        <v>74</v>
      </c>
      <c r="D199">
        <v>378.2</v>
      </c>
    </row>
    <row r="200" spans="1:4" x14ac:dyDescent="0.45">
      <c r="A200" t="s">
        <v>32</v>
      </c>
      <c r="B200">
        <v>2022</v>
      </c>
      <c r="C200" t="s">
        <v>74</v>
      </c>
      <c r="D200">
        <v>51.85</v>
      </c>
    </row>
    <row r="201" spans="1:4" x14ac:dyDescent="0.45">
      <c r="A201" t="s">
        <v>34</v>
      </c>
      <c r="B201">
        <v>2022</v>
      </c>
      <c r="C201" t="s">
        <v>74</v>
      </c>
      <c r="D201">
        <v>831.51</v>
      </c>
    </row>
    <row r="202" spans="1:4" x14ac:dyDescent="0.45">
      <c r="A202" t="s">
        <v>36</v>
      </c>
      <c r="B202">
        <v>2022</v>
      </c>
      <c r="C202" t="s">
        <v>74</v>
      </c>
      <c r="D202">
        <v>1687.06</v>
      </c>
    </row>
    <row r="203" spans="1:4" x14ac:dyDescent="0.45">
      <c r="A203" t="s">
        <v>56</v>
      </c>
      <c r="B203">
        <v>2022</v>
      </c>
      <c r="C203" t="s">
        <v>74</v>
      </c>
      <c r="D203">
        <v>248.76</v>
      </c>
    </row>
    <row r="204" spans="1:4" x14ac:dyDescent="0.45">
      <c r="A204" t="s">
        <v>57</v>
      </c>
      <c r="B204">
        <v>2022</v>
      </c>
      <c r="C204" t="s">
        <v>74</v>
      </c>
      <c r="D204">
        <v>771.54</v>
      </c>
    </row>
    <row r="205" spans="1:4" x14ac:dyDescent="0.45">
      <c r="A205" t="s">
        <v>38</v>
      </c>
      <c r="B205">
        <v>2022</v>
      </c>
      <c r="C205" t="s">
        <v>74</v>
      </c>
      <c r="D205">
        <v>38.64</v>
      </c>
    </row>
    <row r="206" spans="1:4" x14ac:dyDescent="0.45">
      <c r="A206" t="s">
        <v>32</v>
      </c>
      <c r="B206">
        <v>2022</v>
      </c>
      <c r="C206" t="s">
        <v>74</v>
      </c>
      <c r="D206">
        <v>18.16</v>
      </c>
    </row>
    <row r="207" spans="1:4" x14ac:dyDescent="0.45">
      <c r="A207" t="s">
        <v>58</v>
      </c>
      <c r="B207">
        <v>2022</v>
      </c>
      <c r="C207" t="s">
        <v>74</v>
      </c>
      <c r="D207">
        <v>205.07</v>
      </c>
    </row>
    <row r="208" spans="1:4" x14ac:dyDescent="0.45">
      <c r="A208" t="s">
        <v>91</v>
      </c>
      <c r="B208">
        <v>2022</v>
      </c>
      <c r="C208" t="s">
        <v>74</v>
      </c>
      <c r="D208">
        <v>434.3</v>
      </c>
    </row>
    <row r="209" spans="1:4" x14ac:dyDescent="0.45">
      <c r="A209" t="s">
        <v>32</v>
      </c>
      <c r="B209">
        <v>2023</v>
      </c>
      <c r="C209" t="s">
        <v>74</v>
      </c>
      <c r="D209">
        <v>47.2</v>
      </c>
    </row>
    <row r="210" spans="1:4" x14ac:dyDescent="0.45">
      <c r="A210" t="s">
        <v>34</v>
      </c>
      <c r="B210">
        <v>2023</v>
      </c>
      <c r="C210" t="s">
        <v>74</v>
      </c>
      <c r="D210">
        <v>675.11</v>
      </c>
    </row>
    <row r="211" spans="1:4" x14ac:dyDescent="0.45">
      <c r="A211" t="s">
        <v>36</v>
      </c>
      <c r="B211">
        <v>2023</v>
      </c>
      <c r="C211" t="s">
        <v>74</v>
      </c>
      <c r="D211">
        <v>1806.06</v>
      </c>
    </row>
    <row r="212" spans="1:4" x14ac:dyDescent="0.45">
      <c r="A212" t="s">
        <v>56</v>
      </c>
      <c r="B212">
        <v>2023</v>
      </c>
      <c r="C212" t="s">
        <v>74</v>
      </c>
      <c r="D212">
        <v>239.01</v>
      </c>
    </row>
    <row r="213" spans="1:4" x14ac:dyDescent="0.45">
      <c r="A213" t="s">
        <v>57</v>
      </c>
      <c r="B213">
        <v>2023</v>
      </c>
      <c r="C213" t="s">
        <v>74</v>
      </c>
      <c r="D213">
        <v>774.87</v>
      </c>
    </row>
    <row r="214" spans="1:4" x14ac:dyDescent="0.45">
      <c r="A214" t="s">
        <v>38</v>
      </c>
      <c r="B214">
        <v>2023</v>
      </c>
      <c r="C214" t="s">
        <v>74</v>
      </c>
      <c r="D214">
        <v>33.130000000000003</v>
      </c>
    </row>
    <row r="215" spans="1:4" x14ac:dyDescent="0.45">
      <c r="A215" t="s">
        <v>32</v>
      </c>
      <c r="B215">
        <v>2023</v>
      </c>
      <c r="C215" t="s">
        <v>74</v>
      </c>
      <c r="D215">
        <v>18.45</v>
      </c>
    </row>
    <row r="216" spans="1:4" x14ac:dyDescent="0.45">
      <c r="A216" t="s">
        <v>58</v>
      </c>
      <c r="B216">
        <v>2023</v>
      </c>
      <c r="C216" t="s">
        <v>74</v>
      </c>
      <c r="D216">
        <v>238.94</v>
      </c>
    </row>
    <row r="217" spans="1:4" x14ac:dyDescent="0.45">
      <c r="A217" t="s">
        <v>91</v>
      </c>
      <c r="B217">
        <v>2023</v>
      </c>
      <c r="C217" t="s">
        <v>74</v>
      </c>
      <c r="D217">
        <v>421.14</v>
      </c>
    </row>
    <row r="218" spans="1:4" x14ac:dyDescent="0.45">
      <c r="A218" t="s">
        <v>32</v>
      </c>
      <c r="B218">
        <v>2000</v>
      </c>
      <c r="C218" t="s">
        <v>75</v>
      </c>
      <c r="D218">
        <v>5.63</v>
      </c>
    </row>
    <row r="219" spans="1:4" x14ac:dyDescent="0.45">
      <c r="A219" t="s">
        <v>34</v>
      </c>
      <c r="B219">
        <v>2000</v>
      </c>
      <c r="C219" t="s">
        <v>75</v>
      </c>
      <c r="D219">
        <v>334.24</v>
      </c>
    </row>
    <row r="220" spans="1:4" x14ac:dyDescent="0.45">
      <c r="A220" t="s">
        <v>36</v>
      </c>
      <c r="B220">
        <v>2000</v>
      </c>
      <c r="C220" t="s">
        <v>75</v>
      </c>
      <c r="D220">
        <v>161.54</v>
      </c>
    </row>
    <row r="221" spans="1:4" x14ac:dyDescent="0.45">
      <c r="A221" t="s">
        <v>56</v>
      </c>
      <c r="B221">
        <v>2000</v>
      </c>
      <c r="C221" t="s">
        <v>75</v>
      </c>
      <c r="D221">
        <v>79.36</v>
      </c>
    </row>
    <row r="222" spans="1:4" x14ac:dyDescent="0.45">
      <c r="A222" t="s">
        <v>57</v>
      </c>
      <c r="B222">
        <v>2000</v>
      </c>
      <c r="C222" t="s">
        <v>75</v>
      </c>
      <c r="D222">
        <v>97.86</v>
      </c>
    </row>
    <row r="223" spans="1:4" x14ac:dyDescent="0.45">
      <c r="A223" t="s">
        <v>38</v>
      </c>
      <c r="B223">
        <v>2000</v>
      </c>
      <c r="C223" t="s">
        <v>75</v>
      </c>
      <c r="D223">
        <v>86.09</v>
      </c>
    </row>
    <row r="224" spans="1:4" x14ac:dyDescent="0.45">
      <c r="A224" t="s">
        <v>32</v>
      </c>
      <c r="B224">
        <v>2000</v>
      </c>
      <c r="C224" t="s">
        <v>75</v>
      </c>
      <c r="D224">
        <v>3.96</v>
      </c>
    </row>
    <row r="225" spans="1:4" x14ac:dyDescent="0.45">
      <c r="A225" t="s">
        <v>58</v>
      </c>
      <c r="B225">
        <v>2000</v>
      </c>
      <c r="C225" t="s">
        <v>75</v>
      </c>
      <c r="D225">
        <v>0.59</v>
      </c>
    </row>
    <row r="226" spans="1:4" x14ac:dyDescent="0.45">
      <c r="A226" t="s">
        <v>91</v>
      </c>
      <c r="B226">
        <v>2000</v>
      </c>
      <c r="C226" t="s">
        <v>75</v>
      </c>
      <c r="D226">
        <v>2.38</v>
      </c>
    </row>
    <row r="227" spans="1:4" x14ac:dyDescent="0.45">
      <c r="A227" t="s">
        <v>32</v>
      </c>
      <c r="B227">
        <v>2001</v>
      </c>
      <c r="C227" t="s">
        <v>75</v>
      </c>
      <c r="D227">
        <v>7.13</v>
      </c>
    </row>
    <row r="228" spans="1:4" x14ac:dyDescent="0.45">
      <c r="A228" t="s">
        <v>34</v>
      </c>
      <c r="B228">
        <v>2001</v>
      </c>
      <c r="C228" t="s">
        <v>75</v>
      </c>
      <c r="D228">
        <v>335.32</v>
      </c>
    </row>
    <row r="229" spans="1:4" x14ac:dyDescent="0.45">
      <c r="A229" t="s">
        <v>36</v>
      </c>
      <c r="B229">
        <v>2001</v>
      </c>
      <c r="C229" t="s">
        <v>75</v>
      </c>
      <c r="D229">
        <v>199.67</v>
      </c>
    </row>
    <row r="230" spans="1:4" x14ac:dyDescent="0.45">
      <c r="A230" t="s">
        <v>56</v>
      </c>
      <c r="B230">
        <v>2001</v>
      </c>
      <c r="C230" t="s">
        <v>75</v>
      </c>
      <c r="D230">
        <v>78.92</v>
      </c>
    </row>
    <row r="231" spans="1:4" x14ac:dyDescent="0.45">
      <c r="A231" t="s">
        <v>57</v>
      </c>
      <c r="B231">
        <v>2001</v>
      </c>
      <c r="C231" t="s">
        <v>75</v>
      </c>
      <c r="D231">
        <v>98.16</v>
      </c>
    </row>
    <row r="232" spans="1:4" x14ac:dyDescent="0.45">
      <c r="A232" t="s">
        <v>38</v>
      </c>
      <c r="B232">
        <v>2001</v>
      </c>
      <c r="C232" t="s">
        <v>75</v>
      </c>
      <c r="D232">
        <v>87.75</v>
      </c>
    </row>
    <row r="233" spans="1:4" x14ac:dyDescent="0.45">
      <c r="A233" t="s">
        <v>32</v>
      </c>
      <c r="B233">
        <v>2001</v>
      </c>
      <c r="C233" t="s">
        <v>75</v>
      </c>
      <c r="D233">
        <v>3.46</v>
      </c>
    </row>
    <row r="234" spans="1:4" x14ac:dyDescent="0.45">
      <c r="A234" t="s">
        <v>58</v>
      </c>
      <c r="B234">
        <v>2001</v>
      </c>
      <c r="C234" t="s">
        <v>75</v>
      </c>
      <c r="D234">
        <v>0.6</v>
      </c>
    </row>
    <row r="235" spans="1:4" x14ac:dyDescent="0.45">
      <c r="A235" t="s">
        <v>91</v>
      </c>
      <c r="B235">
        <v>2001</v>
      </c>
      <c r="C235" t="s">
        <v>75</v>
      </c>
      <c r="D235">
        <v>3.86</v>
      </c>
    </row>
    <row r="236" spans="1:4" x14ac:dyDescent="0.45">
      <c r="A236" t="s">
        <v>32</v>
      </c>
      <c r="B236">
        <v>2002</v>
      </c>
      <c r="C236" t="s">
        <v>75</v>
      </c>
      <c r="D236">
        <v>7.16</v>
      </c>
    </row>
    <row r="237" spans="1:4" x14ac:dyDescent="0.45">
      <c r="A237" t="s">
        <v>34</v>
      </c>
      <c r="B237">
        <v>2002</v>
      </c>
      <c r="C237" t="s">
        <v>75</v>
      </c>
      <c r="D237">
        <v>335.8</v>
      </c>
    </row>
    <row r="238" spans="1:4" x14ac:dyDescent="0.45">
      <c r="A238" t="s">
        <v>36</v>
      </c>
      <c r="B238">
        <v>2002</v>
      </c>
      <c r="C238" t="s">
        <v>75</v>
      </c>
      <c r="D238">
        <v>264.55</v>
      </c>
    </row>
    <row r="239" spans="1:4" x14ac:dyDescent="0.45">
      <c r="A239" t="s">
        <v>56</v>
      </c>
      <c r="B239">
        <v>2002</v>
      </c>
      <c r="C239" t="s">
        <v>75</v>
      </c>
      <c r="D239">
        <v>79.36</v>
      </c>
    </row>
    <row r="240" spans="1:4" x14ac:dyDescent="0.45">
      <c r="A240" t="s">
        <v>57</v>
      </c>
      <c r="B240">
        <v>2002</v>
      </c>
      <c r="C240" t="s">
        <v>75</v>
      </c>
      <c r="D240">
        <v>98.66</v>
      </c>
    </row>
    <row r="241" spans="1:4" x14ac:dyDescent="0.45">
      <c r="A241" t="s">
        <v>38</v>
      </c>
      <c r="B241">
        <v>2002</v>
      </c>
      <c r="C241" t="s">
        <v>75</v>
      </c>
      <c r="D241">
        <v>61.52</v>
      </c>
    </row>
    <row r="242" spans="1:4" x14ac:dyDescent="0.45">
      <c r="A242" t="s">
        <v>32</v>
      </c>
      <c r="B242">
        <v>2002</v>
      </c>
      <c r="C242" t="s">
        <v>75</v>
      </c>
      <c r="D242">
        <v>3.5</v>
      </c>
    </row>
    <row r="243" spans="1:4" x14ac:dyDescent="0.45">
      <c r="A243" t="s">
        <v>58</v>
      </c>
      <c r="B243">
        <v>2002</v>
      </c>
      <c r="C243" t="s">
        <v>75</v>
      </c>
      <c r="D243">
        <v>0.64</v>
      </c>
    </row>
    <row r="244" spans="1:4" x14ac:dyDescent="0.45">
      <c r="A244" t="s">
        <v>91</v>
      </c>
      <c r="B244">
        <v>2002</v>
      </c>
      <c r="C244" t="s">
        <v>75</v>
      </c>
      <c r="D244">
        <v>4.42</v>
      </c>
    </row>
    <row r="245" spans="1:4" x14ac:dyDescent="0.45">
      <c r="A245" t="s">
        <v>32</v>
      </c>
      <c r="B245">
        <v>2003</v>
      </c>
      <c r="C245" t="s">
        <v>75</v>
      </c>
      <c r="D245">
        <v>7.19</v>
      </c>
    </row>
    <row r="246" spans="1:4" x14ac:dyDescent="0.45">
      <c r="A246" t="s">
        <v>34</v>
      </c>
      <c r="B246">
        <v>2003</v>
      </c>
      <c r="C246" t="s">
        <v>75</v>
      </c>
      <c r="D246">
        <v>334.47</v>
      </c>
    </row>
    <row r="247" spans="1:4" x14ac:dyDescent="0.45">
      <c r="A247" t="s">
        <v>36</v>
      </c>
      <c r="B247">
        <v>2003</v>
      </c>
      <c r="C247" t="s">
        <v>75</v>
      </c>
      <c r="D247">
        <v>319.04000000000002</v>
      </c>
    </row>
    <row r="248" spans="1:4" x14ac:dyDescent="0.45">
      <c r="A248" t="s">
        <v>56</v>
      </c>
      <c r="B248">
        <v>2003</v>
      </c>
      <c r="C248" t="s">
        <v>75</v>
      </c>
      <c r="D248">
        <v>78.69</v>
      </c>
    </row>
    <row r="249" spans="1:4" x14ac:dyDescent="0.45">
      <c r="A249" t="s">
        <v>57</v>
      </c>
      <c r="B249">
        <v>2003</v>
      </c>
      <c r="C249" t="s">
        <v>75</v>
      </c>
      <c r="D249">
        <v>99.21</v>
      </c>
    </row>
    <row r="250" spans="1:4" x14ac:dyDescent="0.45">
      <c r="A250" t="s">
        <v>38</v>
      </c>
      <c r="B250">
        <v>2003</v>
      </c>
      <c r="C250" t="s">
        <v>75</v>
      </c>
      <c r="D250">
        <v>62.58</v>
      </c>
    </row>
    <row r="251" spans="1:4" x14ac:dyDescent="0.45">
      <c r="A251" t="s">
        <v>32</v>
      </c>
      <c r="B251">
        <v>2003</v>
      </c>
      <c r="C251" t="s">
        <v>75</v>
      </c>
      <c r="D251">
        <v>3.35</v>
      </c>
    </row>
    <row r="252" spans="1:4" x14ac:dyDescent="0.45">
      <c r="A252" t="s">
        <v>58</v>
      </c>
      <c r="B252">
        <v>2003</v>
      </c>
      <c r="C252" t="s">
        <v>75</v>
      </c>
      <c r="D252">
        <v>0.68</v>
      </c>
    </row>
    <row r="253" spans="1:4" x14ac:dyDescent="0.45">
      <c r="A253" t="s">
        <v>91</v>
      </c>
      <c r="B253">
        <v>2003</v>
      </c>
      <c r="C253" t="s">
        <v>75</v>
      </c>
      <c r="D253">
        <v>6</v>
      </c>
    </row>
    <row r="254" spans="1:4" x14ac:dyDescent="0.45">
      <c r="A254" t="s">
        <v>32</v>
      </c>
      <c r="B254">
        <v>2004</v>
      </c>
      <c r="C254" t="s">
        <v>75</v>
      </c>
      <c r="D254">
        <v>7.51</v>
      </c>
    </row>
    <row r="255" spans="1:4" x14ac:dyDescent="0.45">
      <c r="A255" t="s">
        <v>34</v>
      </c>
      <c r="B255">
        <v>2004</v>
      </c>
      <c r="C255" t="s">
        <v>75</v>
      </c>
      <c r="D255">
        <v>334.48</v>
      </c>
    </row>
    <row r="256" spans="1:4" x14ac:dyDescent="0.45">
      <c r="A256" t="s">
        <v>36</v>
      </c>
      <c r="B256">
        <v>2004</v>
      </c>
      <c r="C256" t="s">
        <v>75</v>
      </c>
      <c r="D256">
        <v>343.88</v>
      </c>
    </row>
    <row r="257" spans="1:4" x14ac:dyDescent="0.45">
      <c r="A257" t="s">
        <v>56</v>
      </c>
      <c r="B257">
        <v>2004</v>
      </c>
      <c r="C257" t="s">
        <v>75</v>
      </c>
      <c r="D257">
        <v>77.64</v>
      </c>
    </row>
    <row r="258" spans="1:4" x14ac:dyDescent="0.45">
      <c r="A258" t="s">
        <v>57</v>
      </c>
      <c r="B258">
        <v>2004</v>
      </c>
      <c r="C258" t="s">
        <v>75</v>
      </c>
      <c r="D258">
        <v>99.63</v>
      </c>
    </row>
    <row r="259" spans="1:4" x14ac:dyDescent="0.45">
      <c r="A259" t="s">
        <v>38</v>
      </c>
      <c r="B259">
        <v>2004</v>
      </c>
      <c r="C259" t="s">
        <v>75</v>
      </c>
      <c r="D259">
        <v>61.16</v>
      </c>
    </row>
    <row r="260" spans="1:4" x14ac:dyDescent="0.45">
      <c r="A260" t="s">
        <v>32</v>
      </c>
      <c r="B260">
        <v>2004</v>
      </c>
      <c r="C260" t="s">
        <v>75</v>
      </c>
      <c r="D260">
        <v>3.25</v>
      </c>
    </row>
    <row r="261" spans="1:4" x14ac:dyDescent="0.45">
      <c r="A261" t="s">
        <v>58</v>
      </c>
      <c r="B261">
        <v>2004</v>
      </c>
      <c r="C261" t="s">
        <v>75</v>
      </c>
      <c r="D261">
        <v>0.75</v>
      </c>
    </row>
    <row r="262" spans="1:4" x14ac:dyDescent="0.45">
      <c r="A262" t="s">
        <v>91</v>
      </c>
      <c r="B262">
        <v>2004</v>
      </c>
      <c r="C262" t="s">
        <v>75</v>
      </c>
      <c r="D262">
        <v>6.46</v>
      </c>
    </row>
    <row r="263" spans="1:4" x14ac:dyDescent="0.45">
      <c r="A263" t="s">
        <v>32</v>
      </c>
      <c r="B263">
        <v>2005</v>
      </c>
      <c r="C263" t="s">
        <v>75</v>
      </c>
      <c r="D263">
        <v>7.63</v>
      </c>
    </row>
    <row r="264" spans="1:4" x14ac:dyDescent="0.45">
      <c r="A264" t="s">
        <v>34</v>
      </c>
      <c r="B264">
        <v>2005</v>
      </c>
      <c r="C264" t="s">
        <v>75</v>
      </c>
      <c r="D264">
        <v>334.63</v>
      </c>
    </row>
    <row r="265" spans="1:4" x14ac:dyDescent="0.45">
      <c r="A265" t="s">
        <v>36</v>
      </c>
      <c r="B265">
        <v>2005</v>
      </c>
      <c r="C265" t="s">
        <v>75</v>
      </c>
      <c r="D265">
        <v>359.84</v>
      </c>
    </row>
    <row r="266" spans="1:4" x14ac:dyDescent="0.45">
      <c r="A266" t="s">
        <v>56</v>
      </c>
      <c r="B266">
        <v>2005</v>
      </c>
      <c r="C266" t="s">
        <v>75</v>
      </c>
      <c r="D266">
        <v>77.540000000000006</v>
      </c>
    </row>
    <row r="267" spans="1:4" x14ac:dyDescent="0.45">
      <c r="A267" t="s">
        <v>57</v>
      </c>
      <c r="B267">
        <v>2005</v>
      </c>
      <c r="C267" t="s">
        <v>75</v>
      </c>
      <c r="D267">
        <v>99.99</v>
      </c>
    </row>
    <row r="268" spans="1:4" x14ac:dyDescent="0.45">
      <c r="A268" t="s">
        <v>38</v>
      </c>
      <c r="B268">
        <v>2005</v>
      </c>
      <c r="C268" t="s">
        <v>75</v>
      </c>
      <c r="D268">
        <v>60.85</v>
      </c>
    </row>
    <row r="269" spans="1:4" x14ac:dyDescent="0.45">
      <c r="A269" t="s">
        <v>32</v>
      </c>
      <c r="B269">
        <v>2005</v>
      </c>
      <c r="C269" t="s">
        <v>75</v>
      </c>
      <c r="D269">
        <v>3.37</v>
      </c>
    </row>
    <row r="270" spans="1:4" x14ac:dyDescent="0.45">
      <c r="A270" t="s">
        <v>58</v>
      </c>
      <c r="B270">
        <v>2005</v>
      </c>
      <c r="C270" t="s">
        <v>75</v>
      </c>
      <c r="D270">
        <v>0.89</v>
      </c>
    </row>
    <row r="271" spans="1:4" x14ac:dyDescent="0.45">
      <c r="A271" t="s">
        <v>91</v>
      </c>
      <c r="B271">
        <v>2005</v>
      </c>
      <c r="C271" t="s">
        <v>75</v>
      </c>
      <c r="D271">
        <v>8.7100000000000009</v>
      </c>
    </row>
    <row r="272" spans="1:4" x14ac:dyDescent="0.45">
      <c r="A272" t="s">
        <v>32</v>
      </c>
      <c r="B272">
        <v>2006</v>
      </c>
      <c r="C272" t="s">
        <v>75</v>
      </c>
      <c r="D272">
        <v>7.91</v>
      </c>
    </row>
    <row r="273" spans="1:4" x14ac:dyDescent="0.45">
      <c r="A273" t="s">
        <v>34</v>
      </c>
      <c r="B273">
        <v>2006</v>
      </c>
      <c r="C273" t="s">
        <v>75</v>
      </c>
      <c r="D273">
        <v>334.94</v>
      </c>
    </row>
    <row r="274" spans="1:4" x14ac:dyDescent="0.45">
      <c r="A274" t="s">
        <v>36</v>
      </c>
      <c r="B274">
        <v>2006</v>
      </c>
      <c r="C274" t="s">
        <v>75</v>
      </c>
      <c r="D274">
        <v>371.13</v>
      </c>
    </row>
    <row r="275" spans="1:4" x14ac:dyDescent="0.45">
      <c r="A275" t="s">
        <v>56</v>
      </c>
      <c r="B275">
        <v>2006</v>
      </c>
      <c r="C275" t="s">
        <v>75</v>
      </c>
      <c r="D275">
        <v>77.819999999999993</v>
      </c>
    </row>
    <row r="276" spans="1:4" x14ac:dyDescent="0.45">
      <c r="A276" t="s">
        <v>57</v>
      </c>
      <c r="B276">
        <v>2006</v>
      </c>
      <c r="C276" t="s">
        <v>75</v>
      </c>
      <c r="D276">
        <v>100.33</v>
      </c>
    </row>
    <row r="277" spans="1:4" x14ac:dyDescent="0.45">
      <c r="A277" t="s">
        <v>38</v>
      </c>
      <c r="B277">
        <v>2006</v>
      </c>
      <c r="C277" t="s">
        <v>75</v>
      </c>
      <c r="D277">
        <v>60.32</v>
      </c>
    </row>
    <row r="278" spans="1:4" x14ac:dyDescent="0.45">
      <c r="A278" t="s">
        <v>32</v>
      </c>
      <c r="B278">
        <v>2006</v>
      </c>
      <c r="C278" t="s">
        <v>75</v>
      </c>
      <c r="D278">
        <v>3.37</v>
      </c>
    </row>
    <row r="279" spans="1:4" x14ac:dyDescent="0.45">
      <c r="A279" t="s">
        <v>58</v>
      </c>
      <c r="B279">
        <v>2006</v>
      </c>
      <c r="C279" t="s">
        <v>75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75</v>
      </c>
      <c r="D280">
        <v>11.33</v>
      </c>
    </row>
    <row r="281" spans="1:4" x14ac:dyDescent="0.45">
      <c r="A281" t="s">
        <v>32</v>
      </c>
      <c r="B281">
        <v>2007</v>
      </c>
      <c r="C281" t="s">
        <v>75</v>
      </c>
      <c r="D281">
        <v>8.6199999999999992</v>
      </c>
    </row>
    <row r="282" spans="1:4" x14ac:dyDescent="0.45">
      <c r="A282" t="s">
        <v>34</v>
      </c>
      <c r="B282">
        <v>2007</v>
      </c>
      <c r="C282" t="s">
        <v>75</v>
      </c>
      <c r="D282">
        <v>333.64</v>
      </c>
    </row>
    <row r="283" spans="1:4" x14ac:dyDescent="0.45">
      <c r="A283" t="s">
        <v>36</v>
      </c>
      <c r="B283">
        <v>2007</v>
      </c>
      <c r="C283" t="s">
        <v>75</v>
      </c>
      <c r="D283">
        <v>378.97</v>
      </c>
    </row>
    <row r="284" spans="1:4" x14ac:dyDescent="0.45">
      <c r="A284" t="s">
        <v>56</v>
      </c>
      <c r="B284">
        <v>2007</v>
      </c>
      <c r="C284" t="s">
        <v>75</v>
      </c>
      <c r="D284">
        <v>77.88</v>
      </c>
    </row>
    <row r="285" spans="1:4" x14ac:dyDescent="0.45">
      <c r="A285" t="s">
        <v>57</v>
      </c>
      <c r="B285">
        <v>2007</v>
      </c>
      <c r="C285" t="s">
        <v>75</v>
      </c>
      <c r="D285">
        <v>100.27</v>
      </c>
    </row>
    <row r="286" spans="1:4" x14ac:dyDescent="0.45">
      <c r="A286" t="s">
        <v>38</v>
      </c>
      <c r="B286">
        <v>2007</v>
      </c>
      <c r="C286" t="s">
        <v>75</v>
      </c>
      <c r="D286">
        <v>58.35</v>
      </c>
    </row>
    <row r="287" spans="1:4" x14ac:dyDescent="0.45">
      <c r="A287" t="s">
        <v>32</v>
      </c>
      <c r="B287">
        <v>2007</v>
      </c>
      <c r="C287" t="s">
        <v>75</v>
      </c>
      <c r="D287">
        <v>3.32</v>
      </c>
    </row>
    <row r="288" spans="1:4" x14ac:dyDescent="0.45">
      <c r="A288" t="s">
        <v>58</v>
      </c>
      <c r="B288">
        <v>2007</v>
      </c>
      <c r="C288" t="s">
        <v>75</v>
      </c>
      <c r="D288">
        <v>1.44</v>
      </c>
    </row>
    <row r="289" spans="1:4" x14ac:dyDescent="0.45">
      <c r="A289" t="s">
        <v>91</v>
      </c>
      <c r="B289">
        <v>2007</v>
      </c>
      <c r="C289" t="s">
        <v>75</v>
      </c>
      <c r="D289">
        <v>16.52</v>
      </c>
    </row>
    <row r="290" spans="1:4" x14ac:dyDescent="0.45">
      <c r="A290" t="s">
        <v>32</v>
      </c>
      <c r="B290">
        <v>2008</v>
      </c>
      <c r="C290" t="s">
        <v>75</v>
      </c>
      <c r="D290">
        <v>8.83</v>
      </c>
    </row>
    <row r="291" spans="1:4" x14ac:dyDescent="0.45">
      <c r="A291" t="s">
        <v>34</v>
      </c>
      <c r="B291">
        <v>2008</v>
      </c>
      <c r="C291" t="s">
        <v>75</v>
      </c>
      <c r="D291">
        <v>334.56</v>
      </c>
    </row>
    <row r="292" spans="1:4" x14ac:dyDescent="0.45">
      <c r="A292" t="s">
        <v>36</v>
      </c>
      <c r="B292">
        <v>2008</v>
      </c>
      <c r="C292" t="s">
        <v>75</v>
      </c>
      <c r="D292">
        <v>388.45</v>
      </c>
    </row>
    <row r="293" spans="1:4" x14ac:dyDescent="0.45">
      <c r="A293" t="s">
        <v>56</v>
      </c>
      <c r="B293">
        <v>2008</v>
      </c>
      <c r="C293" t="s">
        <v>75</v>
      </c>
      <c r="D293">
        <v>77.930000000000007</v>
      </c>
    </row>
    <row r="294" spans="1:4" x14ac:dyDescent="0.45">
      <c r="A294" t="s">
        <v>57</v>
      </c>
      <c r="B294">
        <v>2008</v>
      </c>
      <c r="C294" t="s">
        <v>75</v>
      </c>
      <c r="D294">
        <v>100.75</v>
      </c>
    </row>
    <row r="295" spans="1:4" x14ac:dyDescent="0.45">
      <c r="A295" t="s">
        <v>38</v>
      </c>
      <c r="B295">
        <v>2008</v>
      </c>
      <c r="C295" t="s">
        <v>75</v>
      </c>
      <c r="D295">
        <v>59.77</v>
      </c>
    </row>
    <row r="296" spans="1:4" x14ac:dyDescent="0.45">
      <c r="A296" t="s">
        <v>32</v>
      </c>
      <c r="B296">
        <v>2008</v>
      </c>
      <c r="C296" t="s">
        <v>75</v>
      </c>
      <c r="D296">
        <v>3.34</v>
      </c>
    </row>
    <row r="297" spans="1:4" x14ac:dyDescent="0.45">
      <c r="A297" t="s">
        <v>58</v>
      </c>
      <c r="B297">
        <v>2008</v>
      </c>
      <c r="C297" t="s">
        <v>75</v>
      </c>
      <c r="D297">
        <v>1.62</v>
      </c>
    </row>
    <row r="298" spans="1:4" x14ac:dyDescent="0.45">
      <c r="A298" t="s">
        <v>91</v>
      </c>
      <c r="B298">
        <v>2008</v>
      </c>
      <c r="C298" t="s">
        <v>75</v>
      </c>
      <c r="D298">
        <v>24.65</v>
      </c>
    </row>
    <row r="299" spans="1:4" x14ac:dyDescent="0.45">
      <c r="A299" t="s">
        <v>32</v>
      </c>
      <c r="B299">
        <v>2009</v>
      </c>
      <c r="C299" t="s">
        <v>75</v>
      </c>
      <c r="D299">
        <v>9.0299999999999994</v>
      </c>
    </row>
    <row r="300" spans="1:4" x14ac:dyDescent="0.45">
      <c r="A300" t="s">
        <v>34</v>
      </c>
      <c r="B300">
        <v>2009</v>
      </c>
      <c r="C300" t="s">
        <v>75</v>
      </c>
      <c r="D300">
        <v>335.94</v>
      </c>
    </row>
    <row r="301" spans="1:4" x14ac:dyDescent="0.45">
      <c r="A301" t="s">
        <v>36</v>
      </c>
      <c r="B301">
        <v>2009</v>
      </c>
      <c r="C301" t="s">
        <v>75</v>
      </c>
      <c r="D301">
        <v>399.05</v>
      </c>
    </row>
    <row r="302" spans="1:4" x14ac:dyDescent="0.45">
      <c r="A302" t="s">
        <v>56</v>
      </c>
      <c r="B302">
        <v>2009</v>
      </c>
      <c r="C302" t="s">
        <v>75</v>
      </c>
      <c r="D302">
        <v>78.52</v>
      </c>
    </row>
    <row r="303" spans="1:4" x14ac:dyDescent="0.45">
      <c r="A303" t="s">
        <v>57</v>
      </c>
      <c r="B303">
        <v>2009</v>
      </c>
      <c r="C303" t="s">
        <v>75</v>
      </c>
      <c r="D303">
        <v>101</v>
      </c>
    </row>
    <row r="304" spans="1:4" x14ac:dyDescent="0.45">
      <c r="A304" t="s">
        <v>38</v>
      </c>
      <c r="B304">
        <v>2009</v>
      </c>
      <c r="C304" t="s">
        <v>75</v>
      </c>
      <c r="D304">
        <v>59.12</v>
      </c>
    </row>
    <row r="305" spans="1:4" x14ac:dyDescent="0.45">
      <c r="A305" t="s">
        <v>32</v>
      </c>
      <c r="B305">
        <v>2009</v>
      </c>
      <c r="C305" t="s">
        <v>75</v>
      </c>
      <c r="D305">
        <v>3.5</v>
      </c>
    </row>
    <row r="306" spans="1:4" x14ac:dyDescent="0.45">
      <c r="A306" t="s">
        <v>58</v>
      </c>
      <c r="B306">
        <v>2009</v>
      </c>
      <c r="C306" t="s">
        <v>75</v>
      </c>
      <c r="D306">
        <v>2.09</v>
      </c>
    </row>
    <row r="307" spans="1:4" x14ac:dyDescent="0.45">
      <c r="A307" t="s">
        <v>91</v>
      </c>
      <c r="B307">
        <v>2009</v>
      </c>
      <c r="C307" t="s">
        <v>75</v>
      </c>
      <c r="D307">
        <v>34.299999999999997</v>
      </c>
    </row>
    <row r="308" spans="1:4" x14ac:dyDescent="0.45">
      <c r="A308" t="s">
        <v>32</v>
      </c>
      <c r="B308">
        <v>2010</v>
      </c>
      <c r="C308" t="s">
        <v>75</v>
      </c>
      <c r="D308">
        <v>9.19</v>
      </c>
    </row>
    <row r="309" spans="1:4" x14ac:dyDescent="0.45">
      <c r="A309" t="s">
        <v>34</v>
      </c>
      <c r="B309">
        <v>2010</v>
      </c>
      <c r="C309" t="s">
        <v>75</v>
      </c>
      <c r="D309">
        <v>339.36</v>
      </c>
    </row>
    <row r="310" spans="1:4" x14ac:dyDescent="0.45">
      <c r="A310" t="s">
        <v>36</v>
      </c>
      <c r="B310">
        <v>2010</v>
      </c>
      <c r="C310" t="s">
        <v>75</v>
      </c>
      <c r="D310">
        <v>407.07</v>
      </c>
    </row>
    <row r="311" spans="1:4" x14ac:dyDescent="0.45">
      <c r="A311" t="s">
        <v>56</v>
      </c>
      <c r="B311">
        <v>2010</v>
      </c>
      <c r="C311" t="s">
        <v>75</v>
      </c>
      <c r="D311">
        <v>82.61</v>
      </c>
    </row>
    <row r="312" spans="1:4" x14ac:dyDescent="0.45">
      <c r="A312" t="s">
        <v>57</v>
      </c>
      <c r="B312">
        <v>2010</v>
      </c>
      <c r="C312" t="s">
        <v>75</v>
      </c>
      <c r="D312">
        <v>101.17</v>
      </c>
    </row>
    <row r="313" spans="1:4" x14ac:dyDescent="0.45">
      <c r="A313" t="s">
        <v>38</v>
      </c>
      <c r="B313">
        <v>2010</v>
      </c>
      <c r="C313" t="s">
        <v>75</v>
      </c>
      <c r="D313">
        <v>59.53</v>
      </c>
    </row>
    <row r="314" spans="1:4" x14ac:dyDescent="0.45">
      <c r="A314" t="s">
        <v>32</v>
      </c>
      <c r="B314">
        <v>2010</v>
      </c>
      <c r="C314" t="s">
        <v>75</v>
      </c>
      <c r="D314">
        <v>3.51</v>
      </c>
    </row>
    <row r="315" spans="1:4" x14ac:dyDescent="0.45">
      <c r="A315" t="s">
        <v>58</v>
      </c>
      <c r="B315">
        <v>2010</v>
      </c>
      <c r="C315" t="s">
        <v>75</v>
      </c>
      <c r="D315">
        <v>3.38</v>
      </c>
    </row>
    <row r="316" spans="1:4" x14ac:dyDescent="0.45">
      <c r="A316" t="s">
        <v>91</v>
      </c>
      <c r="B316">
        <v>2010</v>
      </c>
      <c r="C316" t="s">
        <v>75</v>
      </c>
      <c r="D316">
        <v>39.35</v>
      </c>
    </row>
    <row r="317" spans="1:4" x14ac:dyDescent="0.45">
      <c r="A317" t="s">
        <v>32</v>
      </c>
      <c r="B317">
        <v>2011</v>
      </c>
      <c r="C317" t="s">
        <v>75</v>
      </c>
      <c r="D317">
        <v>9.3699999999999992</v>
      </c>
    </row>
    <row r="318" spans="1:4" x14ac:dyDescent="0.45">
      <c r="A318" t="s">
        <v>34</v>
      </c>
      <c r="B318">
        <v>2011</v>
      </c>
      <c r="C318" t="s">
        <v>75</v>
      </c>
      <c r="D318">
        <v>340.2</v>
      </c>
    </row>
    <row r="319" spans="1:4" x14ac:dyDescent="0.45">
      <c r="A319" t="s">
        <v>36</v>
      </c>
      <c r="B319">
        <v>2011</v>
      </c>
      <c r="C319" t="s">
        <v>75</v>
      </c>
      <c r="D319">
        <v>418.3</v>
      </c>
    </row>
    <row r="320" spans="1:4" x14ac:dyDescent="0.45">
      <c r="A320" t="s">
        <v>56</v>
      </c>
      <c r="B320">
        <v>2011</v>
      </c>
      <c r="C320" t="s">
        <v>75</v>
      </c>
      <c r="D320">
        <v>82.45</v>
      </c>
    </row>
    <row r="321" spans="1:4" x14ac:dyDescent="0.45">
      <c r="A321" t="s">
        <v>57</v>
      </c>
      <c r="B321">
        <v>2011</v>
      </c>
      <c r="C321" t="s">
        <v>75</v>
      </c>
      <c r="D321">
        <v>101.42</v>
      </c>
    </row>
    <row r="322" spans="1:4" x14ac:dyDescent="0.45">
      <c r="A322" t="s">
        <v>38</v>
      </c>
      <c r="B322">
        <v>2011</v>
      </c>
      <c r="C322" t="s">
        <v>75</v>
      </c>
      <c r="D322">
        <v>53.93</v>
      </c>
    </row>
    <row r="323" spans="1:4" x14ac:dyDescent="0.45">
      <c r="A323" t="s">
        <v>32</v>
      </c>
      <c r="B323">
        <v>2011</v>
      </c>
      <c r="C323" t="s">
        <v>75</v>
      </c>
      <c r="D323">
        <v>3.53</v>
      </c>
    </row>
    <row r="324" spans="1:4" x14ac:dyDescent="0.45">
      <c r="A324" t="s">
        <v>58</v>
      </c>
      <c r="B324">
        <v>2011</v>
      </c>
      <c r="C324" t="s">
        <v>75</v>
      </c>
      <c r="D324">
        <v>5.64</v>
      </c>
    </row>
    <row r="325" spans="1:4" x14ac:dyDescent="0.45">
      <c r="A325" t="s">
        <v>91</v>
      </c>
      <c r="B325">
        <v>2011</v>
      </c>
      <c r="C325" t="s">
        <v>75</v>
      </c>
      <c r="D325">
        <v>45.79</v>
      </c>
    </row>
    <row r="326" spans="1:4" x14ac:dyDescent="0.45">
      <c r="A326" t="s">
        <v>32</v>
      </c>
      <c r="B326">
        <v>2012</v>
      </c>
      <c r="C326" t="s">
        <v>75</v>
      </c>
      <c r="D326">
        <v>10.119999999999999</v>
      </c>
    </row>
    <row r="327" spans="1:4" x14ac:dyDescent="0.45">
      <c r="A327" t="s">
        <v>34</v>
      </c>
      <c r="B327">
        <v>2012</v>
      </c>
      <c r="C327" t="s">
        <v>75</v>
      </c>
      <c r="D327">
        <v>332.88</v>
      </c>
    </row>
    <row r="328" spans="1:4" x14ac:dyDescent="0.45">
      <c r="A328" t="s">
        <v>36</v>
      </c>
      <c r="B328">
        <v>2012</v>
      </c>
      <c r="C328" t="s">
        <v>75</v>
      </c>
      <c r="D328">
        <v>429.01</v>
      </c>
    </row>
    <row r="329" spans="1:4" x14ac:dyDescent="0.45">
      <c r="A329" t="s">
        <v>56</v>
      </c>
      <c r="B329">
        <v>2012</v>
      </c>
      <c r="C329" t="s">
        <v>75</v>
      </c>
      <c r="D329">
        <v>82.56</v>
      </c>
    </row>
    <row r="330" spans="1:4" x14ac:dyDescent="0.45">
      <c r="A330" t="s">
        <v>57</v>
      </c>
      <c r="B330">
        <v>2012</v>
      </c>
      <c r="C330" t="s">
        <v>75</v>
      </c>
      <c r="D330">
        <v>101.89</v>
      </c>
    </row>
    <row r="331" spans="1:4" x14ac:dyDescent="0.45">
      <c r="A331" t="s">
        <v>38</v>
      </c>
      <c r="B331">
        <v>2012</v>
      </c>
      <c r="C331" t="s">
        <v>75</v>
      </c>
      <c r="D331">
        <v>49.83</v>
      </c>
    </row>
    <row r="332" spans="1:4" x14ac:dyDescent="0.45">
      <c r="A332" t="s">
        <v>32</v>
      </c>
      <c r="B332">
        <v>2012</v>
      </c>
      <c r="C332" t="s">
        <v>75</v>
      </c>
      <c r="D332">
        <v>3.69</v>
      </c>
    </row>
    <row r="333" spans="1:4" x14ac:dyDescent="0.45">
      <c r="A333" t="s">
        <v>58</v>
      </c>
      <c r="B333">
        <v>2012</v>
      </c>
      <c r="C333" t="s">
        <v>75</v>
      </c>
      <c r="D333">
        <v>8.61</v>
      </c>
    </row>
    <row r="334" spans="1:4" x14ac:dyDescent="0.45">
      <c r="A334" t="s">
        <v>91</v>
      </c>
      <c r="B334">
        <v>2012</v>
      </c>
      <c r="C334" t="s">
        <v>75</v>
      </c>
      <c r="D334">
        <v>59.45</v>
      </c>
    </row>
    <row r="335" spans="1:4" x14ac:dyDescent="0.45">
      <c r="A335" t="s">
        <v>32</v>
      </c>
      <c r="B335">
        <v>2013</v>
      </c>
      <c r="C335" t="s">
        <v>75</v>
      </c>
      <c r="D335">
        <v>11.17</v>
      </c>
    </row>
    <row r="336" spans="1:4" x14ac:dyDescent="0.45">
      <c r="A336" t="s">
        <v>34</v>
      </c>
      <c r="B336">
        <v>2013</v>
      </c>
      <c r="C336" t="s">
        <v>75</v>
      </c>
      <c r="D336">
        <v>327.89</v>
      </c>
    </row>
    <row r="337" spans="1:4" x14ac:dyDescent="0.45">
      <c r="A337" t="s">
        <v>36</v>
      </c>
      <c r="B337">
        <v>2013</v>
      </c>
      <c r="C337" t="s">
        <v>75</v>
      </c>
      <c r="D337">
        <v>437.26</v>
      </c>
    </row>
    <row r="338" spans="1:4" x14ac:dyDescent="0.45">
      <c r="A338" t="s">
        <v>56</v>
      </c>
      <c r="B338">
        <v>2013</v>
      </c>
      <c r="C338" t="s">
        <v>75</v>
      </c>
      <c r="D338">
        <v>83.01</v>
      </c>
    </row>
    <row r="339" spans="1:4" x14ac:dyDescent="0.45">
      <c r="A339" t="s">
        <v>57</v>
      </c>
      <c r="B339">
        <v>2013</v>
      </c>
      <c r="C339" t="s">
        <v>75</v>
      </c>
      <c r="D339">
        <v>99.24</v>
      </c>
    </row>
    <row r="340" spans="1:4" x14ac:dyDescent="0.45">
      <c r="A340" t="s">
        <v>38</v>
      </c>
      <c r="B340">
        <v>2013</v>
      </c>
      <c r="C340" t="s">
        <v>75</v>
      </c>
      <c r="D340">
        <v>46.76</v>
      </c>
    </row>
    <row r="341" spans="1:4" x14ac:dyDescent="0.45">
      <c r="A341" t="s">
        <v>32</v>
      </c>
      <c r="B341">
        <v>2013</v>
      </c>
      <c r="C341" t="s">
        <v>75</v>
      </c>
      <c r="D341">
        <v>3.72</v>
      </c>
    </row>
    <row r="342" spans="1:4" x14ac:dyDescent="0.45">
      <c r="A342" t="s">
        <v>58</v>
      </c>
      <c r="B342">
        <v>2013</v>
      </c>
      <c r="C342" t="s">
        <v>75</v>
      </c>
      <c r="D342">
        <v>13.25</v>
      </c>
    </row>
    <row r="343" spans="1:4" x14ac:dyDescent="0.45">
      <c r="A343" t="s">
        <v>91</v>
      </c>
      <c r="B343">
        <v>2013</v>
      </c>
      <c r="C343" t="s">
        <v>75</v>
      </c>
      <c r="D343">
        <v>60.2</v>
      </c>
    </row>
    <row r="344" spans="1:4" x14ac:dyDescent="0.45">
      <c r="A344" t="s">
        <v>32</v>
      </c>
      <c r="B344">
        <v>2014</v>
      </c>
      <c r="C344" t="s">
        <v>75</v>
      </c>
      <c r="D344">
        <v>11.3</v>
      </c>
    </row>
    <row r="345" spans="1:4" x14ac:dyDescent="0.45">
      <c r="A345" t="s">
        <v>34</v>
      </c>
      <c r="B345">
        <v>2014</v>
      </c>
      <c r="C345" t="s">
        <v>75</v>
      </c>
      <c r="D345">
        <v>323.38</v>
      </c>
    </row>
    <row r="346" spans="1:4" x14ac:dyDescent="0.45">
      <c r="A346" t="s">
        <v>36</v>
      </c>
      <c r="B346">
        <v>2014</v>
      </c>
      <c r="C346" t="s">
        <v>75</v>
      </c>
      <c r="D346">
        <v>448.9</v>
      </c>
    </row>
    <row r="347" spans="1:4" x14ac:dyDescent="0.45">
      <c r="A347" t="s">
        <v>56</v>
      </c>
      <c r="B347">
        <v>2014</v>
      </c>
      <c r="C347" t="s">
        <v>75</v>
      </c>
      <c r="D347">
        <v>83.49</v>
      </c>
    </row>
    <row r="348" spans="1:4" x14ac:dyDescent="0.45">
      <c r="A348" t="s">
        <v>57</v>
      </c>
      <c r="B348">
        <v>2014</v>
      </c>
      <c r="C348" t="s">
        <v>75</v>
      </c>
      <c r="D348">
        <v>98.57</v>
      </c>
    </row>
    <row r="349" spans="1:4" x14ac:dyDescent="0.45">
      <c r="A349" t="s">
        <v>38</v>
      </c>
      <c r="B349">
        <v>2014</v>
      </c>
      <c r="C349" t="s">
        <v>75</v>
      </c>
      <c r="D349">
        <v>44.84</v>
      </c>
    </row>
    <row r="350" spans="1:4" x14ac:dyDescent="0.45">
      <c r="A350" t="s">
        <v>32</v>
      </c>
      <c r="B350">
        <v>2014</v>
      </c>
      <c r="C350" t="s">
        <v>75</v>
      </c>
      <c r="D350">
        <v>3.63</v>
      </c>
    </row>
    <row r="351" spans="1:4" x14ac:dyDescent="0.45">
      <c r="A351" t="s">
        <v>58</v>
      </c>
      <c r="B351">
        <v>2014</v>
      </c>
      <c r="C351" t="s">
        <v>75</v>
      </c>
      <c r="D351">
        <v>18.11</v>
      </c>
    </row>
    <row r="352" spans="1:4" x14ac:dyDescent="0.45">
      <c r="A352" t="s">
        <v>91</v>
      </c>
      <c r="B352">
        <v>2014</v>
      </c>
      <c r="C352" t="s">
        <v>75</v>
      </c>
      <c r="D352">
        <v>64.430000000000007</v>
      </c>
    </row>
    <row r="353" spans="1:4" x14ac:dyDescent="0.45">
      <c r="A353" t="s">
        <v>32</v>
      </c>
      <c r="B353">
        <v>2015</v>
      </c>
      <c r="C353" t="s">
        <v>75</v>
      </c>
      <c r="D353">
        <v>11.85</v>
      </c>
    </row>
    <row r="354" spans="1:4" x14ac:dyDescent="0.45">
      <c r="A354" t="s">
        <v>34</v>
      </c>
      <c r="B354">
        <v>2015</v>
      </c>
      <c r="C354" t="s">
        <v>75</v>
      </c>
      <c r="D354">
        <v>301.70999999999998</v>
      </c>
    </row>
    <row r="355" spans="1:4" x14ac:dyDescent="0.45">
      <c r="A355" t="s">
        <v>36</v>
      </c>
      <c r="B355">
        <v>2015</v>
      </c>
      <c r="C355" t="s">
        <v>75</v>
      </c>
      <c r="D355">
        <v>460.37</v>
      </c>
    </row>
    <row r="356" spans="1:4" x14ac:dyDescent="0.45">
      <c r="A356" t="s">
        <v>56</v>
      </c>
      <c r="B356">
        <v>2015</v>
      </c>
      <c r="C356" t="s">
        <v>75</v>
      </c>
      <c r="D356">
        <v>83.5</v>
      </c>
    </row>
    <row r="357" spans="1:4" x14ac:dyDescent="0.45">
      <c r="A357" t="s">
        <v>57</v>
      </c>
      <c r="B357">
        <v>2015</v>
      </c>
      <c r="C357" t="s">
        <v>75</v>
      </c>
      <c r="D357">
        <v>98.67</v>
      </c>
    </row>
    <row r="358" spans="1:4" x14ac:dyDescent="0.45">
      <c r="A358" t="s">
        <v>38</v>
      </c>
      <c r="B358">
        <v>2015</v>
      </c>
      <c r="C358" t="s">
        <v>75</v>
      </c>
      <c r="D358">
        <v>39.42</v>
      </c>
    </row>
    <row r="359" spans="1:4" x14ac:dyDescent="0.45">
      <c r="A359" t="s">
        <v>32</v>
      </c>
      <c r="B359">
        <v>2015</v>
      </c>
      <c r="C359" t="s">
        <v>75</v>
      </c>
      <c r="D359">
        <v>3.67</v>
      </c>
    </row>
    <row r="360" spans="1:4" x14ac:dyDescent="0.45">
      <c r="A360" t="s">
        <v>58</v>
      </c>
      <c r="B360">
        <v>2015</v>
      </c>
      <c r="C360" t="s">
        <v>75</v>
      </c>
      <c r="D360">
        <v>24.24</v>
      </c>
    </row>
    <row r="361" spans="1:4" x14ac:dyDescent="0.45">
      <c r="A361" t="s">
        <v>91</v>
      </c>
      <c r="B361">
        <v>2015</v>
      </c>
      <c r="C361" t="s">
        <v>75</v>
      </c>
      <c r="D361">
        <v>72.77</v>
      </c>
    </row>
    <row r="362" spans="1:4" x14ac:dyDescent="0.45">
      <c r="A362" t="s">
        <v>32</v>
      </c>
      <c r="B362">
        <v>2016</v>
      </c>
      <c r="C362" t="s">
        <v>75</v>
      </c>
      <c r="D362">
        <v>11.78</v>
      </c>
    </row>
    <row r="363" spans="1:4" x14ac:dyDescent="0.45">
      <c r="A363" t="s">
        <v>34</v>
      </c>
      <c r="B363">
        <v>2016</v>
      </c>
      <c r="C363" t="s">
        <v>75</v>
      </c>
      <c r="D363">
        <v>285.75</v>
      </c>
    </row>
    <row r="364" spans="1:4" x14ac:dyDescent="0.45">
      <c r="A364" t="s">
        <v>36</v>
      </c>
      <c r="B364">
        <v>2016</v>
      </c>
      <c r="C364" t="s">
        <v>75</v>
      </c>
      <c r="D364">
        <v>473.01</v>
      </c>
    </row>
    <row r="365" spans="1:4" x14ac:dyDescent="0.45">
      <c r="A365" t="s">
        <v>56</v>
      </c>
      <c r="B365">
        <v>2016</v>
      </c>
      <c r="C365" t="s">
        <v>75</v>
      </c>
      <c r="D365">
        <v>83.82</v>
      </c>
    </row>
    <row r="366" spans="1:4" x14ac:dyDescent="0.45">
      <c r="A366" t="s">
        <v>57</v>
      </c>
      <c r="B366">
        <v>2016</v>
      </c>
      <c r="C366" t="s">
        <v>75</v>
      </c>
      <c r="D366">
        <v>99.56</v>
      </c>
    </row>
    <row r="367" spans="1:4" x14ac:dyDescent="0.45">
      <c r="A367" t="s">
        <v>38</v>
      </c>
      <c r="B367">
        <v>2016</v>
      </c>
      <c r="C367" t="s">
        <v>75</v>
      </c>
      <c r="D367">
        <v>36.92</v>
      </c>
    </row>
    <row r="368" spans="1:4" x14ac:dyDescent="0.45">
      <c r="A368" t="s">
        <v>32</v>
      </c>
      <c r="B368">
        <v>2016</v>
      </c>
      <c r="C368" t="s">
        <v>75</v>
      </c>
      <c r="D368">
        <v>3.64</v>
      </c>
    </row>
    <row r="369" spans="1:4" x14ac:dyDescent="0.45">
      <c r="A369" t="s">
        <v>58</v>
      </c>
      <c r="B369">
        <v>2016</v>
      </c>
      <c r="C369" t="s">
        <v>75</v>
      </c>
      <c r="D369">
        <v>35.43</v>
      </c>
    </row>
    <row r="370" spans="1:4" x14ac:dyDescent="0.45">
      <c r="A370" t="s">
        <v>91</v>
      </c>
      <c r="B370">
        <v>2016</v>
      </c>
      <c r="C370" t="s">
        <v>75</v>
      </c>
      <c r="D370">
        <v>81.5</v>
      </c>
    </row>
    <row r="371" spans="1:4" x14ac:dyDescent="0.45">
      <c r="A371" t="s">
        <v>32</v>
      </c>
      <c r="B371">
        <v>2017</v>
      </c>
      <c r="C371" t="s">
        <v>75</v>
      </c>
      <c r="D371">
        <v>11.72</v>
      </c>
    </row>
    <row r="372" spans="1:4" x14ac:dyDescent="0.45">
      <c r="A372" t="s">
        <v>34</v>
      </c>
      <c r="B372">
        <v>2017</v>
      </c>
      <c r="C372" t="s">
        <v>75</v>
      </c>
      <c r="D372">
        <v>276.88</v>
      </c>
    </row>
    <row r="373" spans="1:4" x14ac:dyDescent="0.45">
      <c r="A373" t="s">
        <v>36</v>
      </c>
      <c r="B373">
        <v>2017</v>
      </c>
      <c r="C373" t="s">
        <v>75</v>
      </c>
      <c r="D373">
        <v>484.89</v>
      </c>
    </row>
    <row r="374" spans="1:4" x14ac:dyDescent="0.45">
      <c r="A374" t="s">
        <v>56</v>
      </c>
      <c r="B374">
        <v>2017</v>
      </c>
      <c r="C374" t="s">
        <v>75</v>
      </c>
      <c r="D374">
        <v>83.79</v>
      </c>
    </row>
    <row r="375" spans="1:4" x14ac:dyDescent="0.45">
      <c r="A375" t="s">
        <v>57</v>
      </c>
      <c r="B375">
        <v>2017</v>
      </c>
      <c r="C375" t="s">
        <v>75</v>
      </c>
      <c r="D375">
        <v>99.63</v>
      </c>
    </row>
    <row r="376" spans="1:4" x14ac:dyDescent="0.45">
      <c r="A376" t="s">
        <v>38</v>
      </c>
      <c r="B376">
        <v>2017</v>
      </c>
      <c r="C376" t="s">
        <v>75</v>
      </c>
      <c r="D376">
        <v>36.6</v>
      </c>
    </row>
    <row r="377" spans="1:4" x14ac:dyDescent="0.45">
      <c r="A377" t="s">
        <v>32</v>
      </c>
      <c r="B377">
        <v>2017</v>
      </c>
      <c r="C377" t="s">
        <v>75</v>
      </c>
      <c r="D377">
        <v>3.61</v>
      </c>
    </row>
    <row r="378" spans="1:4" x14ac:dyDescent="0.45">
      <c r="A378" t="s">
        <v>58</v>
      </c>
      <c r="B378">
        <v>2017</v>
      </c>
      <c r="C378" t="s">
        <v>75</v>
      </c>
      <c r="D378">
        <v>43.77</v>
      </c>
    </row>
    <row r="379" spans="1:4" x14ac:dyDescent="0.45">
      <c r="A379" t="s">
        <v>91</v>
      </c>
      <c r="B379">
        <v>2017</v>
      </c>
      <c r="C379" t="s">
        <v>75</v>
      </c>
      <c r="D379">
        <v>87.83</v>
      </c>
    </row>
    <row r="380" spans="1:4" x14ac:dyDescent="0.45">
      <c r="A380" t="s">
        <v>32</v>
      </c>
      <c r="B380">
        <v>2018</v>
      </c>
      <c r="C380" t="s">
        <v>75</v>
      </c>
      <c r="D380">
        <v>11.5</v>
      </c>
    </row>
    <row r="381" spans="1:4" x14ac:dyDescent="0.45">
      <c r="A381" t="s">
        <v>34</v>
      </c>
      <c r="B381">
        <v>2018</v>
      </c>
      <c r="C381" t="s">
        <v>75</v>
      </c>
      <c r="D381">
        <v>260.95</v>
      </c>
    </row>
    <row r="382" spans="1:4" x14ac:dyDescent="0.45">
      <c r="A382" t="s">
        <v>36</v>
      </c>
      <c r="B382">
        <v>2018</v>
      </c>
      <c r="C382" t="s">
        <v>75</v>
      </c>
      <c r="D382">
        <v>509.07</v>
      </c>
    </row>
    <row r="383" spans="1:4" x14ac:dyDescent="0.45">
      <c r="A383" t="s">
        <v>56</v>
      </c>
      <c r="B383">
        <v>2018</v>
      </c>
      <c r="C383" t="s">
        <v>75</v>
      </c>
      <c r="D383">
        <v>83.88</v>
      </c>
    </row>
    <row r="384" spans="1:4" x14ac:dyDescent="0.45">
      <c r="A384" t="s">
        <v>57</v>
      </c>
      <c r="B384">
        <v>2018</v>
      </c>
      <c r="C384" t="s">
        <v>75</v>
      </c>
      <c r="D384">
        <v>99.43</v>
      </c>
    </row>
    <row r="385" spans="1:4" x14ac:dyDescent="0.45">
      <c r="A385" t="s">
        <v>38</v>
      </c>
      <c r="B385">
        <v>2018</v>
      </c>
      <c r="C385" t="s">
        <v>75</v>
      </c>
      <c r="D385">
        <v>34.78</v>
      </c>
    </row>
    <row r="386" spans="1:4" x14ac:dyDescent="0.45">
      <c r="A386" t="s">
        <v>32</v>
      </c>
      <c r="B386">
        <v>2018</v>
      </c>
      <c r="C386" t="s">
        <v>75</v>
      </c>
      <c r="D386">
        <v>3.56</v>
      </c>
    </row>
    <row r="387" spans="1:4" x14ac:dyDescent="0.45">
      <c r="A387" t="s">
        <v>58</v>
      </c>
      <c r="B387">
        <v>2018</v>
      </c>
      <c r="C387" t="s">
        <v>75</v>
      </c>
      <c r="D387">
        <v>51.99</v>
      </c>
    </row>
    <row r="388" spans="1:4" x14ac:dyDescent="0.45">
      <c r="A388" t="s">
        <v>91</v>
      </c>
      <c r="B388">
        <v>2018</v>
      </c>
      <c r="C388" t="s">
        <v>75</v>
      </c>
      <c r="D388">
        <v>94.67</v>
      </c>
    </row>
    <row r="389" spans="1:4" x14ac:dyDescent="0.45">
      <c r="A389" t="s">
        <v>32</v>
      </c>
      <c r="B389">
        <v>2019</v>
      </c>
      <c r="C389" t="s">
        <v>75</v>
      </c>
      <c r="D389">
        <v>10.99</v>
      </c>
    </row>
    <row r="390" spans="1:4" x14ac:dyDescent="0.45">
      <c r="A390" t="s">
        <v>34</v>
      </c>
      <c r="B390">
        <v>2019</v>
      </c>
      <c r="C390" t="s">
        <v>75</v>
      </c>
      <c r="D390">
        <v>244.7</v>
      </c>
    </row>
    <row r="391" spans="1:4" x14ac:dyDescent="0.45">
      <c r="A391" t="s">
        <v>36</v>
      </c>
      <c r="B391">
        <v>2019</v>
      </c>
      <c r="C391" t="s">
        <v>75</v>
      </c>
      <c r="D391">
        <v>519.28</v>
      </c>
    </row>
    <row r="392" spans="1:4" x14ac:dyDescent="0.45">
      <c r="A392" t="s">
        <v>56</v>
      </c>
      <c r="B392">
        <v>2019</v>
      </c>
      <c r="C392" t="s">
        <v>75</v>
      </c>
      <c r="D392">
        <v>83.79</v>
      </c>
    </row>
    <row r="393" spans="1:4" x14ac:dyDescent="0.45">
      <c r="A393" t="s">
        <v>57</v>
      </c>
      <c r="B393">
        <v>2019</v>
      </c>
      <c r="C393" t="s">
        <v>75</v>
      </c>
      <c r="D393">
        <v>98.12</v>
      </c>
    </row>
    <row r="394" spans="1:4" x14ac:dyDescent="0.45">
      <c r="A394" t="s">
        <v>38</v>
      </c>
      <c r="B394">
        <v>2019</v>
      </c>
      <c r="C394" t="s">
        <v>75</v>
      </c>
      <c r="D394">
        <v>34.01</v>
      </c>
    </row>
    <row r="395" spans="1:4" x14ac:dyDescent="0.45">
      <c r="A395" t="s">
        <v>32</v>
      </c>
      <c r="B395">
        <v>2019</v>
      </c>
      <c r="C395" t="s">
        <v>75</v>
      </c>
      <c r="D395">
        <v>3.62</v>
      </c>
    </row>
    <row r="396" spans="1:4" x14ac:dyDescent="0.45">
      <c r="A396" t="s">
        <v>58</v>
      </c>
      <c r="B396">
        <v>2019</v>
      </c>
      <c r="C396" t="s">
        <v>75</v>
      </c>
      <c r="D396">
        <v>61.59</v>
      </c>
    </row>
    <row r="397" spans="1:4" x14ac:dyDescent="0.45">
      <c r="A397" t="s">
        <v>91</v>
      </c>
      <c r="B397">
        <v>2019</v>
      </c>
      <c r="C397" t="s">
        <v>75</v>
      </c>
      <c r="D397">
        <v>103.84</v>
      </c>
    </row>
    <row r="398" spans="1:4" x14ac:dyDescent="0.45">
      <c r="A398" t="s">
        <v>32</v>
      </c>
      <c r="B398">
        <v>2020</v>
      </c>
      <c r="C398" t="s">
        <v>75</v>
      </c>
      <c r="D398">
        <v>10.83</v>
      </c>
    </row>
    <row r="399" spans="1:4" x14ac:dyDescent="0.45">
      <c r="A399" t="s">
        <v>34</v>
      </c>
      <c r="B399">
        <v>2020</v>
      </c>
      <c r="C399" t="s">
        <v>75</v>
      </c>
      <c r="D399">
        <v>233.04</v>
      </c>
    </row>
    <row r="400" spans="1:4" x14ac:dyDescent="0.45">
      <c r="A400" t="s">
        <v>36</v>
      </c>
      <c r="B400">
        <v>2020</v>
      </c>
      <c r="C400" t="s">
        <v>75</v>
      </c>
      <c r="D400">
        <v>523.75</v>
      </c>
    </row>
    <row r="401" spans="1:4" x14ac:dyDescent="0.45">
      <c r="A401" t="s">
        <v>56</v>
      </c>
      <c r="B401">
        <v>2020</v>
      </c>
      <c r="C401" t="s">
        <v>75</v>
      </c>
      <c r="D401">
        <v>83.83</v>
      </c>
    </row>
    <row r="402" spans="1:4" x14ac:dyDescent="0.45">
      <c r="A402" t="s">
        <v>57</v>
      </c>
      <c r="B402">
        <v>2020</v>
      </c>
      <c r="C402" t="s">
        <v>75</v>
      </c>
      <c r="D402">
        <v>96.5</v>
      </c>
    </row>
    <row r="403" spans="1:4" x14ac:dyDescent="0.45">
      <c r="A403" t="s">
        <v>38</v>
      </c>
      <c r="B403">
        <v>2020</v>
      </c>
      <c r="C403" t="s">
        <v>75</v>
      </c>
      <c r="D403">
        <v>30.15</v>
      </c>
    </row>
    <row r="404" spans="1:4" x14ac:dyDescent="0.45">
      <c r="A404" t="s">
        <v>32</v>
      </c>
      <c r="B404">
        <v>2020</v>
      </c>
      <c r="C404" t="s">
        <v>75</v>
      </c>
      <c r="D404">
        <v>3.63</v>
      </c>
    </row>
    <row r="405" spans="1:4" x14ac:dyDescent="0.45">
      <c r="A405" t="s">
        <v>58</v>
      </c>
      <c r="B405">
        <v>2020</v>
      </c>
      <c r="C405" t="s">
        <v>75</v>
      </c>
      <c r="D405">
        <v>76.44</v>
      </c>
    </row>
    <row r="406" spans="1:4" x14ac:dyDescent="0.45">
      <c r="A406" t="s">
        <v>91</v>
      </c>
      <c r="B406">
        <v>2020</v>
      </c>
      <c r="C406" t="s">
        <v>75</v>
      </c>
      <c r="D406">
        <v>118.66</v>
      </c>
    </row>
    <row r="407" spans="1:4" x14ac:dyDescent="0.45">
      <c r="A407" t="s">
        <v>32</v>
      </c>
      <c r="B407">
        <v>2021</v>
      </c>
      <c r="C407" t="s">
        <v>75</v>
      </c>
      <c r="D407">
        <v>10.28</v>
      </c>
    </row>
    <row r="408" spans="1:4" x14ac:dyDescent="0.45">
      <c r="A408" t="s">
        <v>34</v>
      </c>
      <c r="B408">
        <v>2021</v>
      </c>
      <c r="C408" t="s">
        <v>75</v>
      </c>
      <c r="D408">
        <v>224.59</v>
      </c>
    </row>
    <row r="409" spans="1:4" x14ac:dyDescent="0.45">
      <c r="A409" t="s">
        <v>36</v>
      </c>
      <c r="B409">
        <v>2021</v>
      </c>
      <c r="C409" t="s">
        <v>75</v>
      </c>
      <c r="D409">
        <v>530.26</v>
      </c>
    </row>
    <row r="410" spans="1:4" x14ac:dyDescent="0.45">
      <c r="A410" t="s">
        <v>56</v>
      </c>
      <c r="B410">
        <v>2021</v>
      </c>
      <c r="C410" t="s">
        <v>75</v>
      </c>
      <c r="D410">
        <v>84.29</v>
      </c>
    </row>
    <row r="411" spans="1:4" x14ac:dyDescent="0.45">
      <c r="A411" t="s">
        <v>57</v>
      </c>
      <c r="B411">
        <v>2021</v>
      </c>
      <c r="C411" t="s">
        <v>75</v>
      </c>
      <c r="D411">
        <v>95.55</v>
      </c>
    </row>
    <row r="412" spans="1:4" x14ac:dyDescent="0.45">
      <c r="A412" t="s">
        <v>38</v>
      </c>
      <c r="B412">
        <v>2021</v>
      </c>
      <c r="C412" t="s">
        <v>75</v>
      </c>
      <c r="D412">
        <v>30.78</v>
      </c>
    </row>
    <row r="413" spans="1:4" x14ac:dyDescent="0.45">
      <c r="A413" t="s">
        <v>32</v>
      </c>
      <c r="B413">
        <v>2021</v>
      </c>
      <c r="C413" t="s">
        <v>75</v>
      </c>
      <c r="D413">
        <v>3.66</v>
      </c>
    </row>
    <row r="414" spans="1:4" x14ac:dyDescent="0.45">
      <c r="A414" t="s">
        <v>58</v>
      </c>
      <c r="B414">
        <v>2021</v>
      </c>
      <c r="C414" t="s">
        <v>75</v>
      </c>
      <c r="D414">
        <v>95.39</v>
      </c>
    </row>
    <row r="415" spans="1:4" x14ac:dyDescent="0.45">
      <c r="A415" t="s">
        <v>91</v>
      </c>
      <c r="B415">
        <v>2021</v>
      </c>
      <c r="C415" t="s">
        <v>75</v>
      </c>
      <c r="D415">
        <v>133.02000000000001</v>
      </c>
    </row>
    <row r="416" spans="1:4" x14ac:dyDescent="0.45">
      <c r="A416" t="s">
        <v>32</v>
      </c>
      <c r="B416">
        <v>2022</v>
      </c>
      <c r="C416" t="s">
        <v>75</v>
      </c>
      <c r="D416">
        <v>10.08</v>
      </c>
    </row>
    <row r="417" spans="1:4" x14ac:dyDescent="0.45">
      <c r="A417" t="s">
        <v>34</v>
      </c>
      <c r="B417">
        <v>2022</v>
      </c>
      <c r="C417" t="s">
        <v>75</v>
      </c>
      <c r="D417">
        <v>209.94</v>
      </c>
    </row>
    <row r="418" spans="1:4" x14ac:dyDescent="0.45">
      <c r="A418" t="s">
        <v>36</v>
      </c>
      <c r="B418">
        <v>2022</v>
      </c>
      <c r="C418" t="s">
        <v>75</v>
      </c>
      <c r="D418">
        <v>535.49</v>
      </c>
    </row>
    <row r="419" spans="1:4" x14ac:dyDescent="0.45">
      <c r="A419" t="s">
        <v>56</v>
      </c>
      <c r="B419">
        <v>2022</v>
      </c>
      <c r="C419" t="s">
        <v>75</v>
      </c>
      <c r="D419">
        <v>86.63</v>
      </c>
    </row>
    <row r="420" spans="1:4" x14ac:dyDescent="0.45">
      <c r="A420" t="s">
        <v>57</v>
      </c>
      <c r="B420">
        <v>2022</v>
      </c>
      <c r="C420" t="s">
        <v>75</v>
      </c>
      <c r="D420">
        <v>94.66</v>
      </c>
    </row>
    <row r="421" spans="1:4" x14ac:dyDescent="0.45">
      <c r="A421" t="s">
        <v>38</v>
      </c>
      <c r="B421">
        <v>2022</v>
      </c>
      <c r="C421" t="s">
        <v>75</v>
      </c>
      <c r="D421">
        <v>33.18</v>
      </c>
    </row>
    <row r="422" spans="1:4" x14ac:dyDescent="0.45">
      <c r="A422" t="s">
        <v>32</v>
      </c>
      <c r="B422">
        <v>2022</v>
      </c>
      <c r="C422" t="s">
        <v>75</v>
      </c>
      <c r="D422">
        <v>3.67</v>
      </c>
    </row>
    <row r="423" spans="1:4" x14ac:dyDescent="0.45">
      <c r="A423" t="s">
        <v>58</v>
      </c>
      <c r="B423">
        <v>2022</v>
      </c>
      <c r="C423" t="s">
        <v>75</v>
      </c>
      <c r="D423">
        <v>114.36</v>
      </c>
    </row>
    <row r="424" spans="1:4" x14ac:dyDescent="0.45">
      <c r="A424" t="s">
        <v>91</v>
      </c>
      <c r="B424">
        <v>2022</v>
      </c>
      <c r="C424" t="s">
        <v>75</v>
      </c>
      <c r="D424">
        <v>141.66999999999999</v>
      </c>
    </row>
    <row r="425" spans="1:4" x14ac:dyDescent="0.45">
      <c r="A425" t="s">
        <v>32</v>
      </c>
      <c r="B425">
        <v>2023</v>
      </c>
      <c r="C425" t="s">
        <v>75</v>
      </c>
      <c r="D425">
        <v>9.9600000000000009</v>
      </c>
    </row>
    <row r="426" spans="1:4" x14ac:dyDescent="0.45">
      <c r="A426" t="s">
        <v>34</v>
      </c>
      <c r="B426">
        <v>2023</v>
      </c>
      <c r="C426" t="s">
        <v>75</v>
      </c>
      <c r="D426">
        <v>200.28</v>
      </c>
    </row>
    <row r="427" spans="1:4" x14ac:dyDescent="0.45">
      <c r="A427" t="s">
        <v>36</v>
      </c>
      <c r="B427">
        <v>2023</v>
      </c>
      <c r="C427" t="s">
        <v>75</v>
      </c>
      <c r="D427">
        <v>542.92999999999995</v>
      </c>
    </row>
    <row r="428" spans="1:4" x14ac:dyDescent="0.45">
      <c r="A428" t="s">
        <v>56</v>
      </c>
      <c r="B428">
        <v>2023</v>
      </c>
      <c r="C428" t="s">
        <v>75</v>
      </c>
      <c r="D428">
        <v>86.66</v>
      </c>
    </row>
    <row r="429" spans="1:4" x14ac:dyDescent="0.45">
      <c r="A429" t="s">
        <v>57</v>
      </c>
      <c r="B429">
        <v>2023</v>
      </c>
      <c r="C429" t="s">
        <v>75</v>
      </c>
      <c r="D429">
        <v>95.77</v>
      </c>
    </row>
    <row r="430" spans="1:4" x14ac:dyDescent="0.45">
      <c r="A430" t="s">
        <v>38</v>
      </c>
      <c r="B430">
        <v>2023</v>
      </c>
      <c r="C430" t="s">
        <v>75</v>
      </c>
      <c r="D430">
        <v>32.159999999999997</v>
      </c>
    </row>
    <row r="431" spans="1:4" x14ac:dyDescent="0.45">
      <c r="A431" t="s">
        <v>32</v>
      </c>
      <c r="B431">
        <v>2023</v>
      </c>
      <c r="C431" t="s">
        <v>75</v>
      </c>
      <c r="D431">
        <v>3.7</v>
      </c>
    </row>
    <row r="432" spans="1:4" x14ac:dyDescent="0.45">
      <c r="A432" t="s">
        <v>58</v>
      </c>
      <c r="B432">
        <v>2023</v>
      </c>
      <c r="C432" t="s">
        <v>75</v>
      </c>
      <c r="D432">
        <v>139.21</v>
      </c>
    </row>
    <row r="433" spans="1:4" x14ac:dyDescent="0.45">
      <c r="A433" t="s">
        <v>91</v>
      </c>
      <c r="B433">
        <v>2023</v>
      </c>
      <c r="C433" t="s">
        <v>75</v>
      </c>
      <c r="D433">
        <v>148.02000000000001</v>
      </c>
    </row>
    <row r="434" spans="1:4" x14ac:dyDescent="0.45">
      <c r="A434" t="s">
        <v>32</v>
      </c>
      <c r="B434">
        <v>2000</v>
      </c>
      <c r="C434" t="s">
        <v>76</v>
      </c>
      <c r="D434">
        <v>13.13</v>
      </c>
    </row>
    <row r="435" spans="1:4" x14ac:dyDescent="0.45">
      <c r="A435" t="s">
        <v>34</v>
      </c>
      <c r="B435">
        <v>2000</v>
      </c>
      <c r="C435" t="s">
        <v>76</v>
      </c>
      <c r="D435">
        <v>1760.68</v>
      </c>
    </row>
    <row r="436" spans="1:4" x14ac:dyDescent="0.45">
      <c r="A436" t="s">
        <v>36</v>
      </c>
      <c r="B436">
        <v>2000</v>
      </c>
      <c r="C436" t="s">
        <v>76</v>
      </c>
      <c r="D436">
        <v>310.61</v>
      </c>
    </row>
    <row r="437" spans="1:4" x14ac:dyDescent="0.45">
      <c r="A437" t="s">
        <v>56</v>
      </c>
      <c r="B437">
        <v>2000</v>
      </c>
      <c r="C437" t="s">
        <v>76</v>
      </c>
      <c r="D437">
        <v>6.42</v>
      </c>
    </row>
    <row r="438" spans="1:4" x14ac:dyDescent="0.45">
      <c r="A438" t="s">
        <v>57</v>
      </c>
      <c r="B438">
        <v>2000</v>
      </c>
      <c r="C438" t="s">
        <v>76</v>
      </c>
      <c r="D438">
        <v>3.84</v>
      </c>
    </row>
    <row r="439" spans="1:4" x14ac:dyDescent="0.45">
      <c r="A439" t="s">
        <v>38</v>
      </c>
      <c r="B439">
        <v>2000</v>
      </c>
      <c r="C439" t="s">
        <v>76</v>
      </c>
      <c r="D439">
        <v>76.34</v>
      </c>
    </row>
    <row r="440" spans="1:4" x14ac:dyDescent="0.45">
      <c r="A440" t="s">
        <v>32</v>
      </c>
      <c r="B440">
        <v>2000</v>
      </c>
      <c r="C440" t="s">
        <v>76</v>
      </c>
      <c r="D440">
        <v>0.53</v>
      </c>
    </row>
    <row r="441" spans="1:4" x14ac:dyDescent="0.45">
      <c r="A441" t="s">
        <v>58</v>
      </c>
      <c r="B441">
        <v>2000</v>
      </c>
      <c r="C441" t="s">
        <v>76</v>
      </c>
      <c r="D441">
        <v>0.02</v>
      </c>
    </row>
    <row r="442" spans="1:4" x14ac:dyDescent="0.45">
      <c r="A442" t="s">
        <v>91</v>
      </c>
      <c r="B442">
        <v>2000</v>
      </c>
      <c r="C442" t="s">
        <v>76</v>
      </c>
      <c r="D442">
        <v>0.05</v>
      </c>
    </row>
    <row r="443" spans="1:4" x14ac:dyDescent="0.45">
      <c r="A443" t="s">
        <v>32</v>
      </c>
      <c r="B443">
        <v>2001</v>
      </c>
      <c r="C443" t="s">
        <v>76</v>
      </c>
      <c r="D443">
        <v>10.76</v>
      </c>
    </row>
    <row r="444" spans="1:4" x14ac:dyDescent="0.45">
      <c r="A444" t="s">
        <v>34</v>
      </c>
      <c r="B444">
        <v>2001</v>
      </c>
      <c r="C444" t="s">
        <v>76</v>
      </c>
      <c r="D444">
        <v>1705.02</v>
      </c>
    </row>
    <row r="445" spans="1:4" x14ac:dyDescent="0.45">
      <c r="A445" t="s">
        <v>36</v>
      </c>
      <c r="B445">
        <v>2001</v>
      </c>
      <c r="C445" t="s">
        <v>76</v>
      </c>
      <c r="D445">
        <v>322.8</v>
      </c>
    </row>
    <row r="446" spans="1:4" x14ac:dyDescent="0.45">
      <c r="A446" t="s">
        <v>56</v>
      </c>
      <c r="B446">
        <v>2001</v>
      </c>
      <c r="C446" t="s">
        <v>76</v>
      </c>
      <c r="D446">
        <v>4.95</v>
      </c>
    </row>
    <row r="447" spans="1:4" x14ac:dyDescent="0.45">
      <c r="A447" t="s">
        <v>57</v>
      </c>
      <c r="B447">
        <v>2001</v>
      </c>
      <c r="C447" t="s">
        <v>76</v>
      </c>
      <c r="D447">
        <v>3.91</v>
      </c>
    </row>
    <row r="448" spans="1:4" x14ac:dyDescent="0.45">
      <c r="A448" t="s">
        <v>38</v>
      </c>
      <c r="B448">
        <v>2001</v>
      </c>
      <c r="C448" t="s">
        <v>76</v>
      </c>
      <c r="D448">
        <v>89.22</v>
      </c>
    </row>
    <row r="449" spans="1:4" x14ac:dyDescent="0.45">
      <c r="A449" t="s">
        <v>32</v>
      </c>
      <c r="B449">
        <v>2001</v>
      </c>
      <c r="C449" t="s">
        <v>76</v>
      </c>
      <c r="D449">
        <v>0.56000000000000005</v>
      </c>
    </row>
    <row r="450" spans="1:4" x14ac:dyDescent="0.45">
      <c r="A450" t="s">
        <v>58</v>
      </c>
      <c r="B450">
        <v>2001</v>
      </c>
      <c r="C450" t="s">
        <v>76</v>
      </c>
      <c r="D450">
        <v>0.03</v>
      </c>
    </row>
    <row r="451" spans="1:4" x14ac:dyDescent="0.45">
      <c r="A451" t="s">
        <v>91</v>
      </c>
      <c r="B451">
        <v>2001</v>
      </c>
      <c r="C451" t="s">
        <v>76</v>
      </c>
      <c r="D451">
        <v>0.06</v>
      </c>
    </row>
    <row r="452" spans="1:4" x14ac:dyDescent="0.45">
      <c r="A452" t="s">
        <v>32</v>
      </c>
      <c r="B452">
        <v>2002</v>
      </c>
      <c r="C452" t="s">
        <v>76</v>
      </c>
      <c r="D452">
        <v>11.61</v>
      </c>
    </row>
    <row r="453" spans="1:4" x14ac:dyDescent="0.45">
      <c r="A453" t="s">
        <v>34</v>
      </c>
      <c r="B453">
        <v>2002</v>
      </c>
      <c r="C453" t="s">
        <v>76</v>
      </c>
      <c r="D453">
        <v>1731.28</v>
      </c>
    </row>
    <row r="454" spans="1:4" x14ac:dyDescent="0.45">
      <c r="A454" t="s">
        <v>36</v>
      </c>
      <c r="B454">
        <v>2002</v>
      </c>
      <c r="C454" t="s">
        <v>76</v>
      </c>
      <c r="D454">
        <v>349</v>
      </c>
    </row>
    <row r="455" spans="1:4" x14ac:dyDescent="0.45">
      <c r="A455" t="s">
        <v>56</v>
      </c>
      <c r="B455">
        <v>2002</v>
      </c>
      <c r="C455" t="s">
        <v>76</v>
      </c>
      <c r="D455">
        <v>6.07</v>
      </c>
    </row>
    <row r="456" spans="1:4" x14ac:dyDescent="0.45">
      <c r="A456" t="s">
        <v>57</v>
      </c>
      <c r="B456">
        <v>2002</v>
      </c>
      <c r="C456" t="s">
        <v>76</v>
      </c>
      <c r="D456">
        <v>3.97</v>
      </c>
    </row>
    <row r="457" spans="1:4" x14ac:dyDescent="0.45">
      <c r="A457" t="s">
        <v>38</v>
      </c>
      <c r="B457">
        <v>2002</v>
      </c>
      <c r="C457" t="s">
        <v>76</v>
      </c>
      <c r="D457">
        <v>68.23</v>
      </c>
    </row>
    <row r="458" spans="1:4" x14ac:dyDescent="0.45">
      <c r="A458" t="s">
        <v>32</v>
      </c>
      <c r="B458">
        <v>2002</v>
      </c>
      <c r="C458" t="s">
        <v>76</v>
      </c>
      <c r="D458">
        <v>0.61</v>
      </c>
    </row>
    <row r="459" spans="1:4" x14ac:dyDescent="0.45">
      <c r="A459" t="s">
        <v>58</v>
      </c>
      <c r="B459">
        <v>2002</v>
      </c>
      <c r="C459" t="s">
        <v>76</v>
      </c>
      <c r="D459">
        <v>0.03</v>
      </c>
    </row>
    <row r="460" spans="1:4" x14ac:dyDescent="0.45">
      <c r="A460" t="s">
        <v>91</v>
      </c>
      <c r="B460">
        <v>2002</v>
      </c>
      <c r="C460" t="s">
        <v>76</v>
      </c>
      <c r="D460">
        <v>0.09</v>
      </c>
    </row>
    <row r="461" spans="1:4" x14ac:dyDescent="0.45">
      <c r="A461" t="s">
        <v>32</v>
      </c>
      <c r="B461">
        <v>2003</v>
      </c>
      <c r="C461" t="s">
        <v>76</v>
      </c>
      <c r="D461">
        <v>11.53</v>
      </c>
    </row>
    <row r="462" spans="1:4" x14ac:dyDescent="0.45">
      <c r="A462" t="s">
        <v>34</v>
      </c>
      <c r="B462">
        <v>2003</v>
      </c>
      <c r="C462" t="s">
        <v>76</v>
      </c>
      <c r="D462">
        <v>1767.63</v>
      </c>
    </row>
    <row r="463" spans="1:4" x14ac:dyDescent="0.45">
      <c r="A463" t="s">
        <v>36</v>
      </c>
      <c r="B463">
        <v>2003</v>
      </c>
      <c r="C463" t="s">
        <v>76</v>
      </c>
      <c r="D463">
        <v>328.25</v>
      </c>
    </row>
    <row r="464" spans="1:4" x14ac:dyDescent="0.45">
      <c r="A464" t="s">
        <v>56</v>
      </c>
      <c r="B464">
        <v>2003</v>
      </c>
      <c r="C464" t="s">
        <v>76</v>
      </c>
      <c r="D464">
        <v>6.35</v>
      </c>
    </row>
    <row r="465" spans="1:4" x14ac:dyDescent="0.45">
      <c r="A465" t="s">
        <v>57</v>
      </c>
      <c r="B465">
        <v>2003</v>
      </c>
      <c r="C465" t="s">
        <v>76</v>
      </c>
      <c r="D465">
        <v>3.89</v>
      </c>
    </row>
    <row r="466" spans="1:4" x14ac:dyDescent="0.45">
      <c r="A466" t="s">
        <v>38</v>
      </c>
      <c r="B466">
        <v>2003</v>
      </c>
      <c r="C466" t="s">
        <v>76</v>
      </c>
      <c r="D466">
        <v>87.11</v>
      </c>
    </row>
    <row r="467" spans="1:4" x14ac:dyDescent="0.45">
      <c r="A467" t="s">
        <v>32</v>
      </c>
      <c r="B467">
        <v>2003</v>
      </c>
      <c r="C467" t="s">
        <v>76</v>
      </c>
      <c r="D467">
        <v>0.63</v>
      </c>
    </row>
    <row r="468" spans="1:4" x14ac:dyDescent="0.45">
      <c r="A468" t="s">
        <v>58</v>
      </c>
      <c r="B468">
        <v>2003</v>
      </c>
      <c r="C468" t="s">
        <v>76</v>
      </c>
      <c r="D468">
        <v>0.03</v>
      </c>
    </row>
    <row r="469" spans="1:4" x14ac:dyDescent="0.45">
      <c r="A469" t="s">
        <v>91</v>
      </c>
      <c r="B469">
        <v>2003</v>
      </c>
      <c r="C469" t="s">
        <v>76</v>
      </c>
      <c r="D469">
        <v>0.09</v>
      </c>
    </row>
    <row r="470" spans="1:4" x14ac:dyDescent="0.45">
      <c r="A470" t="s">
        <v>32</v>
      </c>
      <c r="B470">
        <v>2004</v>
      </c>
      <c r="C470" t="s">
        <v>76</v>
      </c>
      <c r="D470">
        <v>11.58</v>
      </c>
    </row>
    <row r="471" spans="1:4" x14ac:dyDescent="0.45">
      <c r="A471" t="s">
        <v>34</v>
      </c>
      <c r="B471">
        <v>2004</v>
      </c>
      <c r="C471" t="s">
        <v>76</v>
      </c>
      <c r="D471">
        <v>1771.68</v>
      </c>
    </row>
    <row r="472" spans="1:4" x14ac:dyDescent="0.45">
      <c r="A472" t="s">
        <v>36</v>
      </c>
      <c r="B472">
        <v>2004</v>
      </c>
      <c r="C472" t="s">
        <v>76</v>
      </c>
      <c r="D472">
        <v>358.65</v>
      </c>
    </row>
    <row r="473" spans="1:4" x14ac:dyDescent="0.45">
      <c r="A473" t="s">
        <v>56</v>
      </c>
      <c r="B473">
        <v>2004</v>
      </c>
      <c r="C473" t="s">
        <v>76</v>
      </c>
      <c r="D473">
        <v>6.18</v>
      </c>
    </row>
    <row r="474" spans="1:4" x14ac:dyDescent="0.45">
      <c r="A474" t="s">
        <v>57</v>
      </c>
      <c r="B474">
        <v>2004</v>
      </c>
      <c r="C474" t="s">
        <v>76</v>
      </c>
      <c r="D474">
        <v>4.01</v>
      </c>
    </row>
    <row r="475" spans="1:4" x14ac:dyDescent="0.45">
      <c r="A475" t="s">
        <v>38</v>
      </c>
      <c r="B475">
        <v>2004</v>
      </c>
      <c r="C475" t="s">
        <v>76</v>
      </c>
      <c r="D475">
        <v>85.46</v>
      </c>
    </row>
    <row r="476" spans="1:4" x14ac:dyDescent="0.45">
      <c r="A476" t="s">
        <v>32</v>
      </c>
      <c r="B476">
        <v>2004</v>
      </c>
      <c r="C476" t="s">
        <v>76</v>
      </c>
      <c r="D476">
        <v>0.64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0.12</v>
      </c>
    </row>
    <row r="479" spans="1:4" x14ac:dyDescent="0.45">
      <c r="A479" t="s">
        <v>32</v>
      </c>
      <c r="B479">
        <v>2005</v>
      </c>
      <c r="C479" t="s">
        <v>76</v>
      </c>
      <c r="D479">
        <v>11.74</v>
      </c>
    </row>
    <row r="480" spans="1:4" x14ac:dyDescent="0.45">
      <c r="A480" t="s">
        <v>34</v>
      </c>
      <c r="B480">
        <v>2005</v>
      </c>
      <c r="C480" t="s">
        <v>76</v>
      </c>
      <c r="D480">
        <v>1802.65</v>
      </c>
    </row>
    <row r="481" spans="1:4" x14ac:dyDescent="0.45">
      <c r="A481" t="s">
        <v>36</v>
      </c>
      <c r="B481">
        <v>2005</v>
      </c>
      <c r="C481" t="s">
        <v>76</v>
      </c>
      <c r="D481">
        <v>384.33</v>
      </c>
    </row>
    <row r="482" spans="1:4" x14ac:dyDescent="0.45">
      <c r="A482" t="s">
        <v>56</v>
      </c>
      <c r="B482">
        <v>2005</v>
      </c>
      <c r="C482" t="s">
        <v>76</v>
      </c>
      <c r="D482">
        <v>6.27</v>
      </c>
    </row>
    <row r="483" spans="1:4" x14ac:dyDescent="0.45">
      <c r="A483" t="s">
        <v>57</v>
      </c>
      <c r="B483">
        <v>2005</v>
      </c>
      <c r="C483" t="s">
        <v>76</v>
      </c>
      <c r="D483">
        <v>3.98</v>
      </c>
    </row>
    <row r="484" spans="1:4" x14ac:dyDescent="0.45">
      <c r="A484" t="s">
        <v>38</v>
      </c>
      <c r="B484">
        <v>2005</v>
      </c>
      <c r="C484" t="s">
        <v>76</v>
      </c>
      <c r="D484">
        <v>82.99</v>
      </c>
    </row>
    <row r="485" spans="1:4" x14ac:dyDescent="0.45">
      <c r="A485" t="s">
        <v>32</v>
      </c>
      <c r="B485">
        <v>2005</v>
      </c>
      <c r="C485" t="s">
        <v>76</v>
      </c>
      <c r="D485">
        <v>0.63</v>
      </c>
    </row>
    <row r="486" spans="1:4" x14ac:dyDescent="0.45">
      <c r="A486" t="s">
        <v>58</v>
      </c>
      <c r="B486">
        <v>2005</v>
      </c>
      <c r="C486" t="s">
        <v>76</v>
      </c>
      <c r="D486">
        <v>0.03</v>
      </c>
    </row>
    <row r="487" spans="1:4" x14ac:dyDescent="0.45">
      <c r="A487" t="s">
        <v>91</v>
      </c>
      <c r="B487">
        <v>2005</v>
      </c>
      <c r="C487" t="s">
        <v>76</v>
      </c>
      <c r="D487">
        <v>0.15</v>
      </c>
    </row>
    <row r="488" spans="1:4" x14ac:dyDescent="0.45">
      <c r="A488" t="s">
        <v>32</v>
      </c>
      <c r="B488">
        <v>2006</v>
      </c>
      <c r="C488" t="s">
        <v>76</v>
      </c>
      <c r="D488">
        <v>11.86</v>
      </c>
    </row>
    <row r="489" spans="1:4" x14ac:dyDescent="0.45">
      <c r="A489" t="s">
        <v>34</v>
      </c>
      <c r="B489">
        <v>2006</v>
      </c>
      <c r="C489" t="s">
        <v>76</v>
      </c>
      <c r="D489">
        <v>1782.66</v>
      </c>
    </row>
    <row r="490" spans="1:4" x14ac:dyDescent="0.45">
      <c r="A490" t="s">
        <v>36</v>
      </c>
      <c r="B490">
        <v>2006</v>
      </c>
      <c r="C490" t="s">
        <v>76</v>
      </c>
      <c r="D490">
        <v>412.35</v>
      </c>
    </row>
    <row r="491" spans="1:4" x14ac:dyDescent="0.45">
      <c r="A491" t="s">
        <v>56</v>
      </c>
      <c r="B491">
        <v>2006</v>
      </c>
      <c r="C491" t="s">
        <v>76</v>
      </c>
      <c r="D491">
        <v>6.72</v>
      </c>
    </row>
    <row r="492" spans="1:4" x14ac:dyDescent="0.45">
      <c r="A492" t="s">
        <v>57</v>
      </c>
      <c r="B492">
        <v>2006</v>
      </c>
      <c r="C492" t="s">
        <v>76</v>
      </c>
      <c r="D492">
        <v>4.01</v>
      </c>
    </row>
    <row r="493" spans="1:4" x14ac:dyDescent="0.45">
      <c r="A493" t="s">
        <v>38</v>
      </c>
      <c r="B493">
        <v>2006</v>
      </c>
      <c r="C493" t="s">
        <v>76</v>
      </c>
      <c r="D493">
        <v>47.12</v>
      </c>
    </row>
    <row r="494" spans="1:4" x14ac:dyDescent="0.45">
      <c r="A494" t="s">
        <v>32</v>
      </c>
      <c r="B494">
        <v>2006</v>
      </c>
      <c r="C494" t="s">
        <v>76</v>
      </c>
      <c r="D494">
        <v>0.62</v>
      </c>
    </row>
    <row r="495" spans="1:4" x14ac:dyDescent="0.45">
      <c r="A495" t="s">
        <v>58</v>
      </c>
      <c r="B495">
        <v>2006</v>
      </c>
      <c r="C495" t="s">
        <v>76</v>
      </c>
      <c r="D495">
        <v>0.02</v>
      </c>
    </row>
    <row r="496" spans="1:4" x14ac:dyDescent="0.45">
      <c r="A496" t="s">
        <v>91</v>
      </c>
      <c r="B496">
        <v>2006</v>
      </c>
      <c r="C496" t="s">
        <v>76</v>
      </c>
      <c r="D496">
        <v>0.22</v>
      </c>
    </row>
    <row r="497" spans="1:4" x14ac:dyDescent="0.45">
      <c r="A497" t="s">
        <v>32</v>
      </c>
      <c r="B497">
        <v>2007</v>
      </c>
      <c r="C497" t="s">
        <v>76</v>
      </c>
      <c r="D497">
        <v>12.01</v>
      </c>
    </row>
    <row r="498" spans="1:4" x14ac:dyDescent="0.45">
      <c r="A498" t="s">
        <v>34</v>
      </c>
      <c r="B498">
        <v>2007</v>
      </c>
      <c r="C498" t="s">
        <v>76</v>
      </c>
      <c r="D498">
        <v>1805.74</v>
      </c>
    </row>
    <row r="499" spans="1:4" x14ac:dyDescent="0.45">
      <c r="A499" t="s">
        <v>36</v>
      </c>
      <c r="B499">
        <v>2007</v>
      </c>
      <c r="C499" t="s">
        <v>76</v>
      </c>
      <c r="D499">
        <v>452.84</v>
      </c>
    </row>
    <row r="500" spans="1:4" x14ac:dyDescent="0.45">
      <c r="A500" t="s">
        <v>56</v>
      </c>
      <c r="B500">
        <v>2007</v>
      </c>
      <c r="C500" t="s">
        <v>76</v>
      </c>
      <c r="D500">
        <v>5.72</v>
      </c>
    </row>
    <row r="501" spans="1:4" x14ac:dyDescent="0.45">
      <c r="A501" t="s">
        <v>57</v>
      </c>
      <c r="B501">
        <v>2007</v>
      </c>
      <c r="C501" t="s">
        <v>76</v>
      </c>
      <c r="D501">
        <v>4.0999999999999996</v>
      </c>
    </row>
    <row r="502" spans="1:4" x14ac:dyDescent="0.45">
      <c r="A502" t="s">
        <v>38</v>
      </c>
      <c r="B502">
        <v>2007</v>
      </c>
      <c r="C502" t="s">
        <v>76</v>
      </c>
      <c r="D502">
        <v>49.48</v>
      </c>
    </row>
    <row r="503" spans="1:4" x14ac:dyDescent="0.45">
      <c r="A503" t="s">
        <v>32</v>
      </c>
      <c r="B503">
        <v>2007</v>
      </c>
      <c r="C503" t="s">
        <v>76</v>
      </c>
      <c r="D503">
        <v>0.63</v>
      </c>
    </row>
    <row r="504" spans="1:4" x14ac:dyDescent="0.45">
      <c r="A504" t="s">
        <v>58</v>
      </c>
      <c r="B504">
        <v>2007</v>
      </c>
      <c r="C504" t="s">
        <v>76</v>
      </c>
      <c r="D504">
        <v>0.03</v>
      </c>
    </row>
    <row r="505" spans="1:4" x14ac:dyDescent="0.45">
      <c r="A505" t="s">
        <v>91</v>
      </c>
      <c r="B505">
        <v>2007</v>
      </c>
      <c r="C505" t="s">
        <v>76</v>
      </c>
      <c r="D505">
        <v>0.28999999999999998</v>
      </c>
    </row>
    <row r="506" spans="1:4" x14ac:dyDescent="0.45">
      <c r="A506" t="s">
        <v>32</v>
      </c>
      <c r="B506">
        <v>2008</v>
      </c>
      <c r="C506" t="s">
        <v>76</v>
      </c>
      <c r="D506">
        <v>11.9</v>
      </c>
    </row>
    <row r="507" spans="1:4" x14ac:dyDescent="0.45">
      <c r="A507" t="s">
        <v>34</v>
      </c>
      <c r="B507">
        <v>2008</v>
      </c>
      <c r="C507" t="s">
        <v>76</v>
      </c>
      <c r="D507">
        <v>1778.06</v>
      </c>
    </row>
    <row r="508" spans="1:4" x14ac:dyDescent="0.45">
      <c r="A508" t="s">
        <v>36</v>
      </c>
      <c r="B508">
        <v>2008</v>
      </c>
      <c r="C508" t="s">
        <v>76</v>
      </c>
      <c r="D508">
        <v>445.96</v>
      </c>
    </row>
    <row r="509" spans="1:4" x14ac:dyDescent="0.45">
      <c r="A509" t="s">
        <v>56</v>
      </c>
      <c r="B509">
        <v>2008</v>
      </c>
      <c r="C509" t="s">
        <v>76</v>
      </c>
      <c r="D509">
        <v>5.91</v>
      </c>
    </row>
    <row r="510" spans="1:4" x14ac:dyDescent="0.45">
      <c r="A510" t="s">
        <v>57</v>
      </c>
      <c r="B510">
        <v>2008</v>
      </c>
      <c r="C510" t="s">
        <v>76</v>
      </c>
      <c r="D510">
        <v>4.0999999999999996</v>
      </c>
    </row>
    <row r="511" spans="1:4" x14ac:dyDescent="0.45">
      <c r="A511" t="s">
        <v>38</v>
      </c>
      <c r="B511">
        <v>2008</v>
      </c>
      <c r="C511" t="s">
        <v>76</v>
      </c>
      <c r="D511">
        <v>36.47</v>
      </c>
    </row>
    <row r="512" spans="1:4" x14ac:dyDescent="0.45">
      <c r="A512" t="s">
        <v>32</v>
      </c>
      <c r="B512">
        <v>2008</v>
      </c>
      <c r="C512" t="s">
        <v>76</v>
      </c>
      <c r="D512">
        <v>0.65</v>
      </c>
    </row>
    <row r="513" spans="1:4" x14ac:dyDescent="0.45">
      <c r="A513" t="s">
        <v>58</v>
      </c>
      <c r="B513">
        <v>2008</v>
      </c>
      <c r="C513" t="s">
        <v>76</v>
      </c>
      <c r="D513">
        <v>0.04</v>
      </c>
    </row>
    <row r="514" spans="1:4" x14ac:dyDescent="0.45">
      <c r="A514" t="s">
        <v>91</v>
      </c>
      <c r="B514">
        <v>2008</v>
      </c>
      <c r="C514" t="s">
        <v>76</v>
      </c>
      <c r="D514">
        <v>0.47</v>
      </c>
    </row>
    <row r="515" spans="1:4" x14ac:dyDescent="0.45">
      <c r="A515" t="s">
        <v>32</v>
      </c>
      <c r="B515">
        <v>2009</v>
      </c>
      <c r="C515" t="s">
        <v>76</v>
      </c>
      <c r="D515">
        <v>11.78</v>
      </c>
    </row>
    <row r="516" spans="1:4" x14ac:dyDescent="0.45">
      <c r="A516" t="s">
        <v>34</v>
      </c>
      <c r="B516">
        <v>2009</v>
      </c>
      <c r="C516" t="s">
        <v>76</v>
      </c>
      <c r="D516">
        <v>1572.28</v>
      </c>
    </row>
    <row r="517" spans="1:4" x14ac:dyDescent="0.45">
      <c r="A517" t="s">
        <v>36</v>
      </c>
      <c r="B517">
        <v>2009</v>
      </c>
      <c r="C517" t="s">
        <v>76</v>
      </c>
      <c r="D517">
        <v>465.15</v>
      </c>
    </row>
    <row r="518" spans="1:4" x14ac:dyDescent="0.45">
      <c r="A518" t="s">
        <v>56</v>
      </c>
      <c r="B518">
        <v>2009</v>
      </c>
      <c r="C518" t="s">
        <v>76</v>
      </c>
      <c r="D518">
        <v>6.39</v>
      </c>
    </row>
    <row r="519" spans="1:4" x14ac:dyDescent="0.45">
      <c r="A519" t="s">
        <v>57</v>
      </c>
      <c r="B519">
        <v>2009</v>
      </c>
      <c r="C519" t="s">
        <v>76</v>
      </c>
      <c r="D519">
        <v>4.07</v>
      </c>
    </row>
    <row r="520" spans="1:4" x14ac:dyDescent="0.45">
      <c r="A520" t="s">
        <v>38</v>
      </c>
      <c r="B520">
        <v>2009</v>
      </c>
      <c r="C520" t="s">
        <v>76</v>
      </c>
      <c r="D520">
        <v>31.93</v>
      </c>
    </row>
    <row r="521" spans="1:4" x14ac:dyDescent="0.45">
      <c r="A521" t="s">
        <v>32</v>
      </c>
      <c r="B521">
        <v>2009</v>
      </c>
      <c r="C521" t="s">
        <v>76</v>
      </c>
      <c r="D521">
        <v>0.66</v>
      </c>
    </row>
    <row r="522" spans="1:4" x14ac:dyDescent="0.45">
      <c r="A522" t="s">
        <v>58</v>
      </c>
      <c r="B522">
        <v>2009</v>
      </c>
      <c r="C522" t="s">
        <v>76</v>
      </c>
      <c r="D522">
        <v>0.04</v>
      </c>
    </row>
    <row r="523" spans="1:4" x14ac:dyDescent="0.45">
      <c r="A523" t="s">
        <v>91</v>
      </c>
      <c r="B523">
        <v>2009</v>
      </c>
      <c r="C523" t="s">
        <v>76</v>
      </c>
      <c r="D523">
        <v>0.62</v>
      </c>
    </row>
    <row r="524" spans="1:4" x14ac:dyDescent="0.45">
      <c r="A524" t="s">
        <v>32</v>
      </c>
      <c r="B524">
        <v>2010</v>
      </c>
      <c r="C524" t="s">
        <v>76</v>
      </c>
      <c r="D524">
        <v>12.13</v>
      </c>
    </row>
    <row r="525" spans="1:4" x14ac:dyDescent="0.45">
      <c r="A525" t="s">
        <v>34</v>
      </c>
      <c r="B525">
        <v>2010</v>
      </c>
      <c r="C525" t="s">
        <v>76</v>
      </c>
      <c r="D525">
        <v>1653.85</v>
      </c>
    </row>
    <row r="526" spans="1:4" x14ac:dyDescent="0.45">
      <c r="A526" t="s">
        <v>36</v>
      </c>
      <c r="B526">
        <v>2010</v>
      </c>
      <c r="C526" t="s">
        <v>76</v>
      </c>
      <c r="D526">
        <v>498.85</v>
      </c>
    </row>
    <row r="527" spans="1:4" x14ac:dyDescent="0.45">
      <c r="A527" t="s">
        <v>56</v>
      </c>
      <c r="B527">
        <v>2010</v>
      </c>
      <c r="C527" t="s">
        <v>76</v>
      </c>
      <c r="D527">
        <v>6.05</v>
      </c>
    </row>
    <row r="528" spans="1:4" x14ac:dyDescent="0.45">
      <c r="A528" t="s">
        <v>57</v>
      </c>
      <c r="B528">
        <v>2010</v>
      </c>
      <c r="C528" t="s">
        <v>76</v>
      </c>
      <c r="D528">
        <v>4.1100000000000003</v>
      </c>
    </row>
    <row r="529" spans="1:4" x14ac:dyDescent="0.45">
      <c r="A529" t="s">
        <v>38</v>
      </c>
      <c r="B529">
        <v>2010</v>
      </c>
      <c r="C529" t="s">
        <v>76</v>
      </c>
      <c r="D529">
        <v>31.26</v>
      </c>
    </row>
    <row r="530" spans="1:4" x14ac:dyDescent="0.45">
      <c r="A530" t="s">
        <v>32</v>
      </c>
      <c r="B530">
        <v>2010</v>
      </c>
      <c r="C530" t="s">
        <v>76</v>
      </c>
      <c r="D530">
        <v>0.67</v>
      </c>
    </row>
    <row r="531" spans="1:4" x14ac:dyDescent="0.45">
      <c r="A531" t="s">
        <v>58</v>
      </c>
      <c r="B531">
        <v>2010</v>
      </c>
      <c r="C531" t="s">
        <v>76</v>
      </c>
      <c r="D531">
        <v>0.06</v>
      </c>
    </row>
    <row r="532" spans="1:4" x14ac:dyDescent="0.45">
      <c r="A532" t="s">
        <v>91</v>
      </c>
      <c r="B532">
        <v>2010</v>
      </c>
      <c r="C532" t="s">
        <v>76</v>
      </c>
      <c r="D532">
        <v>0.8</v>
      </c>
    </row>
    <row r="533" spans="1:4" x14ac:dyDescent="0.45">
      <c r="A533" t="s">
        <v>32</v>
      </c>
      <c r="B533">
        <v>2011</v>
      </c>
      <c r="C533" t="s">
        <v>76</v>
      </c>
      <c r="D533">
        <v>12.25</v>
      </c>
    </row>
    <row r="534" spans="1:4" x14ac:dyDescent="0.45">
      <c r="A534" t="s">
        <v>34</v>
      </c>
      <c r="B534">
        <v>2011</v>
      </c>
      <c r="C534" t="s">
        <v>76</v>
      </c>
      <c r="D534">
        <v>1551.27</v>
      </c>
    </row>
    <row r="535" spans="1:4" x14ac:dyDescent="0.45">
      <c r="A535" t="s">
        <v>36</v>
      </c>
      <c r="B535">
        <v>2011</v>
      </c>
      <c r="C535" t="s">
        <v>76</v>
      </c>
      <c r="D535">
        <v>511.98</v>
      </c>
    </row>
    <row r="536" spans="1:4" x14ac:dyDescent="0.45">
      <c r="A536" t="s">
        <v>56</v>
      </c>
      <c r="B536">
        <v>2011</v>
      </c>
      <c r="C536" t="s">
        <v>76</v>
      </c>
      <c r="D536">
        <v>7.44</v>
      </c>
    </row>
    <row r="537" spans="1:4" x14ac:dyDescent="0.45">
      <c r="A537" t="s">
        <v>57</v>
      </c>
      <c r="B537">
        <v>2011</v>
      </c>
      <c r="C537" t="s">
        <v>76</v>
      </c>
      <c r="D537">
        <v>4.0199999999999996</v>
      </c>
    </row>
    <row r="538" spans="1:4" x14ac:dyDescent="0.45">
      <c r="A538" t="s">
        <v>38</v>
      </c>
      <c r="B538">
        <v>2011</v>
      </c>
      <c r="C538" t="s">
        <v>76</v>
      </c>
      <c r="D538">
        <v>27.51</v>
      </c>
    </row>
    <row r="539" spans="1:4" x14ac:dyDescent="0.45">
      <c r="A539" t="s">
        <v>32</v>
      </c>
      <c r="B539">
        <v>2011</v>
      </c>
      <c r="C539" t="s">
        <v>76</v>
      </c>
      <c r="D539">
        <v>0.68</v>
      </c>
    </row>
    <row r="540" spans="1:4" x14ac:dyDescent="0.45">
      <c r="A540" t="s">
        <v>58</v>
      </c>
      <c r="B540">
        <v>2011</v>
      </c>
      <c r="C540" t="s">
        <v>76</v>
      </c>
      <c r="D540">
        <v>0.09</v>
      </c>
    </row>
    <row r="541" spans="1:4" x14ac:dyDescent="0.45">
      <c r="A541" t="s">
        <v>91</v>
      </c>
      <c r="B541">
        <v>2011</v>
      </c>
      <c r="C541" t="s">
        <v>76</v>
      </c>
      <c r="D541">
        <v>1.01</v>
      </c>
    </row>
    <row r="542" spans="1:4" x14ac:dyDescent="0.45">
      <c r="A542" t="s">
        <v>32</v>
      </c>
      <c r="B542">
        <v>2012</v>
      </c>
      <c r="C542" t="s">
        <v>76</v>
      </c>
      <c r="D542">
        <v>12.46</v>
      </c>
    </row>
    <row r="543" spans="1:4" x14ac:dyDescent="0.45">
      <c r="A543" t="s">
        <v>34</v>
      </c>
      <c r="B543">
        <v>2012</v>
      </c>
      <c r="C543" t="s">
        <v>76</v>
      </c>
      <c r="D543">
        <v>1354.25</v>
      </c>
    </row>
    <row r="544" spans="1:4" x14ac:dyDescent="0.45">
      <c r="A544" t="s">
        <v>36</v>
      </c>
      <c r="B544">
        <v>2012</v>
      </c>
      <c r="C544" t="s">
        <v>76</v>
      </c>
      <c r="D544">
        <v>619.15</v>
      </c>
    </row>
    <row r="545" spans="1:4" x14ac:dyDescent="0.45">
      <c r="A545" t="s">
        <v>56</v>
      </c>
      <c r="B545">
        <v>2012</v>
      </c>
      <c r="C545" t="s">
        <v>76</v>
      </c>
      <c r="D545">
        <v>6.45</v>
      </c>
    </row>
    <row r="546" spans="1:4" x14ac:dyDescent="0.45">
      <c r="A546" t="s">
        <v>57</v>
      </c>
      <c r="B546">
        <v>2012</v>
      </c>
      <c r="C546" t="s">
        <v>76</v>
      </c>
      <c r="D546">
        <v>3.92</v>
      </c>
    </row>
    <row r="547" spans="1:4" x14ac:dyDescent="0.45">
      <c r="A547" t="s">
        <v>38</v>
      </c>
      <c r="B547">
        <v>2012</v>
      </c>
      <c r="C547" t="s">
        <v>76</v>
      </c>
      <c r="D547">
        <v>25.72</v>
      </c>
    </row>
    <row r="548" spans="1:4" x14ac:dyDescent="0.45">
      <c r="A548" t="s">
        <v>32</v>
      </c>
      <c r="B548">
        <v>2012</v>
      </c>
      <c r="C548" t="s">
        <v>76</v>
      </c>
      <c r="D548">
        <v>0.69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1.19</v>
      </c>
    </row>
    <row r="551" spans="1:4" x14ac:dyDescent="0.45">
      <c r="A551" t="s">
        <v>32</v>
      </c>
      <c r="B551">
        <v>2013</v>
      </c>
      <c r="C551" t="s">
        <v>76</v>
      </c>
      <c r="D551">
        <v>13.16</v>
      </c>
    </row>
    <row r="552" spans="1:4" x14ac:dyDescent="0.45">
      <c r="A552" t="s">
        <v>34</v>
      </c>
      <c r="B552">
        <v>2013</v>
      </c>
      <c r="C552" t="s">
        <v>76</v>
      </c>
      <c r="D552">
        <v>1413.46</v>
      </c>
    </row>
    <row r="553" spans="1:4" x14ac:dyDescent="0.45">
      <c r="A553" t="s">
        <v>36</v>
      </c>
      <c r="B553">
        <v>2013</v>
      </c>
      <c r="C553" t="s">
        <v>76</v>
      </c>
      <c r="D553">
        <v>568.12</v>
      </c>
    </row>
    <row r="554" spans="1:4" x14ac:dyDescent="0.45">
      <c r="A554" t="s">
        <v>56</v>
      </c>
      <c r="B554">
        <v>2013</v>
      </c>
      <c r="C554" t="s">
        <v>76</v>
      </c>
      <c r="D554">
        <v>6.27</v>
      </c>
    </row>
    <row r="555" spans="1:4" x14ac:dyDescent="0.45">
      <c r="A555" t="s">
        <v>57</v>
      </c>
      <c r="B555">
        <v>2013</v>
      </c>
      <c r="C555" t="s">
        <v>76</v>
      </c>
      <c r="D555">
        <v>4.0199999999999996</v>
      </c>
    </row>
    <row r="556" spans="1:4" x14ac:dyDescent="0.45">
      <c r="A556" t="s">
        <v>38</v>
      </c>
      <c r="B556">
        <v>2013</v>
      </c>
      <c r="C556" t="s">
        <v>76</v>
      </c>
      <c r="D556">
        <v>26.49</v>
      </c>
    </row>
    <row r="557" spans="1:4" x14ac:dyDescent="0.45">
      <c r="A557" t="s">
        <v>32</v>
      </c>
      <c r="B557">
        <v>2013</v>
      </c>
      <c r="C557" t="s">
        <v>76</v>
      </c>
      <c r="D557">
        <v>0.71</v>
      </c>
    </row>
    <row r="558" spans="1:4" x14ac:dyDescent="0.45">
      <c r="A558" t="s">
        <v>58</v>
      </c>
      <c r="B558">
        <v>2013</v>
      </c>
      <c r="C558" t="s">
        <v>76</v>
      </c>
      <c r="D558">
        <v>0.43</v>
      </c>
    </row>
    <row r="559" spans="1:4" x14ac:dyDescent="0.45">
      <c r="A559" t="s">
        <v>91</v>
      </c>
      <c r="B559">
        <v>2013</v>
      </c>
      <c r="C559" t="s">
        <v>76</v>
      </c>
      <c r="D559">
        <v>1.41</v>
      </c>
    </row>
    <row r="560" spans="1:4" x14ac:dyDescent="0.45">
      <c r="A560" t="s">
        <v>32</v>
      </c>
      <c r="B560">
        <v>2014</v>
      </c>
      <c r="C560" t="s">
        <v>76</v>
      </c>
      <c r="D560">
        <v>13.83</v>
      </c>
    </row>
    <row r="561" spans="1:4" x14ac:dyDescent="0.45">
      <c r="A561" t="s">
        <v>34</v>
      </c>
      <c r="B561">
        <v>2014</v>
      </c>
      <c r="C561" t="s">
        <v>76</v>
      </c>
      <c r="D561">
        <v>1413.53</v>
      </c>
    </row>
    <row r="562" spans="1:4" x14ac:dyDescent="0.45">
      <c r="A562" t="s">
        <v>36</v>
      </c>
      <c r="B562">
        <v>2014</v>
      </c>
      <c r="C562" t="s">
        <v>76</v>
      </c>
      <c r="D562">
        <v>569.01</v>
      </c>
    </row>
    <row r="563" spans="1:4" x14ac:dyDescent="0.45">
      <c r="A563" t="s">
        <v>56</v>
      </c>
      <c r="B563">
        <v>2014</v>
      </c>
      <c r="C563" t="s">
        <v>76</v>
      </c>
      <c r="D563">
        <v>6.02</v>
      </c>
    </row>
    <row r="564" spans="1:4" x14ac:dyDescent="0.45">
      <c r="A564" t="s">
        <v>57</v>
      </c>
      <c r="B564">
        <v>2014</v>
      </c>
      <c r="C564" t="s">
        <v>76</v>
      </c>
      <c r="D564">
        <v>4.0599999999999996</v>
      </c>
    </row>
    <row r="565" spans="1:4" x14ac:dyDescent="0.45">
      <c r="A565" t="s">
        <v>38</v>
      </c>
      <c r="B565">
        <v>2014</v>
      </c>
      <c r="C565" t="s">
        <v>76</v>
      </c>
      <c r="D565">
        <v>28.75</v>
      </c>
    </row>
    <row r="566" spans="1:4" x14ac:dyDescent="0.45">
      <c r="A566" t="s">
        <v>32</v>
      </c>
      <c r="B566">
        <v>2014</v>
      </c>
      <c r="C566" t="s">
        <v>76</v>
      </c>
      <c r="D566">
        <v>0.72</v>
      </c>
    </row>
    <row r="567" spans="1:4" x14ac:dyDescent="0.45">
      <c r="A567" t="s">
        <v>58</v>
      </c>
      <c r="B567">
        <v>2014</v>
      </c>
      <c r="C567" t="s">
        <v>76</v>
      </c>
      <c r="D567">
        <v>1.37</v>
      </c>
    </row>
    <row r="568" spans="1:4" x14ac:dyDescent="0.45">
      <c r="A568" t="s">
        <v>91</v>
      </c>
      <c r="B568">
        <v>2014</v>
      </c>
      <c r="C568" t="s">
        <v>76</v>
      </c>
      <c r="D568">
        <v>1.53</v>
      </c>
    </row>
    <row r="569" spans="1:4" x14ac:dyDescent="0.45">
      <c r="A569" t="s">
        <v>32</v>
      </c>
      <c r="B569">
        <v>2015</v>
      </c>
      <c r="C569" t="s">
        <v>76</v>
      </c>
      <c r="D569">
        <v>13.76</v>
      </c>
    </row>
    <row r="570" spans="1:4" x14ac:dyDescent="0.45">
      <c r="A570" t="s">
        <v>34</v>
      </c>
      <c r="B570">
        <v>2015</v>
      </c>
      <c r="C570" t="s">
        <v>76</v>
      </c>
      <c r="D570">
        <v>1208.29</v>
      </c>
    </row>
    <row r="571" spans="1:4" x14ac:dyDescent="0.45">
      <c r="A571" t="s">
        <v>36</v>
      </c>
      <c r="B571">
        <v>2015</v>
      </c>
      <c r="C571" t="s">
        <v>76</v>
      </c>
      <c r="D571">
        <v>673.49</v>
      </c>
    </row>
    <row r="572" spans="1:4" x14ac:dyDescent="0.45">
      <c r="A572" t="s">
        <v>56</v>
      </c>
      <c r="B572">
        <v>2015</v>
      </c>
      <c r="C572" t="s">
        <v>76</v>
      </c>
      <c r="D572">
        <v>5.8</v>
      </c>
    </row>
    <row r="573" spans="1:4" x14ac:dyDescent="0.45">
      <c r="A573" t="s">
        <v>57</v>
      </c>
      <c r="B573">
        <v>2015</v>
      </c>
      <c r="C573" t="s">
        <v>76</v>
      </c>
      <c r="D573">
        <v>4.0599999999999996</v>
      </c>
    </row>
    <row r="574" spans="1:4" x14ac:dyDescent="0.45">
      <c r="A574" t="s">
        <v>38</v>
      </c>
      <c r="B574">
        <v>2015</v>
      </c>
      <c r="C574" t="s">
        <v>76</v>
      </c>
      <c r="D574">
        <v>29.24</v>
      </c>
    </row>
    <row r="575" spans="1:4" x14ac:dyDescent="0.45">
      <c r="A575" t="s">
        <v>32</v>
      </c>
      <c r="B575">
        <v>2015</v>
      </c>
      <c r="C575" t="s">
        <v>76</v>
      </c>
      <c r="D575">
        <v>0.72</v>
      </c>
    </row>
    <row r="576" spans="1:4" x14ac:dyDescent="0.45">
      <c r="A576" t="s">
        <v>58</v>
      </c>
      <c r="B576">
        <v>2015</v>
      </c>
      <c r="C576" t="s">
        <v>76</v>
      </c>
      <c r="D576">
        <v>1.85</v>
      </c>
    </row>
    <row r="577" spans="1:4" x14ac:dyDescent="0.45">
      <c r="A577" t="s">
        <v>91</v>
      </c>
      <c r="B577">
        <v>2015</v>
      </c>
      <c r="C577" t="s">
        <v>76</v>
      </c>
      <c r="D577">
        <v>1.61</v>
      </c>
    </row>
    <row r="578" spans="1:4" x14ac:dyDescent="0.45">
      <c r="A578" t="s">
        <v>32</v>
      </c>
      <c r="B578">
        <v>2016</v>
      </c>
      <c r="C578" t="s">
        <v>76</v>
      </c>
      <c r="D578">
        <v>13.57</v>
      </c>
    </row>
    <row r="579" spans="1:4" x14ac:dyDescent="0.45">
      <c r="A579" t="s">
        <v>34</v>
      </c>
      <c r="B579">
        <v>2016</v>
      </c>
      <c r="C579" t="s">
        <v>76</v>
      </c>
      <c r="D579">
        <v>1106.54</v>
      </c>
    </row>
    <row r="580" spans="1:4" x14ac:dyDescent="0.45">
      <c r="A580" t="s">
        <v>36</v>
      </c>
      <c r="B580">
        <v>2016</v>
      </c>
      <c r="C580" t="s">
        <v>76</v>
      </c>
      <c r="D580">
        <v>696.14</v>
      </c>
    </row>
    <row r="581" spans="1:4" x14ac:dyDescent="0.45">
      <c r="A581" t="s">
        <v>56</v>
      </c>
      <c r="B581">
        <v>2016</v>
      </c>
      <c r="C581" t="s">
        <v>76</v>
      </c>
      <c r="D581">
        <v>6.2</v>
      </c>
    </row>
    <row r="582" spans="1:4" x14ac:dyDescent="0.45">
      <c r="A582" t="s">
        <v>57</v>
      </c>
      <c r="B582">
        <v>2016</v>
      </c>
      <c r="C582" t="s">
        <v>76</v>
      </c>
      <c r="D582">
        <v>4.0999999999999996</v>
      </c>
    </row>
    <row r="583" spans="1:4" x14ac:dyDescent="0.45">
      <c r="A583" t="s">
        <v>38</v>
      </c>
      <c r="B583">
        <v>2016</v>
      </c>
      <c r="C583" t="s">
        <v>76</v>
      </c>
      <c r="D583">
        <v>25.99</v>
      </c>
    </row>
    <row r="584" spans="1:4" x14ac:dyDescent="0.45">
      <c r="A584" t="s">
        <v>32</v>
      </c>
      <c r="B584">
        <v>2016</v>
      </c>
      <c r="C584" t="s">
        <v>76</v>
      </c>
      <c r="D584">
        <v>0.72</v>
      </c>
    </row>
    <row r="585" spans="1:4" x14ac:dyDescent="0.45">
      <c r="A585" t="s">
        <v>58</v>
      </c>
      <c r="B585">
        <v>2016</v>
      </c>
      <c r="C585" t="s">
        <v>76</v>
      </c>
      <c r="D585">
        <v>2.61</v>
      </c>
    </row>
    <row r="586" spans="1:4" x14ac:dyDescent="0.45">
      <c r="A586" t="s">
        <v>91</v>
      </c>
      <c r="B586">
        <v>2016</v>
      </c>
      <c r="C586" t="s">
        <v>76</v>
      </c>
      <c r="D586">
        <v>1.91</v>
      </c>
    </row>
    <row r="587" spans="1:4" x14ac:dyDescent="0.45">
      <c r="A587" t="s">
        <v>32</v>
      </c>
      <c r="B587">
        <v>2017</v>
      </c>
      <c r="C587" t="s">
        <v>76</v>
      </c>
      <c r="D587">
        <v>13.56</v>
      </c>
    </row>
    <row r="588" spans="1:4" x14ac:dyDescent="0.45">
      <c r="A588" t="s">
        <v>34</v>
      </c>
      <c r="B588">
        <v>2017</v>
      </c>
      <c r="C588" t="s">
        <v>76</v>
      </c>
      <c r="D588">
        <v>1076.3800000000001</v>
      </c>
    </row>
    <row r="589" spans="1:4" x14ac:dyDescent="0.45">
      <c r="A589" t="s">
        <v>36</v>
      </c>
      <c r="B589">
        <v>2017</v>
      </c>
      <c r="C589" t="s">
        <v>76</v>
      </c>
      <c r="D589">
        <v>654.79</v>
      </c>
    </row>
    <row r="590" spans="1:4" x14ac:dyDescent="0.45">
      <c r="A590" t="s">
        <v>56</v>
      </c>
      <c r="B590">
        <v>2017</v>
      </c>
      <c r="C590" t="s">
        <v>76</v>
      </c>
      <c r="D590">
        <v>6.98</v>
      </c>
    </row>
    <row r="591" spans="1:4" x14ac:dyDescent="0.45">
      <c r="A591" t="s">
        <v>57</v>
      </c>
      <c r="B591">
        <v>2017</v>
      </c>
      <c r="C591" t="s">
        <v>76</v>
      </c>
      <c r="D591">
        <v>4.0999999999999996</v>
      </c>
    </row>
    <row r="592" spans="1:4" x14ac:dyDescent="0.45">
      <c r="A592" t="s">
        <v>38</v>
      </c>
      <c r="B592">
        <v>2017</v>
      </c>
      <c r="C592" t="s">
        <v>76</v>
      </c>
      <c r="D592">
        <v>24.93</v>
      </c>
    </row>
    <row r="593" spans="1:4" x14ac:dyDescent="0.45">
      <c r="A593" t="s">
        <v>32</v>
      </c>
      <c r="B593">
        <v>2017</v>
      </c>
      <c r="C593" t="s">
        <v>76</v>
      </c>
      <c r="D593">
        <v>0.72</v>
      </c>
    </row>
    <row r="594" spans="1:4" x14ac:dyDescent="0.45">
      <c r="A594" t="s">
        <v>58</v>
      </c>
      <c r="B594">
        <v>2017</v>
      </c>
      <c r="C594" t="s">
        <v>76</v>
      </c>
      <c r="D594">
        <v>3.67</v>
      </c>
    </row>
    <row r="595" spans="1:4" x14ac:dyDescent="0.45">
      <c r="A595" t="s">
        <v>91</v>
      </c>
      <c r="B595">
        <v>2017</v>
      </c>
      <c r="C595" t="s">
        <v>76</v>
      </c>
      <c r="D595">
        <v>2.14</v>
      </c>
    </row>
    <row r="596" spans="1:4" x14ac:dyDescent="0.45">
      <c r="A596" t="s">
        <v>32</v>
      </c>
      <c r="B596">
        <v>2018</v>
      </c>
      <c r="C596" t="s">
        <v>76</v>
      </c>
      <c r="D596">
        <v>13.37</v>
      </c>
    </row>
    <row r="597" spans="1:4" x14ac:dyDescent="0.45">
      <c r="A597" t="s">
        <v>34</v>
      </c>
      <c r="B597">
        <v>2018</v>
      </c>
      <c r="C597" t="s">
        <v>76</v>
      </c>
      <c r="D597">
        <v>1025.8800000000001</v>
      </c>
    </row>
    <row r="598" spans="1:4" x14ac:dyDescent="0.45">
      <c r="A598" t="s">
        <v>36</v>
      </c>
      <c r="B598">
        <v>2018</v>
      </c>
      <c r="C598" t="s">
        <v>76</v>
      </c>
      <c r="D598">
        <v>742.01</v>
      </c>
    </row>
    <row r="599" spans="1:4" x14ac:dyDescent="0.45">
      <c r="A599" t="s">
        <v>56</v>
      </c>
      <c r="B599">
        <v>2018</v>
      </c>
      <c r="C599" t="s">
        <v>76</v>
      </c>
      <c r="D599">
        <v>6.81</v>
      </c>
    </row>
    <row r="600" spans="1:4" x14ac:dyDescent="0.45">
      <c r="A600" t="s">
        <v>57</v>
      </c>
      <c r="B600">
        <v>2018</v>
      </c>
      <c r="C600" t="s">
        <v>76</v>
      </c>
      <c r="D600">
        <v>4.1100000000000003</v>
      </c>
    </row>
    <row r="601" spans="1:4" x14ac:dyDescent="0.45">
      <c r="A601" t="s">
        <v>38</v>
      </c>
      <c r="B601">
        <v>2018</v>
      </c>
      <c r="C601" t="s">
        <v>76</v>
      </c>
      <c r="D601">
        <v>28.08</v>
      </c>
    </row>
    <row r="602" spans="1:4" x14ac:dyDescent="0.45">
      <c r="A602" t="s">
        <v>32</v>
      </c>
      <c r="B602">
        <v>2018</v>
      </c>
      <c r="C602" t="s">
        <v>76</v>
      </c>
      <c r="D602">
        <v>0.7</v>
      </c>
    </row>
    <row r="603" spans="1:4" x14ac:dyDescent="0.45">
      <c r="A603" t="s">
        <v>58</v>
      </c>
      <c r="B603">
        <v>2018</v>
      </c>
      <c r="C603" t="s">
        <v>76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76</v>
      </c>
      <c r="D604">
        <v>2.2999999999999998</v>
      </c>
    </row>
    <row r="605" spans="1:4" x14ac:dyDescent="0.45">
      <c r="A605" t="s">
        <v>32</v>
      </c>
      <c r="B605">
        <v>2019</v>
      </c>
      <c r="C605" t="s">
        <v>76</v>
      </c>
      <c r="D605">
        <v>12.43</v>
      </c>
    </row>
    <row r="606" spans="1:4" x14ac:dyDescent="0.45">
      <c r="A606" t="s">
        <v>34</v>
      </c>
      <c r="B606">
        <v>2019</v>
      </c>
      <c r="C606" t="s">
        <v>76</v>
      </c>
      <c r="D606">
        <v>861.26</v>
      </c>
    </row>
    <row r="607" spans="1:4" x14ac:dyDescent="0.45">
      <c r="A607" t="s">
        <v>36</v>
      </c>
      <c r="B607">
        <v>2019</v>
      </c>
      <c r="C607" t="s">
        <v>76</v>
      </c>
      <c r="D607">
        <v>800.94</v>
      </c>
    </row>
    <row r="608" spans="1:4" x14ac:dyDescent="0.45">
      <c r="A608" t="s">
        <v>56</v>
      </c>
      <c r="B608">
        <v>2019</v>
      </c>
      <c r="C608" t="s">
        <v>76</v>
      </c>
      <c r="D608">
        <v>6.71</v>
      </c>
    </row>
    <row r="609" spans="1:4" x14ac:dyDescent="0.45">
      <c r="A609" t="s">
        <v>57</v>
      </c>
      <c r="B609">
        <v>2019</v>
      </c>
      <c r="C609" t="s">
        <v>76</v>
      </c>
      <c r="D609">
        <v>4.12</v>
      </c>
    </row>
    <row r="610" spans="1:4" x14ac:dyDescent="0.45">
      <c r="A610" t="s">
        <v>38</v>
      </c>
      <c r="B610">
        <v>2019</v>
      </c>
      <c r="C610" t="s">
        <v>76</v>
      </c>
      <c r="D610">
        <v>24.64</v>
      </c>
    </row>
    <row r="611" spans="1:4" x14ac:dyDescent="0.45">
      <c r="A611" t="s">
        <v>32</v>
      </c>
      <c r="B611">
        <v>2019</v>
      </c>
      <c r="C611" t="s">
        <v>76</v>
      </c>
      <c r="D611">
        <v>0.67</v>
      </c>
    </row>
    <row r="612" spans="1:4" x14ac:dyDescent="0.45">
      <c r="A612" t="s">
        <v>58</v>
      </c>
      <c r="B612">
        <v>2019</v>
      </c>
      <c r="C612" t="s">
        <v>76</v>
      </c>
      <c r="D612">
        <v>5.08</v>
      </c>
    </row>
    <row r="613" spans="1:4" x14ac:dyDescent="0.45">
      <c r="A613" t="s">
        <v>91</v>
      </c>
      <c r="B613">
        <v>2019</v>
      </c>
      <c r="C613" t="s">
        <v>76</v>
      </c>
      <c r="D613">
        <v>2.4900000000000002</v>
      </c>
    </row>
    <row r="614" spans="1:4" x14ac:dyDescent="0.45">
      <c r="A614" t="s">
        <v>32</v>
      </c>
      <c r="B614">
        <v>2020</v>
      </c>
      <c r="C614" t="s">
        <v>76</v>
      </c>
      <c r="D614">
        <v>11.83</v>
      </c>
    </row>
    <row r="615" spans="1:4" x14ac:dyDescent="0.45">
      <c r="A615" t="s">
        <v>34</v>
      </c>
      <c r="B615">
        <v>2020</v>
      </c>
      <c r="C615" t="s">
        <v>76</v>
      </c>
      <c r="D615">
        <v>690.37</v>
      </c>
    </row>
    <row r="616" spans="1:4" x14ac:dyDescent="0.45">
      <c r="A616" t="s">
        <v>36</v>
      </c>
      <c r="B616">
        <v>2020</v>
      </c>
      <c r="C616" t="s">
        <v>76</v>
      </c>
      <c r="D616">
        <v>820.31</v>
      </c>
    </row>
    <row r="617" spans="1:4" x14ac:dyDescent="0.45">
      <c r="A617" t="s">
        <v>56</v>
      </c>
      <c r="B617">
        <v>2020</v>
      </c>
      <c r="C617" t="s">
        <v>76</v>
      </c>
      <c r="D617">
        <v>6.65</v>
      </c>
    </row>
    <row r="618" spans="1:4" x14ac:dyDescent="0.45">
      <c r="A618" t="s">
        <v>57</v>
      </c>
      <c r="B618">
        <v>2020</v>
      </c>
      <c r="C618" t="s">
        <v>76</v>
      </c>
      <c r="D618">
        <v>4.0199999999999996</v>
      </c>
    </row>
    <row r="619" spans="1:4" x14ac:dyDescent="0.45">
      <c r="A619" t="s">
        <v>38</v>
      </c>
      <c r="B619">
        <v>2020</v>
      </c>
      <c r="C619" t="s">
        <v>76</v>
      </c>
      <c r="D619">
        <v>22.6</v>
      </c>
    </row>
    <row r="620" spans="1:4" x14ac:dyDescent="0.45">
      <c r="A620" t="s">
        <v>32</v>
      </c>
      <c r="B620">
        <v>2020</v>
      </c>
      <c r="C620" t="s">
        <v>76</v>
      </c>
      <c r="D620">
        <v>0.68</v>
      </c>
    </row>
    <row r="621" spans="1:4" x14ac:dyDescent="0.45">
      <c r="A621" t="s">
        <v>58</v>
      </c>
      <c r="B621">
        <v>2020</v>
      </c>
      <c r="C621" t="s">
        <v>76</v>
      </c>
      <c r="D621">
        <v>6.21</v>
      </c>
    </row>
    <row r="622" spans="1:4" x14ac:dyDescent="0.45">
      <c r="A622" t="s">
        <v>91</v>
      </c>
      <c r="B622">
        <v>2020</v>
      </c>
      <c r="C622" t="s">
        <v>76</v>
      </c>
      <c r="D622">
        <v>2.85</v>
      </c>
    </row>
    <row r="623" spans="1:4" x14ac:dyDescent="0.45">
      <c r="A623" t="s">
        <v>32</v>
      </c>
      <c r="B623">
        <v>2021</v>
      </c>
      <c r="C623" t="s">
        <v>76</v>
      </c>
      <c r="D623">
        <v>11.73</v>
      </c>
    </row>
    <row r="624" spans="1:4" x14ac:dyDescent="0.45">
      <c r="A624" t="s">
        <v>34</v>
      </c>
      <c r="B624">
        <v>2021</v>
      </c>
      <c r="C624" t="s">
        <v>76</v>
      </c>
      <c r="D624">
        <v>801.35</v>
      </c>
    </row>
    <row r="625" spans="1:4" x14ac:dyDescent="0.45">
      <c r="A625" t="s">
        <v>36</v>
      </c>
      <c r="B625">
        <v>2021</v>
      </c>
      <c r="C625" t="s">
        <v>76</v>
      </c>
      <c r="D625">
        <v>797.59</v>
      </c>
    </row>
    <row r="626" spans="1:4" x14ac:dyDescent="0.45">
      <c r="A626" t="s">
        <v>56</v>
      </c>
      <c r="B626">
        <v>2021</v>
      </c>
      <c r="C626" t="s">
        <v>76</v>
      </c>
      <c r="D626">
        <v>5.86</v>
      </c>
    </row>
    <row r="627" spans="1:4" x14ac:dyDescent="0.45">
      <c r="A627" t="s">
        <v>57</v>
      </c>
      <c r="B627">
        <v>2021</v>
      </c>
      <c r="C627" t="s">
        <v>76</v>
      </c>
      <c r="D627">
        <v>3.97</v>
      </c>
    </row>
    <row r="628" spans="1:4" x14ac:dyDescent="0.45">
      <c r="A628" t="s">
        <v>38</v>
      </c>
      <c r="B628">
        <v>2021</v>
      </c>
      <c r="C628" t="s">
        <v>76</v>
      </c>
      <c r="D628">
        <v>23.16</v>
      </c>
    </row>
    <row r="629" spans="1:4" x14ac:dyDescent="0.45">
      <c r="A629" t="s">
        <v>32</v>
      </c>
      <c r="B629">
        <v>2021</v>
      </c>
      <c r="C629" t="s">
        <v>76</v>
      </c>
      <c r="D629">
        <v>0.69</v>
      </c>
    </row>
    <row r="630" spans="1:4" x14ac:dyDescent="0.45">
      <c r="A630" t="s">
        <v>58</v>
      </c>
      <c r="B630">
        <v>2021</v>
      </c>
      <c r="C630" t="s">
        <v>76</v>
      </c>
      <c r="D630">
        <v>7.81</v>
      </c>
    </row>
    <row r="631" spans="1:4" x14ac:dyDescent="0.45">
      <c r="A631" t="s">
        <v>91</v>
      </c>
      <c r="B631">
        <v>2021</v>
      </c>
      <c r="C631" t="s">
        <v>76</v>
      </c>
      <c r="D631">
        <v>3.19</v>
      </c>
    </row>
    <row r="632" spans="1:4" x14ac:dyDescent="0.45">
      <c r="A632" t="s">
        <v>32</v>
      </c>
      <c r="B632">
        <v>2022</v>
      </c>
      <c r="C632" t="s">
        <v>76</v>
      </c>
      <c r="D632">
        <v>11.21</v>
      </c>
    </row>
    <row r="633" spans="1:4" x14ac:dyDescent="0.45">
      <c r="A633" t="s">
        <v>34</v>
      </c>
      <c r="B633">
        <v>2022</v>
      </c>
      <c r="C633" t="s">
        <v>76</v>
      </c>
      <c r="D633">
        <v>742.01</v>
      </c>
    </row>
    <row r="634" spans="1:4" x14ac:dyDescent="0.45">
      <c r="A634" t="s">
        <v>36</v>
      </c>
      <c r="B634">
        <v>2022</v>
      </c>
      <c r="C634" t="s">
        <v>76</v>
      </c>
      <c r="D634">
        <v>852.07</v>
      </c>
    </row>
    <row r="635" spans="1:4" x14ac:dyDescent="0.45">
      <c r="A635" t="s">
        <v>56</v>
      </c>
      <c r="B635">
        <v>2022</v>
      </c>
      <c r="C635" t="s">
        <v>76</v>
      </c>
      <c r="D635">
        <v>5.91</v>
      </c>
    </row>
    <row r="636" spans="1:4" x14ac:dyDescent="0.45">
      <c r="A636" t="s">
        <v>57</v>
      </c>
      <c r="B636">
        <v>2022</v>
      </c>
      <c r="C636" t="s">
        <v>76</v>
      </c>
      <c r="D636">
        <v>3.93</v>
      </c>
    </row>
    <row r="637" spans="1:4" x14ac:dyDescent="0.45">
      <c r="A637" t="s">
        <v>38</v>
      </c>
      <c r="B637">
        <v>2022</v>
      </c>
      <c r="C637" t="s">
        <v>76</v>
      </c>
      <c r="D637">
        <v>25.43</v>
      </c>
    </row>
    <row r="638" spans="1:4" x14ac:dyDescent="0.45">
      <c r="A638" t="s">
        <v>32</v>
      </c>
      <c r="B638">
        <v>2022</v>
      </c>
      <c r="C638" t="s">
        <v>76</v>
      </c>
      <c r="D638">
        <v>0.68</v>
      </c>
    </row>
    <row r="639" spans="1:4" x14ac:dyDescent="0.45">
      <c r="A639" t="s">
        <v>58</v>
      </c>
      <c r="B639">
        <v>2022</v>
      </c>
      <c r="C639" t="s">
        <v>76</v>
      </c>
      <c r="D639">
        <v>9.74</v>
      </c>
    </row>
    <row r="640" spans="1:4" x14ac:dyDescent="0.45">
      <c r="A640" t="s">
        <v>91</v>
      </c>
      <c r="B640">
        <v>2022</v>
      </c>
      <c r="C640" t="s">
        <v>76</v>
      </c>
      <c r="D640">
        <v>3.66</v>
      </c>
    </row>
    <row r="641" spans="1:4" x14ac:dyDescent="0.45">
      <c r="A641" t="s">
        <v>32</v>
      </c>
      <c r="B641">
        <v>2023</v>
      </c>
      <c r="C641" t="s">
        <v>76</v>
      </c>
      <c r="D641">
        <v>10.199999999999999</v>
      </c>
    </row>
    <row r="642" spans="1:4" x14ac:dyDescent="0.45">
      <c r="A642" t="s">
        <v>34</v>
      </c>
      <c r="B642">
        <v>2023</v>
      </c>
      <c r="C642" t="s">
        <v>76</v>
      </c>
      <c r="D642">
        <v>602.54</v>
      </c>
    </row>
    <row r="643" spans="1:4" x14ac:dyDescent="0.45">
      <c r="A643" t="s">
        <v>36</v>
      </c>
      <c r="B643">
        <v>2023</v>
      </c>
      <c r="C643" t="s">
        <v>76</v>
      </c>
      <c r="D643">
        <v>912.18</v>
      </c>
    </row>
    <row r="644" spans="1:4" x14ac:dyDescent="0.45">
      <c r="A644" t="s">
        <v>56</v>
      </c>
      <c r="B644">
        <v>2023</v>
      </c>
      <c r="C644" t="s">
        <v>76</v>
      </c>
      <c r="D644">
        <v>5.68</v>
      </c>
    </row>
    <row r="645" spans="1:4" x14ac:dyDescent="0.45">
      <c r="A645" t="s">
        <v>57</v>
      </c>
      <c r="B645">
        <v>2023</v>
      </c>
      <c r="C645" t="s">
        <v>76</v>
      </c>
      <c r="D645">
        <v>3.94</v>
      </c>
    </row>
    <row r="646" spans="1:4" x14ac:dyDescent="0.45">
      <c r="A646" t="s">
        <v>38</v>
      </c>
      <c r="B646">
        <v>2023</v>
      </c>
      <c r="C646" t="s">
        <v>76</v>
      </c>
      <c r="D646">
        <v>21.8</v>
      </c>
    </row>
    <row r="647" spans="1:4" x14ac:dyDescent="0.45">
      <c r="A647" t="s">
        <v>32</v>
      </c>
      <c r="B647">
        <v>2023</v>
      </c>
      <c r="C647" t="s">
        <v>76</v>
      </c>
      <c r="D647">
        <v>0.69</v>
      </c>
    </row>
    <row r="648" spans="1:4" x14ac:dyDescent="0.45">
      <c r="A648" t="s">
        <v>58</v>
      </c>
      <c r="B648">
        <v>2023</v>
      </c>
      <c r="C648" t="s">
        <v>76</v>
      </c>
      <c r="D648">
        <v>11.35</v>
      </c>
    </row>
    <row r="649" spans="1:4" x14ac:dyDescent="0.45">
      <c r="A649" t="s">
        <v>91</v>
      </c>
      <c r="B649">
        <v>2023</v>
      </c>
      <c r="C649" t="s">
        <v>76</v>
      </c>
      <c r="D649">
        <v>3.55</v>
      </c>
    </row>
    <row r="650" spans="1:4" x14ac:dyDescent="0.45">
      <c r="A650" t="s">
        <v>59</v>
      </c>
      <c r="B650">
        <v>2000</v>
      </c>
      <c r="C650" t="s">
        <v>74</v>
      </c>
      <c r="D650">
        <v>14.7</v>
      </c>
    </row>
    <row r="651" spans="1:4" x14ac:dyDescent="0.45">
      <c r="A651" t="s">
        <v>60</v>
      </c>
      <c r="B651">
        <v>2000</v>
      </c>
      <c r="C651" t="s">
        <v>74</v>
      </c>
      <c r="D651">
        <v>48.6</v>
      </c>
    </row>
    <row r="652" spans="1:4" x14ac:dyDescent="0.45">
      <c r="A652" t="s">
        <v>59</v>
      </c>
      <c r="B652">
        <v>2001</v>
      </c>
      <c r="C652" t="s">
        <v>74</v>
      </c>
      <c r="D652">
        <v>16.5</v>
      </c>
    </row>
    <row r="653" spans="1:4" x14ac:dyDescent="0.45">
      <c r="A653" t="s">
        <v>60</v>
      </c>
      <c r="B653">
        <v>2001</v>
      </c>
      <c r="C653" t="s">
        <v>74</v>
      </c>
      <c r="D653">
        <v>38.5</v>
      </c>
    </row>
    <row r="654" spans="1:4" x14ac:dyDescent="0.45">
      <c r="A654" t="s">
        <v>59</v>
      </c>
      <c r="B654">
        <v>2002</v>
      </c>
      <c r="C654" t="s">
        <v>74</v>
      </c>
      <c r="D654">
        <v>13.6</v>
      </c>
    </row>
    <row r="655" spans="1:4" x14ac:dyDescent="0.45">
      <c r="A655" t="s">
        <v>60</v>
      </c>
      <c r="B655">
        <v>2002</v>
      </c>
      <c r="C655" t="s">
        <v>74</v>
      </c>
      <c r="D655">
        <v>36.4</v>
      </c>
    </row>
    <row r="656" spans="1:4" x14ac:dyDescent="0.45">
      <c r="A656" t="s">
        <v>59</v>
      </c>
      <c r="B656">
        <v>2003</v>
      </c>
      <c r="C656" t="s">
        <v>74</v>
      </c>
      <c r="D656">
        <v>24</v>
      </c>
    </row>
    <row r="657" spans="1:4" x14ac:dyDescent="0.45">
      <c r="A657" t="s">
        <v>60</v>
      </c>
      <c r="B657">
        <v>2003</v>
      </c>
      <c r="C657" t="s">
        <v>74</v>
      </c>
      <c r="D657">
        <v>30.4</v>
      </c>
    </row>
    <row r="658" spans="1:4" x14ac:dyDescent="0.45">
      <c r="A658" t="s">
        <v>59</v>
      </c>
      <c r="B658">
        <v>2004</v>
      </c>
      <c r="C658" t="s">
        <v>74</v>
      </c>
      <c r="D658">
        <v>22.9</v>
      </c>
    </row>
    <row r="659" spans="1:4" x14ac:dyDescent="0.45">
      <c r="A659" t="s">
        <v>60</v>
      </c>
      <c r="B659">
        <v>2004</v>
      </c>
      <c r="C659" t="s">
        <v>74</v>
      </c>
      <c r="D659">
        <v>34.200000000000003</v>
      </c>
    </row>
    <row r="660" spans="1:4" x14ac:dyDescent="0.45">
      <c r="A660" t="s">
        <v>59</v>
      </c>
      <c r="B660">
        <v>2005</v>
      </c>
      <c r="C660" t="s">
        <v>74</v>
      </c>
      <c r="D660">
        <v>19.8</v>
      </c>
    </row>
    <row r="661" spans="1:4" x14ac:dyDescent="0.45">
      <c r="A661" t="s">
        <v>60</v>
      </c>
      <c r="B661">
        <v>2005</v>
      </c>
      <c r="C661" t="s">
        <v>74</v>
      </c>
      <c r="D661">
        <v>44.5</v>
      </c>
    </row>
    <row r="662" spans="1:4" x14ac:dyDescent="0.45">
      <c r="A662" t="s">
        <v>59</v>
      </c>
      <c r="B662">
        <v>2006</v>
      </c>
      <c r="C662" t="s">
        <v>74</v>
      </c>
      <c r="D662">
        <v>24.3</v>
      </c>
    </row>
    <row r="663" spans="1:4" x14ac:dyDescent="0.45">
      <c r="A663" t="s">
        <v>60</v>
      </c>
      <c r="B663">
        <v>2006</v>
      </c>
      <c r="C663" t="s">
        <v>74</v>
      </c>
      <c r="D663">
        <v>42.7</v>
      </c>
    </row>
    <row r="664" spans="1:4" x14ac:dyDescent="0.45">
      <c r="A664" t="s">
        <v>59</v>
      </c>
      <c r="B664">
        <v>2007</v>
      </c>
      <c r="C664" t="s">
        <v>74</v>
      </c>
      <c r="D664">
        <v>20.100000000000001</v>
      </c>
    </row>
    <row r="665" spans="1:4" x14ac:dyDescent="0.45">
      <c r="A665" t="s">
        <v>60</v>
      </c>
      <c r="B665">
        <v>2007</v>
      </c>
      <c r="C665" t="s">
        <v>74</v>
      </c>
      <c r="D665">
        <v>51.4</v>
      </c>
    </row>
    <row r="666" spans="1:4" x14ac:dyDescent="0.45">
      <c r="A666" t="s">
        <v>59</v>
      </c>
      <c r="B666">
        <v>2008</v>
      </c>
      <c r="C666" t="s">
        <v>74</v>
      </c>
      <c r="D666">
        <v>24.2</v>
      </c>
    </row>
    <row r="667" spans="1:4" x14ac:dyDescent="0.45">
      <c r="A667" t="s">
        <v>60</v>
      </c>
      <c r="B667">
        <v>2008</v>
      </c>
      <c r="C667" t="s">
        <v>74</v>
      </c>
      <c r="D667">
        <v>57</v>
      </c>
    </row>
    <row r="668" spans="1:4" x14ac:dyDescent="0.45">
      <c r="A668" t="s">
        <v>59</v>
      </c>
      <c r="B668">
        <v>2009</v>
      </c>
      <c r="C668" t="s">
        <v>74</v>
      </c>
      <c r="D668">
        <v>18.100000000000001</v>
      </c>
    </row>
    <row r="669" spans="1:4" x14ac:dyDescent="0.45">
      <c r="A669" t="s">
        <v>60</v>
      </c>
      <c r="B669">
        <v>2009</v>
      </c>
      <c r="C669" t="s">
        <v>74</v>
      </c>
      <c r="D669">
        <v>52.2</v>
      </c>
    </row>
    <row r="670" spans="1:4" x14ac:dyDescent="0.45">
      <c r="A670" t="s">
        <v>59</v>
      </c>
      <c r="B670">
        <v>2010</v>
      </c>
      <c r="C670" t="s">
        <v>74</v>
      </c>
      <c r="D670">
        <v>19.100000000000001</v>
      </c>
    </row>
    <row r="671" spans="1:4" x14ac:dyDescent="0.45">
      <c r="A671" t="s">
        <v>60</v>
      </c>
      <c r="B671">
        <v>2010</v>
      </c>
      <c r="C671" t="s">
        <v>74</v>
      </c>
      <c r="D671">
        <v>45.1</v>
      </c>
    </row>
    <row r="672" spans="1:4" x14ac:dyDescent="0.45">
      <c r="A672" t="s">
        <v>59</v>
      </c>
      <c r="B672">
        <v>2011</v>
      </c>
      <c r="C672" t="s">
        <v>74</v>
      </c>
      <c r="D672">
        <v>15</v>
      </c>
    </row>
    <row r="673" spans="1:4" x14ac:dyDescent="0.45">
      <c r="A673" t="s">
        <v>60</v>
      </c>
      <c r="B673">
        <v>2011</v>
      </c>
      <c r="C673" t="s">
        <v>74</v>
      </c>
      <c r="D673">
        <v>52.3</v>
      </c>
    </row>
    <row r="674" spans="1:4" x14ac:dyDescent="0.45">
      <c r="A674" t="s">
        <v>59</v>
      </c>
      <c r="B674">
        <v>2012</v>
      </c>
      <c r="C674" t="s">
        <v>74</v>
      </c>
      <c r="D674">
        <v>12</v>
      </c>
    </row>
    <row r="675" spans="1:4" x14ac:dyDescent="0.45">
      <c r="A675" t="s">
        <v>60</v>
      </c>
      <c r="B675">
        <v>2012</v>
      </c>
      <c r="C675" t="s">
        <v>74</v>
      </c>
      <c r="D675">
        <v>59.3</v>
      </c>
    </row>
    <row r="676" spans="1:4" x14ac:dyDescent="0.45">
      <c r="A676" t="s">
        <v>59</v>
      </c>
      <c r="B676">
        <v>2013</v>
      </c>
      <c r="C676" t="s">
        <v>74</v>
      </c>
      <c r="D676">
        <v>11.4</v>
      </c>
    </row>
    <row r="677" spans="1:4" x14ac:dyDescent="0.45">
      <c r="A677" t="s">
        <v>60</v>
      </c>
      <c r="B677">
        <v>2013</v>
      </c>
      <c r="C677" t="s">
        <v>74</v>
      </c>
      <c r="D677">
        <v>70.400000000000006</v>
      </c>
    </row>
    <row r="678" spans="1:4" x14ac:dyDescent="0.45">
      <c r="A678" t="s">
        <v>59</v>
      </c>
      <c r="B678">
        <v>2014</v>
      </c>
      <c r="C678" t="s">
        <v>74</v>
      </c>
      <c r="D678">
        <v>13.3</v>
      </c>
    </row>
    <row r="679" spans="1:4" x14ac:dyDescent="0.45">
      <c r="A679" t="s">
        <v>60</v>
      </c>
      <c r="B679">
        <v>2014</v>
      </c>
      <c r="C679" t="s">
        <v>74</v>
      </c>
      <c r="D679">
        <v>66.5</v>
      </c>
    </row>
    <row r="680" spans="1:4" x14ac:dyDescent="0.45">
      <c r="A680" t="s">
        <v>59</v>
      </c>
      <c r="B680">
        <v>2015</v>
      </c>
      <c r="C680" t="s">
        <v>74</v>
      </c>
      <c r="D680">
        <v>9.1</v>
      </c>
    </row>
    <row r="681" spans="1:4" x14ac:dyDescent="0.45">
      <c r="A681" t="s">
        <v>60</v>
      </c>
      <c r="B681">
        <v>2015</v>
      </c>
      <c r="C681" t="s">
        <v>74</v>
      </c>
      <c r="D681">
        <v>75.8</v>
      </c>
    </row>
    <row r="682" spans="1:4" x14ac:dyDescent="0.45">
      <c r="A682" t="s">
        <v>59</v>
      </c>
      <c r="B682">
        <v>2016</v>
      </c>
      <c r="C682" t="s">
        <v>74</v>
      </c>
      <c r="D682">
        <v>6.2</v>
      </c>
    </row>
    <row r="683" spans="1:4" x14ac:dyDescent="0.45">
      <c r="A683" t="s">
        <v>60</v>
      </c>
      <c r="B683">
        <v>2016</v>
      </c>
      <c r="C683" t="s">
        <v>74</v>
      </c>
      <c r="D683">
        <v>72.7</v>
      </c>
    </row>
    <row r="684" spans="1:4" x14ac:dyDescent="0.45">
      <c r="A684" t="s">
        <v>59</v>
      </c>
      <c r="B684">
        <v>2017</v>
      </c>
      <c r="C684" t="s">
        <v>74</v>
      </c>
      <c r="D684">
        <v>9.4</v>
      </c>
    </row>
    <row r="685" spans="1:4" x14ac:dyDescent="0.45">
      <c r="A685" t="s">
        <v>60</v>
      </c>
      <c r="B685">
        <v>2017</v>
      </c>
      <c r="C685" t="s">
        <v>74</v>
      </c>
      <c r="D685">
        <v>65.7</v>
      </c>
    </row>
    <row r="686" spans="1:4" x14ac:dyDescent="0.45">
      <c r="A686" t="s">
        <v>59</v>
      </c>
      <c r="B686">
        <v>2018</v>
      </c>
      <c r="C686" t="s">
        <v>74</v>
      </c>
      <c r="D686">
        <v>13.8</v>
      </c>
    </row>
    <row r="687" spans="1:4" x14ac:dyDescent="0.45">
      <c r="A687" t="s">
        <v>60</v>
      </c>
      <c r="B687">
        <v>2018</v>
      </c>
      <c r="C687" t="s">
        <v>74</v>
      </c>
      <c r="D687">
        <v>58.3</v>
      </c>
    </row>
    <row r="688" spans="1:4" x14ac:dyDescent="0.45">
      <c r="A688" t="s">
        <v>59</v>
      </c>
      <c r="B688">
        <v>2019</v>
      </c>
      <c r="C688" t="s">
        <v>74</v>
      </c>
      <c r="D688">
        <v>20</v>
      </c>
    </row>
    <row r="689" spans="1:4" x14ac:dyDescent="0.45">
      <c r="A689" t="s">
        <v>60</v>
      </c>
      <c r="B689">
        <v>2019</v>
      </c>
      <c r="C689" t="s">
        <v>74</v>
      </c>
      <c r="D689">
        <v>59.1</v>
      </c>
    </row>
    <row r="690" spans="1:4" x14ac:dyDescent="0.45">
      <c r="A690" t="s">
        <v>59</v>
      </c>
      <c r="B690">
        <v>2020</v>
      </c>
      <c r="C690" t="s">
        <v>74</v>
      </c>
      <c r="D690">
        <v>14.1</v>
      </c>
    </row>
    <row r="691" spans="1:4" x14ac:dyDescent="0.45">
      <c r="A691" t="s">
        <v>60</v>
      </c>
      <c r="B691">
        <v>2020</v>
      </c>
      <c r="C691" t="s">
        <v>74</v>
      </c>
      <c r="D691">
        <v>61.4</v>
      </c>
    </row>
    <row r="692" spans="1:4" x14ac:dyDescent="0.45">
      <c r="A692" t="s">
        <v>59</v>
      </c>
      <c r="B692">
        <v>2021</v>
      </c>
      <c r="C692" t="s">
        <v>74</v>
      </c>
      <c r="D692">
        <v>13.9</v>
      </c>
    </row>
    <row r="693" spans="1:4" x14ac:dyDescent="0.45">
      <c r="A693" t="s">
        <v>60</v>
      </c>
      <c r="B693">
        <v>2021</v>
      </c>
      <c r="C693" t="s">
        <v>74</v>
      </c>
      <c r="D693">
        <v>53.2</v>
      </c>
    </row>
    <row r="694" spans="1:4" x14ac:dyDescent="0.45">
      <c r="A694" t="s">
        <v>59</v>
      </c>
      <c r="B694">
        <v>2022</v>
      </c>
      <c r="C694" t="s">
        <v>74</v>
      </c>
      <c r="D694">
        <v>15.8</v>
      </c>
    </row>
    <row r="695" spans="1:4" x14ac:dyDescent="0.45">
      <c r="A695" t="s">
        <v>60</v>
      </c>
      <c r="B695">
        <v>2022</v>
      </c>
      <c r="C695" t="s">
        <v>74</v>
      </c>
      <c r="D695">
        <v>57</v>
      </c>
    </row>
    <row r="696" spans="1:4" x14ac:dyDescent="0.45">
      <c r="A696" t="s">
        <v>59</v>
      </c>
      <c r="B696">
        <v>2023</v>
      </c>
      <c r="C696" t="s">
        <v>74</v>
      </c>
      <c r="D696">
        <v>19.899999999999999</v>
      </c>
    </row>
    <row r="697" spans="1:4" x14ac:dyDescent="0.45">
      <c r="A697" t="s">
        <v>60</v>
      </c>
      <c r="B697">
        <v>2023</v>
      </c>
      <c r="C697" t="s">
        <v>74</v>
      </c>
      <c r="D697">
        <v>38.9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448.7842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241.16400000000002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47.194000000000003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230.9298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340.87900000000002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41.845999999999997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69.795000000000002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371.58550000000002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22.148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36.143000000000001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438.04750000000001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1.169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15.547599999999999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480.50749999999999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4.8786000000000005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476.839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0.50760000000000005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382.87700000000001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448.21080000000001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240.85599999999999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47.088999999999999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471.66379999999998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281.1875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46.823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430.64219999999995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368.27449999999999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33.991999999999997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357.88620000000003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409.01300000000003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17.423000000000002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217.76040000000003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443.56400000000002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240.9502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484.58300000000003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245.857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539.60500000000002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448.33299999999997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240.9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47.082000000000001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471.91760000000005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281.29749999999996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46.830000000000005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430.97120000000007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368.5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33.991999999999997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44.828600000000002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438.78449999999998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15.540000000000001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6.3826000000000001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447.64499999999998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0.67679999999999996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391.8365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0.68620000000000003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303.05550000000005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448.62439999999998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241.05950000000001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47.144999999999996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472.39699999999999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281.57250000000005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46.893000000000001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431.601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369.02800000000002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34.055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197.30600000000001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409.87650000000002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15.029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64.474599999999995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481.79450000000003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5.734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472.24649999999997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0.53580000000000005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396.59399999999999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448.60560000000004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241.08699999999999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47.187000000000005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230.73240000000001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340.6755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41.845999999999997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60.911999999999999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263.846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11.417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21.497799999999998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152.00899999999999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7.2285999999999992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62.452500000000001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3.1678000000000002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89.369500000000002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3.6472000000000002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131.21350000000001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448.34239999999994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240.92749999999998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47.117000000000004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230.53500000000003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340.34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41.748000000000005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144.70360000000002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366.82799999999997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24.626000000000001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42.751199999999997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466.202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4.109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36.8386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505.03749999999997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14.015400000000001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576.38349999999991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1.2407999999999999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669.12450000000001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448.66199999999998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241.11449999999999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47.194000000000003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230.79819999999998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340.74700000000001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41.838999999999999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29.967199999999998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186.35650000000001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5.2640000000000002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18.123200000000001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30.772500000000001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1.6450000000000002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16.0105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3.1678000000000002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15.345000000000001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1.9740000000000002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4.8784999999999998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2.2551000000000001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4048.3285999999998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51</v>
      </c>
      <c r="E151" t="s">
        <v>46</v>
      </c>
      <c r="F151" t="s">
        <v>51</v>
      </c>
      <c r="G151" t="s">
        <v>49</v>
      </c>
      <c r="H151" t="s">
        <v>50</v>
      </c>
      <c r="I151">
        <v>2020</v>
      </c>
      <c r="J151">
        <v>4763.2656999999999</v>
      </c>
      <c r="K151" t="s">
        <v>51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3.1556000000000002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2020</v>
      </c>
      <c r="J153">
        <v>10.713200000000001</v>
      </c>
      <c r="K153" t="s">
        <v>28</v>
      </c>
    </row>
    <row r="154" spans="1:12" x14ac:dyDescent="0.45">
      <c r="A154" t="s">
        <v>90</v>
      </c>
      <c r="B154" t="s">
        <v>3</v>
      </c>
      <c r="C154" t="s">
        <v>84</v>
      </c>
      <c r="D154" t="s">
        <v>27</v>
      </c>
      <c r="E154" t="s">
        <v>25</v>
      </c>
      <c r="F154" t="s">
        <v>27</v>
      </c>
      <c r="G154" t="s">
        <v>26</v>
      </c>
      <c r="H154" t="s">
        <v>10</v>
      </c>
      <c r="I154">
        <v>2020</v>
      </c>
      <c r="J154">
        <v>0.27579999999999999</v>
      </c>
      <c r="K154" t="s">
        <v>27</v>
      </c>
    </row>
    <row r="155" spans="1:12" x14ac:dyDescent="0.45">
      <c r="A155" t="s">
        <v>90</v>
      </c>
      <c r="B155" t="s">
        <v>3</v>
      </c>
      <c r="C155" t="s">
        <v>84</v>
      </c>
      <c r="D155" t="s">
        <v>29</v>
      </c>
      <c r="E155" t="s">
        <v>30</v>
      </c>
      <c r="F155" t="s">
        <v>29</v>
      </c>
      <c r="G155" t="s">
        <v>31</v>
      </c>
      <c r="H155" t="s">
        <v>32</v>
      </c>
      <c r="I155">
        <v>2020</v>
      </c>
      <c r="J155">
        <v>5.3799000000000001</v>
      </c>
      <c r="K155" t="s">
        <v>29</v>
      </c>
    </row>
    <row r="156" spans="1:12" x14ac:dyDescent="0.45">
      <c r="A156" t="s">
        <v>90</v>
      </c>
      <c r="B156" t="s">
        <v>3</v>
      </c>
      <c r="C156" t="s">
        <v>84</v>
      </c>
      <c r="D156" t="s">
        <v>33</v>
      </c>
      <c r="E156" t="s">
        <v>30</v>
      </c>
      <c r="F156" t="s">
        <v>33</v>
      </c>
      <c r="G156" t="s">
        <v>31</v>
      </c>
      <c r="H156" t="s">
        <v>34</v>
      </c>
      <c r="I156">
        <v>2020</v>
      </c>
      <c r="J156">
        <v>2.0344000000000002</v>
      </c>
      <c r="K156" t="s">
        <v>33</v>
      </c>
    </row>
    <row r="157" spans="1:12" x14ac:dyDescent="0.45">
      <c r="A157" t="s">
        <v>90</v>
      </c>
      <c r="B157" t="s">
        <v>3</v>
      </c>
      <c r="C157" t="s">
        <v>84</v>
      </c>
      <c r="D157" t="s">
        <v>35</v>
      </c>
      <c r="E157" t="s">
        <v>30</v>
      </c>
      <c r="F157" t="s">
        <v>35</v>
      </c>
      <c r="G157" t="s">
        <v>31</v>
      </c>
      <c r="H157" t="s">
        <v>36</v>
      </c>
      <c r="I157">
        <v>2020</v>
      </c>
      <c r="J157">
        <v>3.9710999999999999</v>
      </c>
      <c r="K157" t="s">
        <v>35</v>
      </c>
    </row>
    <row r="158" spans="1:12" x14ac:dyDescent="0.45">
      <c r="A158" t="s">
        <v>90</v>
      </c>
      <c r="B158" t="s">
        <v>3</v>
      </c>
      <c r="C158" t="s">
        <v>84</v>
      </c>
      <c r="D158" t="s">
        <v>37</v>
      </c>
      <c r="E158" t="s">
        <v>30</v>
      </c>
      <c r="F158" t="s">
        <v>37</v>
      </c>
      <c r="G158" t="s">
        <v>31</v>
      </c>
      <c r="H158" t="s">
        <v>38</v>
      </c>
      <c r="I158">
        <v>2020</v>
      </c>
      <c r="J158">
        <v>81.473500000000001</v>
      </c>
      <c r="K158" t="s">
        <v>37</v>
      </c>
    </row>
    <row r="159" spans="1:12" x14ac:dyDescent="0.45">
      <c r="A159" t="s">
        <v>90</v>
      </c>
      <c r="B159" t="s">
        <v>3</v>
      </c>
      <c r="C159" t="s">
        <v>84</v>
      </c>
      <c r="D159" t="s">
        <v>52</v>
      </c>
      <c r="E159" t="s">
        <v>25</v>
      </c>
      <c r="F159" t="s">
        <v>52</v>
      </c>
      <c r="G159" t="s">
        <v>71</v>
      </c>
      <c r="H159" t="s">
        <v>89</v>
      </c>
      <c r="I159">
        <v>2020</v>
      </c>
      <c r="J159">
        <v>3.0137</v>
      </c>
      <c r="K159" t="s">
        <v>52</v>
      </c>
      <c r="L159">
        <v>94</v>
      </c>
    </row>
    <row r="160" spans="1:12" x14ac:dyDescent="0.45">
      <c r="A160" t="s">
        <v>90</v>
      </c>
      <c r="B160" t="s">
        <v>3</v>
      </c>
      <c r="C160" t="s">
        <v>84</v>
      </c>
      <c r="D160" t="s">
        <v>53</v>
      </c>
      <c r="E160" t="s">
        <v>25</v>
      </c>
      <c r="F160" t="s">
        <v>53</v>
      </c>
      <c r="G160" t="s">
        <v>71</v>
      </c>
      <c r="H160" t="s">
        <v>89</v>
      </c>
      <c r="I160">
        <v>2020</v>
      </c>
      <c r="J160">
        <v>7.1176000000000004</v>
      </c>
      <c r="K160" t="s">
        <v>53</v>
      </c>
      <c r="L160">
        <v>55</v>
      </c>
    </row>
    <row r="161" spans="1:12" x14ac:dyDescent="0.45">
      <c r="A161" t="s">
        <v>90</v>
      </c>
      <c r="B161" t="s">
        <v>3</v>
      </c>
      <c r="C161" t="s">
        <v>84</v>
      </c>
      <c r="D161" t="s">
        <v>54</v>
      </c>
      <c r="E161" t="s">
        <v>25</v>
      </c>
      <c r="F161" t="s">
        <v>54</v>
      </c>
      <c r="G161" t="s">
        <v>71</v>
      </c>
      <c r="H161" t="s">
        <v>89</v>
      </c>
      <c r="I161">
        <v>2020</v>
      </c>
      <c r="J161">
        <v>0.128</v>
      </c>
      <c r="K161" t="s">
        <v>54</v>
      </c>
      <c r="L161">
        <v>70</v>
      </c>
    </row>
    <row r="162" spans="1:12" x14ac:dyDescent="0.45">
      <c r="A162" t="s">
        <v>90</v>
      </c>
      <c r="B162" t="s">
        <v>3</v>
      </c>
      <c r="C162" t="s">
        <v>84</v>
      </c>
      <c r="D162" t="s">
        <v>85</v>
      </c>
      <c r="E162" t="s">
        <v>25</v>
      </c>
      <c r="F162" t="s">
        <v>85</v>
      </c>
      <c r="G162" t="s">
        <v>26</v>
      </c>
      <c r="H162" t="s">
        <v>82</v>
      </c>
      <c r="I162">
        <v>2020</v>
      </c>
      <c r="J162">
        <v>0.1113</v>
      </c>
      <c r="K162" t="s">
        <v>85</v>
      </c>
    </row>
    <row r="163" spans="1:12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2025</v>
      </c>
      <c r="J163">
        <v>28.1</v>
      </c>
      <c r="K163" t="s">
        <v>45</v>
      </c>
    </row>
    <row r="164" spans="1:12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2025</v>
      </c>
      <c r="J164">
        <v>3259.13645</v>
      </c>
      <c r="K164" t="s">
        <v>48</v>
      </c>
    </row>
    <row r="165" spans="1:12" x14ac:dyDescent="0.45">
      <c r="A165" t="s">
        <v>90</v>
      </c>
      <c r="B165" t="s">
        <v>3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2025</v>
      </c>
      <c r="J165">
        <v>3973.5726500000001</v>
      </c>
      <c r="K165" t="s">
        <v>51</v>
      </c>
    </row>
    <row r="166" spans="1:12" x14ac:dyDescent="0.45">
      <c r="A166" t="s">
        <v>90</v>
      </c>
      <c r="B166" t="s">
        <v>3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2025</v>
      </c>
      <c r="J166">
        <v>3.2135500000000001</v>
      </c>
      <c r="K166" t="s">
        <v>24</v>
      </c>
    </row>
    <row r="167" spans="1:12" x14ac:dyDescent="0.45">
      <c r="A167" t="s">
        <v>90</v>
      </c>
      <c r="B167" t="s">
        <v>3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10.6814</v>
      </c>
      <c r="K167" t="s">
        <v>28</v>
      </c>
    </row>
    <row r="168" spans="1:12" x14ac:dyDescent="0.45">
      <c r="A168" t="s">
        <v>90</v>
      </c>
      <c r="B168" t="s">
        <v>3</v>
      </c>
      <c r="C168" t="s">
        <v>84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2025</v>
      </c>
      <c r="J168">
        <v>0.62165000000000004</v>
      </c>
      <c r="K168" t="s">
        <v>27</v>
      </c>
    </row>
    <row r="169" spans="1:12" x14ac:dyDescent="0.45">
      <c r="A169" t="s">
        <v>90</v>
      </c>
      <c r="B169" t="s">
        <v>3</v>
      </c>
      <c r="C169" t="s">
        <v>84</v>
      </c>
      <c r="D169" t="s">
        <v>29</v>
      </c>
      <c r="E169" t="s">
        <v>30</v>
      </c>
      <c r="F169" t="s">
        <v>29</v>
      </c>
      <c r="G169" t="s">
        <v>31</v>
      </c>
      <c r="H169" t="s">
        <v>32</v>
      </c>
      <c r="I169">
        <v>2025</v>
      </c>
      <c r="J169">
        <v>5.6314500000000001</v>
      </c>
      <c r="K169" t="s">
        <v>29</v>
      </c>
    </row>
    <row r="170" spans="1:12" x14ac:dyDescent="0.45">
      <c r="A170" t="s">
        <v>90</v>
      </c>
      <c r="B170" t="s">
        <v>3</v>
      </c>
      <c r="C170" t="s">
        <v>84</v>
      </c>
      <c r="D170" t="s">
        <v>33</v>
      </c>
      <c r="E170" t="s">
        <v>30</v>
      </c>
      <c r="F170" t="s">
        <v>33</v>
      </c>
      <c r="G170" t="s">
        <v>31</v>
      </c>
      <c r="H170" t="s">
        <v>34</v>
      </c>
      <c r="I170">
        <v>2025</v>
      </c>
      <c r="J170">
        <v>2.2276500000000001</v>
      </c>
      <c r="K170" t="s">
        <v>33</v>
      </c>
    </row>
    <row r="171" spans="1:12" x14ac:dyDescent="0.45">
      <c r="A171" t="s">
        <v>90</v>
      </c>
      <c r="B171" t="s">
        <v>3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4.6235499999999998</v>
      </c>
      <c r="K171" t="s">
        <v>35</v>
      </c>
    </row>
    <row r="172" spans="1:12" x14ac:dyDescent="0.45">
      <c r="A172" t="s">
        <v>90</v>
      </c>
      <c r="B172" t="s">
        <v>3</v>
      </c>
      <c r="C172" t="s">
        <v>84</v>
      </c>
      <c r="D172" t="s">
        <v>37</v>
      </c>
      <c r="E172" t="s">
        <v>30</v>
      </c>
      <c r="F172" t="s">
        <v>37</v>
      </c>
      <c r="G172" t="s">
        <v>31</v>
      </c>
      <c r="H172" t="s">
        <v>38</v>
      </c>
      <c r="I172">
        <v>2025</v>
      </c>
      <c r="J172">
        <v>98.146549999999991</v>
      </c>
      <c r="K172" t="s">
        <v>37</v>
      </c>
    </row>
    <row r="173" spans="1:12" x14ac:dyDescent="0.45">
      <c r="A173" t="s">
        <v>90</v>
      </c>
      <c r="B173" t="s">
        <v>3</v>
      </c>
      <c r="C173" t="s">
        <v>84</v>
      </c>
      <c r="D173" t="s">
        <v>52</v>
      </c>
      <c r="E173" t="s">
        <v>25</v>
      </c>
      <c r="F173" t="s">
        <v>52</v>
      </c>
      <c r="G173" t="s">
        <v>71</v>
      </c>
      <c r="H173" t="s">
        <v>89</v>
      </c>
      <c r="I173">
        <v>2025</v>
      </c>
      <c r="J173">
        <v>1.2032</v>
      </c>
      <c r="K173" t="s">
        <v>52</v>
      </c>
      <c r="L173">
        <v>94</v>
      </c>
    </row>
    <row r="174" spans="1:12" x14ac:dyDescent="0.45">
      <c r="A174" t="s">
        <v>90</v>
      </c>
      <c r="B174" t="s">
        <v>3</v>
      </c>
      <c r="C174" t="s">
        <v>84</v>
      </c>
      <c r="D174" t="s">
        <v>53</v>
      </c>
      <c r="E174" t="s">
        <v>25</v>
      </c>
      <c r="F174" t="s">
        <v>53</v>
      </c>
      <c r="G174" t="s">
        <v>71</v>
      </c>
      <c r="H174" t="s">
        <v>89</v>
      </c>
      <c r="I174">
        <v>2025</v>
      </c>
      <c r="J174">
        <v>7.2470999999999997</v>
      </c>
      <c r="K174" t="s">
        <v>53</v>
      </c>
      <c r="L174">
        <v>55</v>
      </c>
    </row>
    <row r="175" spans="1:12" x14ac:dyDescent="0.45">
      <c r="A175" t="s">
        <v>90</v>
      </c>
      <c r="B175" t="s">
        <v>3</v>
      </c>
      <c r="C175" t="s">
        <v>84</v>
      </c>
      <c r="D175" t="s">
        <v>54</v>
      </c>
      <c r="E175" t="s">
        <v>25</v>
      </c>
      <c r="F175" t="s">
        <v>54</v>
      </c>
      <c r="G175" t="s">
        <v>71</v>
      </c>
      <c r="H175" t="s">
        <v>89</v>
      </c>
      <c r="I175">
        <v>2025</v>
      </c>
      <c r="J175">
        <v>7.9000000000000001E-2</v>
      </c>
      <c r="K175" t="s">
        <v>54</v>
      </c>
      <c r="L175">
        <v>70</v>
      </c>
    </row>
    <row r="176" spans="1:12" x14ac:dyDescent="0.45">
      <c r="A176" t="s">
        <v>90</v>
      </c>
      <c r="B176" t="s">
        <v>3</v>
      </c>
      <c r="C176" t="s">
        <v>84</v>
      </c>
      <c r="D176" t="s">
        <v>85</v>
      </c>
      <c r="E176" t="s">
        <v>25</v>
      </c>
      <c r="F176" t="s">
        <v>85</v>
      </c>
      <c r="G176" t="s">
        <v>26</v>
      </c>
      <c r="H176" t="s">
        <v>82</v>
      </c>
      <c r="I176">
        <v>2025</v>
      </c>
      <c r="J176">
        <v>0.46655000000000002</v>
      </c>
      <c r="K176" t="s">
        <v>85</v>
      </c>
    </row>
    <row r="177" spans="1:12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2030</v>
      </c>
      <c r="J177">
        <v>96.32804999999999</v>
      </c>
      <c r="K177" t="s">
        <v>45</v>
      </c>
    </row>
    <row r="178" spans="1:12" x14ac:dyDescent="0.45">
      <c r="A178" t="s">
        <v>90</v>
      </c>
      <c r="B178" t="s">
        <v>3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2030</v>
      </c>
      <c r="J178">
        <v>2309.7064</v>
      </c>
      <c r="K178" t="s">
        <v>48</v>
      </c>
    </row>
    <row r="179" spans="1:12" x14ac:dyDescent="0.45">
      <c r="A179" t="s">
        <v>90</v>
      </c>
      <c r="B179" t="s">
        <v>3</v>
      </c>
      <c r="C179" t="s">
        <v>84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2030</v>
      </c>
      <c r="J179">
        <v>3061.7802000000001</v>
      </c>
      <c r="K179" t="s">
        <v>51</v>
      </c>
    </row>
    <row r="180" spans="1:12" x14ac:dyDescent="0.45">
      <c r="A180" t="s">
        <v>90</v>
      </c>
      <c r="B180" t="s">
        <v>3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2030</v>
      </c>
      <c r="J180">
        <v>3.6166499999999999</v>
      </c>
      <c r="K180" t="s">
        <v>24</v>
      </c>
    </row>
    <row r="181" spans="1:12" x14ac:dyDescent="0.45">
      <c r="A181" t="s">
        <v>90</v>
      </c>
      <c r="B181" t="s">
        <v>3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2030</v>
      </c>
      <c r="J181">
        <v>11.10275</v>
      </c>
      <c r="K181" t="s">
        <v>28</v>
      </c>
    </row>
    <row r="182" spans="1:12" x14ac:dyDescent="0.45">
      <c r="A182" t="s">
        <v>90</v>
      </c>
      <c r="B182" t="s">
        <v>3</v>
      </c>
      <c r="C182" t="s">
        <v>84</v>
      </c>
      <c r="D182" t="s">
        <v>27</v>
      </c>
      <c r="E182" t="s">
        <v>25</v>
      </c>
      <c r="F182" t="s">
        <v>27</v>
      </c>
      <c r="G182" t="s">
        <v>26</v>
      </c>
      <c r="H182" t="s">
        <v>10</v>
      </c>
      <c r="I182">
        <v>2030</v>
      </c>
      <c r="J182">
        <v>1.4724499999999998</v>
      </c>
      <c r="K182" t="s">
        <v>27</v>
      </c>
    </row>
    <row r="183" spans="1:12" x14ac:dyDescent="0.45">
      <c r="A183" t="s">
        <v>90</v>
      </c>
      <c r="B183" t="s">
        <v>3</v>
      </c>
      <c r="C183" t="s">
        <v>84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2030</v>
      </c>
      <c r="J183">
        <v>5.8411499999999998</v>
      </c>
      <c r="K183" t="s">
        <v>29</v>
      </c>
    </row>
    <row r="184" spans="1:12" x14ac:dyDescent="0.45">
      <c r="A184" t="s">
        <v>90</v>
      </c>
      <c r="B184" t="s">
        <v>3</v>
      </c>
      <c r="C184" t="s">
        <v>84</v>
      </c>
      <c r="D184" t="s">
        <v>33</v>
      </c>
      <c r="E184" t="s">
        <v>30</v>
      </c>
      <c r="F184" t="s">
        <v>33</v>
      </c>
      <c r="G184" t="s">
        <v>31</v>
      </c>
      <c r="H184" t="s">
        <v>34</v>
      </c>
      <c r="I184">
        <v>2030</v>
      </c>
      <c r="J184">
        <v>1.7549000000000001</v>
      </c>
      <c r="K184" t="s">
        <v>33</v>
      </c>
    </row>
    <row r="185" spans="1:12" x14ac:dyDescent="0.45">
      <c r="A185" t="s">
        <v>90</v>
      </c>
      <c r="B185" t="s">
        <v>3</v>
      </c>
      <c r="C185" t="s">
        <v>84</v>
      </c>
      <c r="D185" t="s">
        <v>35</v>
      </c>
      <c r="E185" t="s">
        <v>30</v>
      </c>
      <c r="F185" t="s">
        <v>35</v>
      </c>
      <c r="G185" t="s">
        <v>31</v>
      </c>
      <c r="H185" t="s">
        <v>36</v>
      </c>
      <c r="I185">
        <v>2030</v>
      </c>
      <c r="J185">
        <v>4.5770499999999998</v>
      </c>
      <c r="K185" t="s">
        <v>35</v>
      </c>
    </row>
    <row r="186" spans="1:12" x14ac:dyDescent="0.45">
      <c r="A186" t="s">
        <v>90</v>
      </c>
      <c r="B186" t="s">
        <v>3</v>
      </c>
      <c r="C186" t="s">
        <v>84</v>
      </c>
      <c r="D186" t="s">
        <v>37</v>
      </c>
      <c r="E186" t="s">
        <v>30</v>
      </c>
      <c r="F186" t="s">
        <v>37</v>
      </c>
      <c r="G186" t="s">
        <v>31</v>
      </c>
      <c r="H186" t="s">
        <v>38</v>
      </c>
      <c r="I186">
        <v>2030</v>
      </c>
      <c r="J186">
        <v>94.337100000000007</v>
      </c>
      <c r="K186" t="s">
        <v>37</v>
      </c>
    </row>
    <row r="187" spans="1:12" x14ac:dyDescent="0.45">
      <c r="A187" t="s">
        <v>90</v>
      </c>
      <c r="B187" t="s">
        <v>3</v>
      </c>
      <c r="C187" t="s">
        <v>84</v>
      </c>
      <c r="D187" t="s">
        <v>52</v>
      </c>
      <c r="E187" t="s">
        <v>25</v>
      </c>
      <c r="F187" t="s">
        <v>52</v>
      </c>
      <c r="G187" t="s">
        <v>71</v>
      </c>
      <c r="H187" t="s">
        <v>89</v>
      </c>
      <c r="I187">
        <v>2030</v>
      </c>
      <c r="J187">
        <v>6.4999999999999997E-3</v>
      </c>
      <c r="K187" t="s">
        <v>52</v>
      </c>
      <c r="L187">
        <v>94</v>
      </c>
    </row>
    <row r="188" spans="1:12" x14ac:dyDescent="0.45">
      <c r="A188" t="s">
        <v>90</v>
      </c>
      <c r="B188" t="s">
        <v>3</v>
      </c>
      <c r="C188" t="s">
        <v>84</v>
      </c>
      <c r="D188" t="s">
        <v>53</v>
      </c>
      <c r="E188" t="s">
        <v>25</v>
      </c>
      <c r="F188" t="s">
        <v>53</v>
      </c>
      <c r="G188" t="s">
        <v>71</v>
      </c>
      <c r="H188" t="s">
        <v>89</v>
      </c>
      <c r="I188">
        <v>2030</v>
      </c>
      <c r="J188">
        <v>5.7461000000000002</v>
      </c>
      <c r="K188" t="s">
        <v>53</v>
      </c>
      <c r="L188">
        <v>55</v>
      </c>
    </row>
    <row r="189" spans="1:12" x14ac:dyDescent="0.45">
      <c r="A189" t="s">
        <v>90</v>
      </c>
      <c r="B189" t="s">
        <v>3</v>
      </c>
      <c r="C189" t="s">
        <v>84</v>
      </c>
      <c r="D189" t="s">
        <v>54</v>
      </c>
      <c r="E189" t="s">
        <v>25</v>
      </c>
      <c r="F189" t="s">
        <v>54</v>
      </c>
      <c r="G189" t="s">
        <v>71</v>
      </c>
      <c r="H189" t="s">
        <v>89</v>
      </c>
      <c r="I189">
        <v>2030</v>
      </c>
      <c r="J189">
        <v>2.7E-2</v>
      </c>
      <c r="K189" t="s">
        <v>54</v>
      </c>
      <c r="L189">
        <v>70</v>
      </c>
    </row>
    <row r="190" spans="1:12" x14ac:dyDescent="0.45">
      <c r="A190" t="s">
        <v>90</v>
      </c>
      <c r="B190" t="s">
        <v>3</v>
      </c>
      <c r="C190" t="s">
        <v>84</v>
      </c>
      <c r="D190" t="s">
        <v>85</v>
      </c>
      <c r="E190" t="s">
        <v>25</v>
      </c>
      <c r="F190" t="s">
        <v>85</v>
      </c>
      <c r="G190" t="s">
        <v>26</v>
      </c>
      <c r="H190" t="s">
        <v>82</v>
      </c>
      <c r="I190">
        <v>2030</v>
      </c>
      <c r="J190">
        <v>0.83630000000000004</v>
      </c>
      <c r="K190" t="s">
        <v>85</v>
      </c>
    </row>
    <row r="191" spans="1:12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2035</v>
      </c>
      <c r="J191">
        <v>287.94645000000003</v>
      </c>
      <c r="K191" t="s">
        <v>45</v>
      </c>
    </row>
    <row r="192" spans="1:12" x14ac:dyDescent="0.45">
      <c r="A192" t="s">
        <v>90</v>
      </c>
      <c r="B192" t="s">
        <v>3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2035</v>
      </c>
      <c r="J192">
        <v>1301.73</v>
      </c>
      <c r="K192" t="s">
        <v>48</v>
      </c>
    </row>
    <row r="193" spans="1:12" x14ac:dyDescent="0.45">
      <c r="A193" t="s">
        <v>90</v>
      </c>
      <c r="B193" t="s">
        <v>3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2035</v>
      </c>
      <c r="J193">
        <v>2044.0720000000001</v>
      </c>
      <c r="K193" t="s">
        <v>51</v>
      </c>
    </row>
    <row r="194" spans="1:12" x14ac:dyDescent="0.45">
      <c r="A194" t="s">
        <v>90</v>
      </c>
      <c r="B194" t="s">
        <v>3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2035</v>
      </c>
      <c r="J194">
        <v>4.0356500000000004</v>
      </c>
      <c r="K194" t="s">
        <v>24</v>
      </c>
    </row>
    <row r="195" spans="1:12" x14ac:dyDescent="0.45">
      <c r="A195" t="s">
        <v>90</v>
      </c>
      <c r="B195" t="s">
        <v>3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2035</v>
      </c>
      <c r="J195">
        <v>11.627649999999999</v>
      </c>
      <c r="K195" t="s">
        <v>28</v>
      </c>
    </row>
    <row r="196" spans="1:12" x14ac:dyDescent="0.45">
      <c r="A196" t="s">
        <v>90</v>
      </c>
      <c r="B196" t="s">
        <v>3</v>
      </c>
      <c r="C196" t="s">
        <v>84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2035</v>
      </c>
      <c r="J196">
        <v>2.5973000000000002</v>
      </c>
      <c r="K196" t="s">
        <v>27</v>
      </c>
    </row>
    <row r="197" spans="1:12" x14ac:dyDescent="0.45">
      <c r="A197" t="s">
        <v>90</v>
      </c>
      <c r="B197" t="s">
        <v>3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2035</v>
      </c>
      <c r="J197">
        <v>5.4642999999999997</v>
      </c>
      <c r="K197" t="s">
        <v>29</v>
      </c>
    </row>
    <row r="198" spans="1:12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2035</v>
      </c>
      <c r="J198">
        <v>1.4066000000000001</v>
      </c>
      <c r="K198" t="s">
        <v>33</v>
      </c>
    </row>
    <row r="199" spans="1:12" x14ac:dyDescent="0.45">
      <c r="A199" t="s">
        <v>90</v>
      </c>
      <c r="B199" t="s">
        <v>3</v>
      </c>
      <c r="C199" t="s">
        <v>84</v>
      </c>
      <c r="D199" t="s">
        <v>35</v>
      </c>
      <c r="E199" t="s">
        <v>30</v>
      </c>
      <c r="F199" t="s">
        <v>35</v>
      </c>
      <c r="G199" t="s">
        <v>31</v>
      </c>
      <c r="H199" t="s">
        <v>36</v>
      </c>
      <c r="I199">
        <v>2035</v>
      </c>
      <c r="J199">
        <v>5.2363</v>
      </c>
      <c r="K199" t="s">
        <v>35</v>
      </c>
    </row>
    <row r="200" spans="1:12" x14ac:dyDescent="0.45">
      <c r="A200" t="s">
        <v>90</v>
      </c>
      <c r="B200" t="s">
        <v>3</v>
      </c>
      <c r="C200" t="s">
        <v>84</v>
      </c>
      <c r="D200" t="s">
        <v>37</v>
      </c>
      <c r="E200" t="s">
        <v>30</v>
      </c>
      <c r="F200" t="s">
        <v>37</v>
      </c>
      <c r="G200" t="s">
        <v>31</v>
      </c>
      <c r="H200" t="s">
        <v>38</v>
      </c>
      <c r="I200">
        <v>2035</v>
      </c>
      <c r="J200">
        <v>85.162450000000007</v>
      </c>
      <c r="K200" t="s">
        <v>37</v>
      </c>
    </row>
    <row r="201" spans="1:12" x14ac:dyDescent="0.45">
      <c r="A201" t="s">
        <v>90</v>
      </c>
      <c r="B201" t="s">
        <v>3</v>
      </c>
      <c r="C201" t="s">
        <v>84</v>
      </c>
      <c r="D201" t="s">
        <v>52</v>
      </c>
      <c r="E201" t="s">
        <v>25</v>
      </c>
      <c r="F201" t="s">
        <v>52</v>
      </c>
      <c r="G201" t="s">
        <v>71</v>
      </c>
      <c r="H201" t="s">
        <v>89</v>
      </c>
      <c r="I201">
        <v>2035</v>
      </c>
      <c r="J201">
        <v>1.1000000000000001E-3</v>
      </c>
      <c r="K201" t="s">
        <v>52</v>
      </c>
      <c r="L201">
        <v>94</v>
      </c>
    </row>
    <row r="202" spans="1:12" x14ac:dyDescent="0.45">
      <c r="A202" t="s">
        <v>90</v>
      </c>
      <c r="B202" t="s">
        <v>3</v>
      </c>
      <c r="C202" t="s">
        <v>84</v>
      </c>
      <c r="D202" t="s">
        <v>53</v>
      </c>
      <c r="E202" t="s">
        <v>25</v>
      </c>
      <c r="F202" t="s">
        <v>53</v>
      </c>
      <c r="G202" t="s">
        <v>71</v>
      </c>
      <c r="H202" t="s">
        <v>89</v>
      </c>
      <c r="I202">
        <v>2035</v>
      </c>
      <c r="J202">
        <v>2.7808999999999999</v>
      </c>
      <c r="K202" t="s">
        <v>53</v>
      </c>
      <c r="L202">
        <v>55</v>
      </c>
    </row>
    <row r="203" spans="1:12" x14ac:dyDescent="0.45">
      <c r="A203" t="s">
        <v>90</v>
      </c>
      <c r="B203" t="s">
        <v>3</v>
      </c>
      <c r="C203" t="s">
        <v>84</v>
      </c>
      <c r="D203" t="s">
        <v>54</v>
      </c>
      <c r="E203" t="s">
        <v>25</v>
      </c>
      <c r="F203" t="s">
        <v>54</v>
      </c>
      <c r="G203" t="s">
        <v>71</v>
      </c>
      <c r="H203" t="s">
        <v>89</v>
      </c>
      <c r="I203">
        <v>2035</v>
      </c>
      <c r="J203">
        <v>0</v>
      </c>
      <c r="K203" t="s">
        <v>54</v>
      </c>
      <c r="L203">
        <v>70</v>
      </c>
    </row>
    <row r="204" spans="1:12" x14ac:dyDescent="0.45">
      <c r="A204" t="s">
        <v>90</v>
      </c>
      <c r="B204" t="s">
        <v>3</v>
      </c>
      <c r="C204" t="s">
        <v>84</v>
      </c>
      <c r="D204" t="s">
        <v>85</v>
      </c>
      <c r="E204" t="s">
        <v>25</v>
      </c>
      <c r="F204" t="s">
        <v>85</v>
      </c>
      <c r="G204" t="s">
        <v>26</v>
      </c>
      <c r="H204" t="s">
        <v>82</v>
      </c>
      <c r="I204">
        <v>2035</v>
      </c>
      <c r="J204">
        <v>1.1794500000000001</v>
      </c>
      <c r="K204" t="s">
        <v>85</v>
      </c>
    </row>
    <row r="205" spans="1:12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2040</v>
      </c>
      <c r="J205">
        <v>445.5077</v>
      </c>
      <c r="K205" t="s">
        <v>45</v>
      </c>
    </row>
    <row r="206" spans="1:12" x14ac:dyDescent="0.45">
      <c r="A206" t="s">
        <v>90</v>
      </c>
      <c r="B206" t="s">
        <v>3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2040</v>
      </c>
      <c r="J206">
        <v>421.87139999999999</v>
      </c>
      <c r="K206" t="s">
        <v>48</v>
      </c>
    </row>
    <row r="207" spans="1:12" x14ac:dyDescent="0.45">
      <c r="A207" t="s">
        <v>90</v>
      </c>
      <c r="B207" t="s">
        <v>3</v>
      </c>
      <c r="C207" t="s">
        <v>84</v>
      </c>
      <c r="D207" t="s">
        <v>51</v>
      </c>
      <c r="E207" t="s">
        <v>46</v>
      </c>
      <c r="F207" t="s">
        <v>51</v>
      </c>
      <c r="G207" t="s">
        <v>49</v>
      </c>
      <c r="H207" t="s">
        <v>50</v>
      </c>
      <c r="I207">
        <v>2040</v>
      </c>
      <c r="J207">
        <v>1181.9149</v>
      </c>
      <c r="K207" t="s">
        <v>51</v>
      </c>
    </row>
    <row r="208" spans="1:12" x14ac:dyDescent="0.45">
      <c r="A208" t="s">
        <v>90</v>
      </c>
      <c r="B208" t="s">
        <v>3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2040</v>
      </c>
      <c r="J208">
        <v>4.4558499999999999</v>
      </c>
      <c r="K208" t="s">
        <v>24</v>
      </c>
    </row>
    <row r="209" spans="1:12" x14ac:dyDescent="0.45">
      <c r="A209" t="s">
        <v>90</v>
      </c>
      <c r="B209" t="s">
        <v>3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2040</v>
      </c>
      <c r="J209">
        <v>12.32095</v>
      </c>
      <c r="K209" t="s">
        <v>28</v>
      </c>
    </row>
    <row r="210" spans="1:12" x14ac:dyDescent="0.45">
      <c r="A210" t="s">
        <v>90</v>
      </c>
      <c r="B210" t="s">
        <v>3</v>
      </c>
      <c r="C210" t="s">
        <v>84</v>
      </c>
      <c r="D210" t="s">
        <v>27</v>
      </c>
      <c r="E210" t="s">
        <v>25</v>
      </c>
      <c r="F210" t="s">
        <v>27</v>
      </c>
      <c r="G210" t="s">
        <v>26</v>
      </c>
      <c r="H210" t="s">
        <v>10</v>
      </c>
      <c r="I210">
        <v>2040</v>
      </c>
      <c r="J210">
        <v>3.5593000000000004</v>
      </c>
      <c r="K210" t="s">
        <v>27</v>
      </c>
    </row>
    <row r="211" spans="1:12" x14ac:dyDescent="0.45">
      <c r="A211" t="s">
        <v>90</v>
      </c>
      <c r="B211" t="s">
        <v>3</v>
      </c>
      <c r="C211" t="s">
        <v>84</v>
      </c>
      <c r="D211" t="s">
        <v>29</v>
      </c>
      <c r="E211" t="s">
        <v>30</v>
      </c>
      <c r="F211" t="s">
        <v>29</v>
      </c>
      <c r="G211" t="s">
        <v>31</v>
      </c>
      <c r="H211" t="s">
        <v>32</v>
      </c>
      <c r="I211">
        <v>2040</v>
      </c>
      <c r="J211">
        <v>6.8430499999999999</v>
      </c>
      <c r="K211" t="s">
        <v>29</v>
      </c>
    </row>
    <row r="212" spans="1:12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2040</v>
      </c>
      <c r="J212">
        <v>1.3738000000000001</v>
      </c>
      <c r="K212" t="s">
        <v>33</v>
      </c>
    </row>
    <row r="213" spans="1:12" x14ac:dyDescent="0.45">
      <c r="A213" t="s">
        <v>90</v>
      </c>
      <c r="B213" t="s">
        <v>3</v>
      </c>
      <c r="C213" t="s">
        <v>84</v>
      </c>
      <c r="D213" t="s">
        <v>35</v>
      </c>
      <c r="E213" t="s">
        <v>30</v>
      </c>
      <c r="F213" t="s">
        <v>35</v>
      </c>
      <c r="G213" t="s">
        <v>31</v>
      </c>
      <c r="H213" t="s">
        <v>36</v>
      </c>
      <c r="I213">
        <v>2040</v>
      </c>
      <c r="J213">
        <v>5.0498499999999993</v>
      </c>
      <c r="K213" t="s">
        <v>35</v>
      </c>
    </row>
    <row r="214" spans="1:12" x14ac:dyDescent="0.45">
      <c r="A214" t="s">
        <v>90</v>
      </c>
      <c r="B214" t="s">
        <v>3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2040</v>
      </c>
      <c r="J214">
        <v>90.070650000000001</v>
      </c>
      <c r="K214" t="s">
        <v>37</v>
      </c>
    </row>
    <row r="215" spans="1:12" x14ac:dyDescent="0.45">
      <c r="A215" t="s">
        <v>90</v>
      </c>
      <c r="B215" t="s">
        <v>3</v>
      </c>
      <c r="C215" t="s">
        <v>84</v>
      </c>
      <c r="D215" t="s">
        <v>52</v>
      </c>
      <c r="E215" t="s">
        <v>25</v>
      </c>
      <c r="F215" t="s">
        <v>52</v>
      </c>
      <c r="G215" t="s">
        <v>71</v>
      </c>
      <c r="H215" t="s">
        <v>89</v>
      </c>
      <c r="I215">
        <v>2040</v>
      </c>
      <c r="J215">
        <v>8.9999999999999998E-4</v>
      </c>
      <c r="K215" t="s">
        <v>52</v>
      </c>
      <c r="L215">
        <v>94</v>
      </c>
    </row>
    <row r="216" spans="1:12" x14ac:dyDescent="0.45">
      <c r="A216" t="s">
        <v>90</v>
      </c>
      <c r="B216" t="s">
        <v>3</v>
      </c>
      <c r="C216" t="s">
        <v>84</v>
      </c>
      <c r="D216" t="s">
        <v>53</v>
      </c>
      <c r="E216" t="s">
        <v>25</v>
      </c>
      <c r="F216" t="s">
        <v>53</v>
      </c>
      <c r="G216" t="s">
        <v>71</v>
      </c>
      <c r="H216" t="s">
        <v>89</v>
      </c>
      <c r="I216">
        <v>2040</v>
      </c>
      <c r="J216">
        <v>1.5029999999999999</v>
      </c>
      <c r="K216" t="s">
        <v>53</v>
      </c>
      <c r="L216">
        <v>55</v>
      </c>
    </row>
    <row r="217" spans="1:12" x14ac:dyDescent="0.45">
      <c r="A217" t="s">
        <v>90</v>
      </c>
      <c r="B217" t="s">
        <v>3</v>
      </c>
      <c r="C217" t="s">
        <v>84</v>
      </c>
      <c r="D217" t="s">
        <v>54</v>
      </c>
      <c r="E217" t="s">
        <v>25</v>
      </c>
      <c r="F217" t="s">
        <v>54</v>
      </c>
      <c r="G217" t="s">
        <v>71</v>
      </c>
      <c r="H217" t="s">
        <v>89</v>
      </c>
      <c r="I217">
        <v>2040</v>
      </c>
      <c r="J217">
        <v>0</v>
      </c>
      <c r="K217" t="s">
        <v>54</v>
      </c>
      <c r="L217">
        <v>70</v>
      </c>
    </row>
    <row r="218" spans="1:12" x14ac:dyDescent="0.45">
      <c r="A218" t="s">
        <v>90</v>
      </c>
      <c r="B218" t="s">
        <v>3</v>
      </c>
      <c r="C218" t="s">
        <v>84</v>
      </c>
      <c r="D218" t="s">
        <v>85</v>
      </c>
      <c r="E218" t="s">
        <v>25</v>
      </c>
      <c r="F218" t="s">
        <v>85</v>
      </c>
      <c r="G218" t="s">
        <v>26</v>
      </c>
      <c r="H218" t="s">
        <v>82</v>
      </c>
      <c r="I218">
        <v>2040</v>
      </c>
      <c r="J218">
        <v>1.6255999999999999</v>
      </c>
      <c r="K218" t="s">
        <v>85</v>
      </c>
    </row>
    <row r="219" spans="1:12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2045</v>
      </c>
      <c r="J219">
        <v>497.42680000000001</v>
      </c>
      <c r="K219" t="s">
        <v>45</v>
      </c>
    </row>
    <row r="220" spans="1:12" x14ac:dyDescent="0.45">
      <c r="A220" t="s">
        <v>90</v>
      </c>
      <c r="B220" t="s">
        <v>3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2045</v>
      </c>
      <c r="J220">
        <v>-197.50049999999999</v>
      </c>
      <c r="K220" t="s">
        <v>48</v>
      </c>
    </row>
    <row r="221" spans="1:12" x14ac:dyDescent="0.45">
      <c r="A221" t="s">
        <v>90</v>
      </c>
      <c r="B221" t="s">
        <v>3</v>
      </c>
      <c r="C221" t="s">
        <v>84</v>
      </c>
      <c r="D221" t="s">
        <v>51</v>
      </c>
      <c r="E221" t="s">
        <v>46</v>
      </c>
      <c r="F221" t="s">
        <v>51</v>
      </c>
      <c r="G221" t="s">
        <v>49</v>
      </c>
      <c r="H221" t="s">
        <v>50</v>
      </c>
      <c r="I221">
        <v>2045</v>
      </c>
      <c r="J221">
        <v>595.86615000000006</v>
      </c>
      <c r="K221" t="s">
        <v>51</v>
      </c>
    </row>
    <row r="222" spans="1:12" x14ac:dyDescent="0.45">
      <c r="A222" t="s">
        <v>90</v>
      </c>
      <c r="B222" t="s">
        <v>3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4.5503499999999999</v>
      </c>
      <c r="K222" t="s">
        <v>24</v>
      </c>
    </row>
    <row r="223" spans="1:12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2045</v>
      </c>
      <c r="J223">
        <v>12.491499999999998</v>
      </c>
      <c r="K223" t="s">
        <v>28</v>
      </c>
    </row>
    <row r="224" spans="1:12" x14ac:dyDescent="0.45">
      <c r="A224" t="s">
        <v>90</v>
      </c>
      <c r="B224" t="s">
        <v>3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3.9570499999999997</v>
      </c>
      <c r="K224" t="s">
        <v>27</v>
      </c>
    </row>
    <row r="225" spans="1:12" x14ac:dyDescent="0.45">
      <c r="A225" t="s">
        <v>90</v>
      </c>
      <c r="B225" t="s">
        <v>3</v>
      </c>
      <c r="C225" t="s">
        <v>84</v>
      </c>
      <c r="D225" t="s">
        <v>29</v>
      </c>
      <c r="E225" t="s">
        <v>30</v>
      </c>
      <c r="F225" t="s">
        <v>29</v>
      </c>
      <c r="G225" t="s">
        <v>31</v>
      </c>
      <c r="H225" t="s">
        <v>32</v>
      </c>
      <c r="I225">
        <v>2045</v>
      </c>
      <c r="J225">
        <v>6.9108000000000001</v>
      </c>
      <c r="K225" t="s">
        <v>29</v>
      </c>
    </row>
    <row r="226" spans="1:12" x14ac:dyDescent="0.45">
      <c r="A226" t="s">
        <v>90</v>
      </c>
      <c r="B226" t="s">
        <v>3</v>
      </c>
      <c r="C226" t="s">
        <v>84</v>
      </c>
      <c r="D226" t="s">
        <v>33</v>
      </c>
      <c r="E226" t="s">
        <v>30</v>
      </c>
      <c r="F226" t="s">
        <v>33</v>
      </c>
      <c r="G226" t="s">
        <v>31</v>
      </c>
      <c r="H226" t="s">
        <v>34</v>
      </c>
      <c r="I226">
        <v>2045</v>
      </c>
      <c r="J226">
        <v>1.4182999999999999</v>
      </c>
      <c r="K226" t="s">
        <v>33</v>
      </c>
    </row>
    <row r="227" spans="1:12" x14ac:dyDescent="0.45">
      <c r="A227" t="s">
        <v>90</v>
      </c>
      <c r="B227" t="s">
        <v>3</v>
      </c>
      <c r="C227" t="s">
        <v>84</v>
      </c>
      <c r="D227" t="s">
        <v>35</v>
      </c>
      <c r="E227" t="s">
        <v>30</v>
      </c>
      <c r="F227" t="s">
        <v>35</v>
      </c>
      <c r="G227" t="s">
        <v>31</v>
      </c>
      <c r="H227" t="s">
        <v>36</v>
      </c>
      <c r="I227">
        <v>2045</v>
      </c>
      <c r="J227">
        <v>4.8432000000000004</v>
      </c>
      <c r="K227" t="s">
        <v>35</v>
      </c>
    </row>
    <row r="228" spans="1:12" x14ac:dyDescent="0.45">
      <c r="A228" t="s">
        <v>90</v>
      </c>
      <c r="B228" t="s">
        <v>3</v>
      </c>
      <c r="C228" t="s">
        <v>84</v>
      </c>
      <c r="D228" t="s">
        <v>37</v>
      </c>
      <c r="E228" t="s">
        <v>30</v>
      </c>
      <c r="F228" t="s">
        <v>37</v>
      </c>
      <c r="G228" t="s">
        <v>31</v>
      </c>
      <c r="H228" t="s">
        <v>38</v>
      </c>
      <c r="I228">
        <v>2045</v>
      </c>
      <c r="J228">
        <v>98.563249999999996</v>
      </c>
      <c r="K228" t="s">
        <v>37</v>
      </c>
    </row>
    <row r="229" spans="1:12" x14ac:dyDescent="0.45">
      <c r="A229" t="s">
        <v>90</v>
      </c>
      <c r="B229" t="s">
        <v>3</v>
      </c>
      <c r="C229" t="s">
        <v>84</v>
      </c>
      <c r="D229" t="s">
        <v>52</v>
      </c>
      <c r="E229" t="s">
        <v>25</v>
      </c>
      <c r="F229" t="s">
        <v>52</v>
      </c>
      <c r="G229" t="s">
        <v>71</v>
      </c>
      <c r="H229" t="s">
        <v>89</v>
      </c>
      <c r="I229">
        <v>2045</v>
      </c>
      <c r="J229">
        <v>5.0000000000000001E-4</v>
      </c>
      <c r="K229" t="s">
        <v>52</v>
      </c>
      <c r="L229">
        <v>94</v>
      </c>
    </row>
    <row r="230" spans="1:12" x14ac:dyDescent="0.45">
      <c r="A230" t="s">
        <v>90</v>
      </c>
      <c r="B230" t="s">
        <v>3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2045</v>
      </c>
      <c r="J230">
        <v>0.16370000000000001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84</v>
      </c>
      <c r="D231" t="s">
        <v>54</v>
      </c>
      <c r="E231" t="s">
        <v>25</v>
      </c>
      <c r="F231" t="s">
        <v>54</v>
      </c>
      <c r="G231" t="s">
        <v>71</v>
      </c>
      <c r="H231" t="s">
        <v>89</v>
      </c>
      <c r="I231">
        <v>2045</v>
      </c>
      <c r="J231">
        <v>0</v>
      </c>
      <c r="K231" t="s">
        <v>54</v>
      </c>
      <c r="L231">
        <v>70</v>
      </c>
    </row>
    <row r="232" spans="1:12" x14ac:dyDescent="0.45">
      <c r="A232" t="s">
        <v>90</v>
      </c>
      <c r="B232" t="s">
        <v>3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2045</v>
      </c>
      <c r="J232">
        <v>2.3479000000000001</v>
      </c>
      <c r="K232" t="s">
        <v>85</v>
      </c>
    </row>
    <row r="233" spans="1:12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2050</v>
      </c>
      <c r="J233">
        <v>481.72950000000003</v>
      </c>
      <c r="K233" t="s">
        <v>45</v>
      </c>
    </row>
    <row r="234" spans="1:12" x14ac:dyDescent="0.45">
      <c r="A234" t="s">
        <v>90</v>
      </c>
      <c r="B234" t="s">
        <v>3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2050</v>
      </c>
      <c r="J234">
        <v>-520.3365</v>
      </c>
      <c r="K234" t="s">
        <v>48</v>
      </c>
    </row>
    <row r="235" spans="1:12" x14ac:dyDescent="0.45">
      <c r="A235" t="s">
        <v>90</v>
      </c>
      <c r="B235" t="s">
        <v>3</v>
      </c>
      <c r="C235" t="s">
        <v>84</v>
      </c>
      <c r="D235" t="s">
        <v>51</v>
      </c>
      <c r="E235" t="s">
        <v>46</v>
      </c>
      <c r="F235" t="s">
        <v>51</v>
      </c>
      <c r="G235" t="s">
        <v>49</v>
      </c>
      <c r="H235" t="s">
        <v>50</v>
      </c>
      <c r="I235">
        <v>2050</v>
      </c>
      <c r="J235">
        <v>290.27975000000004</v>
      </c>
      <c r="K235" t="s">
        <v>51</v>
      </c>
    </row>
    <row r="236" spans="1:12" x14ac:dyDescent="0.45">
      <c r="A236" t="s">
        <v>90</v>
      </c>
      <c r="B236" t="s">
        <v>3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2050</v>
      </c>
      <c r="J236">
        <v>4.6404499999999995</v>
      </c>
      <c r="K236" t="s">
        <v>24</v>
      </c>
    </row>
    <row r="237" spans="1:12" x14ac:dyDescent="0.45">
      <c r="A237" t="s">
        <v>90</v>
      </c>
      <c r="B237" t="s">
        <v>3</v>
      </c>
      <c r="C237" t="s">
        <v>84</v>
      </c>
      <c r="D237" t="s">
        <v>28</v>
      </c>
      <c r="E237" t="s">
        <v>25</v>
      </c>
      <c r="F237" t="s">
        <v>28</v>
      </c>
      <c r="G237" t="s">
        <v>26</v>
      </c>
      <c r="H237" t="s">
        <v>12</v>
      </c>
      <c r="I237">
        <v>2050</v>
      </c>
      <c r="J237">
        <v>12.8047</v>
      </c>
      <c r="K237" t="s">
        <v>28</v>
      </c>
    </row>
    <row r="238" spans="1:12" x14ac:dyDescent="0.45">
      <c r="A238" t="s">
        <v>90</v>
      </c>
      <c r="B238" t="s">
        <v>3</v>
      </c>
      <c r="C238" t="s">
        <v>84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2050</v>
      </c>
      <c r="J238">
        <v>4.2729999999999997</v>
      </c>
      <c r="K238" t="s">
        <v>27</v>
      </c>
    </row>
    <row r="239" spans="1:12" x14ac:dyDescent="0.45">
      <c r="A239" t="s">
        <v>90</v>
      </c>
      <c r="B239" t="s">
        <v>3</v>
      </c>
      <c r="C239" t="s">
        <v>84</v>
      </c>
      <c r="D239" t="s">
        <v>29</v>
      </c>
      <c r="E239" t="s">
        <v>30</v>
      </c>
      <c r="F239" t="s">
        <v>29</v>
      </c>
      <c r="G239" t="s">
        <v>31</v>
      </c>
      <c r="H239" t="s">
        <v>32</v>
      </c>
      <c r="I239">
        <v>2050</v>
      </c>
      <c r="J239">
        <v>7.9924499999999998</v>
      </c>
      <c r="K239" t="s">
        <v>29</v>
      </c>
    </row>
    <row r="240" spans="1:12" x14ac:dyDescent="0.45">
      <c r="A240" t="s">
        <v>90</v>
      </c>
      <c r="B240" t="s">
        <v>3</v>
      </c>
      <c r="C240" t="s">
        <v>84</v>
      </c>
      <c r="D240" t="s">
        <v>33</v>
      </c>
      <c r="E240" t="s">
        <v>30</v>
      </c>
      <c r="F240" t="s">
        <v>33</v>
      </c>
      <c r="G240" t="s">
        <v>31</v>
      </c>
      <c r="H240" t="s">
        <v>34</v>
      </c>
      <c r="I240">
        <v>2050</v>
      </c>
      <c r="J240">
        <v>1.5704500000000001</v>
      </c>
      <c r="K240" t="s">
        <v>33</v>
      </c>
    </row>
    <row r="241" spans="1:12" x14ac:dyDescent="0.45">
      <c r="A241" t="s">
        <v>90</v>
      </c>
      <c r="B241" t="s">
        <v>3</v>
      </c>
      <c r="C241" t="s">
        <v>84</v>
      </c>
      <c r="D241" t="s">
        <v>35</v>
      </c>
      <c r="E241" t="s">
        <v>30</v>
      </c>
      <c r="F241" t="s">
        <v>35</v>
      </c>
      <c r="G241" t="s">
        <v>31</v>
      </c>
      <c r="H241" t="s">
        <v>36</v>
      </c>
      <c r="I241">
        <v>2050</v>
      </c>
      <c r="J241">
        <v>4.8777499999999998</v>
      </c>
      <c r="K241" t="s">
        <v>35</v>
      </c>
    </row>
    <row r="242" spans="1:12" x14ac:dyDescent="0.45">
      <c r="A242" t="s">
        <v>90</v>
      </c>
      <c r="B242" t="s">
        <v>3</v>
      </c>
      <c r="C242" t="s">
        <v>84</v>
      </c>
      <c r="D242" t="s">
        <v>37</v>
      </c>
      <c r="E242" t="s">
        <v>30</v>
      </c>
      <c r="F242" t="s">
        <v>37</v>
      </c>
      <c r="G242" t="s">
        <v>31</v>
      </c>
      <c r="H242" t="s">
        <v>38</v>
      </c>
      <c r="I242">
        <v>2050</v>
      </c>
      <c r="J242">
        <v>116.7009</v>
      </c>
      <c r="K242" t="s">
        <v>37</v>
      </c>
    </row>
    <row r="243" spans="1:12" x14ac:dyDescent="0.45">
      <c r="A243" t="s">
        <v>90</v>
      </c>
      <c r="B243" t="s">
        <v>3</v>
      </c>
      <c r="C243" t="s">
        <v>84</v>
      </c>
      <c r="D243" t="s">
        <v>52</v>
      </c>
      <c r="E243" t="s">
        <v>25</v>
      </c>
      <c r="F243" t="s">
        <v>52</v>
      </c>
      <c r="G243" t="s">
        <v>71</v>
      </c>
      <c r="H243" t="s">
        <v>89</v>
      </c>
      <c r="I243">
        <v>2050</v>
      </c>
      <c r="J243">
        <v>2.0000000000000001E-4</v>
      </c>
      <c r="K243" t="s">
        <v>52</v>
      </c>
      <c r="L243">
        <v>94</v>
      </c>
    </row>
    <row r="244" spans="1:12" x14ac:dyDescent="0.45">
      <c r="A244" t="s">
        <v>90</v>
      </c>
      <c r="B244" t="s">
        <v>3</v>
      </c>
      <c r="C244" t="s">
        <v>84</v>
      </c>
      <c r="D244" t="s">
        <v>53</v>
      </c>
      <c r="E244" t="s">
        <v>25</v>
      </c>
      <c r="F244" t="s">
        <v>53</v>
      </c>
      <c r="G244" t="s">
        <v>71</v>
      </c>
      <c r="H244" t="s">
        <v>89</v>
      </c>
      <c r="I244">
        <v>2050</v>
      </c>
      <c r="J244">
        <v>0.1512</v>
      </c>
      <c r="K244" t="s">
        <v>53</v>
      </c>
      <c r="L244">
        <v>55</v>
      </c>
    </row>
    <row r="245" spans="1:12" x14ac:dyDescent="0.45">
      <c r="A245" t="s">
        <v>90</v>
      </c>
      <c r="B245" t="s">
        <v>3</v>
      </c>
      <c r="C245" t="s">
        <v>84</v>
      </c>
      <c r="D245" t="s">
        <v>54</v>
      </c>
      <c r="E245" t="s">
        <v>25</v>
      </c>
      <c r="F245" t="s">
        <v>54</v>
      </c>
      <c r="G245" t="s">
        <v>71</v>
      </c>
      <c r="H245" t="s">
        <v>89</v>
      </c>
      <c r="I245">
        <v>2050</v>
      </c>
      <c r="J245">
        <v>0</v>
      </c>
      <c r="K245" t="s">
        <v>54</v>
      </c>
      <c r="L245">
        <v>70</v>
      </c>
    </row>
    <row r="246" spans="1:12" x14ac:dyDescent="0.45">
      <c r="A246" t="s">
        <v>90</v>
      </c>
      <c r="B246" t="s">
        <v>3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2050</v>
      </c>
      <c r="J246">
        <v>3.7441499999999999</v>
      </c>
      <c r="K246" t="s">
        <v>85</v>
      </c>
    </row>
    <row r="247" spans="1:12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2055</v>
      </c>
      <c r="J247">
        <v>439.80394999999999</v>
      </c>
      <c r="K247" t="s">
        <v>45</v>
      </c>
    </row>
    <row r="248" spans="1:12" x14ac:dyDescent="0.45">
      <c r="A248" t="s">
        <v>90</v>
      </c>
      <c r="B248" t="s">
        <v>3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2055</v>
      </c>
      <c r="J248">
        <v>-708.51610000000005</v>
      </c>
      <c r="K248" t="s">
        <v>48</v>
      </c>
    </row>
    <row r="249" spans="1:12" x14ac:dyDescent="0.45">
      <c r="A249" t="s">
        <v>90</v>
      </c>
      <c r="B249" t="s">
        <v>3</v>
      </c>
      <c r="C249" t="s">
        <v>84</v>
      </c>
      <c r="D249" t="s">
        <v>51</v>
      </c>
      <c r="E249" t="s">
        <v>46</v>
      </c>
      <c r="F249" t="s">
        <v>51</v>
      </c>
      <c r="G249" t="s">
        <v>49</v>
      </c>
      <c r="H249" t="s">
        <v>50</v>
      </c>
      <c r="I249">
        <v>2055</v>
      </c>
      <c r="J249">
        <v>105.22300000000001</v>
      </c>
      <c r="K249" t="s">
        <v>51</v>
      </c>
    </row>
    <row r="250" spans="1:12" x14ac:dyDescent="0.45">
      <c r="A250" t="s">
        <v>90</v>
      </c>
      <c r="B250" t="s">
        <v>3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2055</v>
      </c>
      <c r="J250">
        <v>4.3832500000000003</v>
      </c>
      <c r="K250" t="s">
        <v>24</v>
      </c>
    </row>
    <row r="251" spans="1:12" x14ac:dyDescent="0.45">
      <c r="A251" t="s">
        <v>90</v>
      </c>
      <c r="B251" t="s">
        <v>3</v>
      </c>
      <c r="C251" t="s">
        <v>84</v>
      </c>
      <c r="D251" t="s">
        <v>28</v>
      </c>
      <c r="E251" t="s">
        <v>25</v>
      </c>
      <c r="F251" t="s">
        <v>28</v>
      </c>
      <c r="G251" t="s">
        <v>26</v>
      </c>
      <c r="H251" t="s">
        <v>12</v>
      </c>
      <c r="I251">
        <v>2055</v>
      </c>
      <c r="J251">
        <v>12.0525</v>
      </c>
      <c r="K251" t="s">
        <v>28</v>
      </c>
    </row>
    <row r="252" spans="1:12" x14ac:dyDescent="0.45">
      <c r="A252" t="s">
        <v>90</v>
      </c>
      <c r="B252" t="s">
        <v>3</v>
      </c>
      <c r="C252" t="s">
        <v>84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2055</v>
      </c>
      <c r="J252">
        <v>4.4013</v>
      </c>
      <c r="K252" t="s">
        <v>27</v>
      </c>
    </row>
    <row r="253" spans="1:12" x14ac:dyDescent="0.45">
      <c r="A253" t="s">
        <v>90</v>
      </c>
      <c r="B253" t="s">
        <v>3</v>
      </c>
      <c r="C253" t="s">
        <v>84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2055</v>
      </c>
      <c r="J253">
        <v>8.6547000000000001</v>
      </c>
      <c r="K253" t="s">
        <v>29</v>
      </c>
    </row>
    <row r="254" spans="1:12" x14ac:dyDescent="0.45">
      <c r="A254" t="s">
        <v>90</v>
      </c>
      <c r="B254" t="s">
        <v>3</v>
      </c>
      <c r="C254" t="s">
        <v>84</v>
      </c>
      <c r="D254" t="s">
        <v>33</v>
      </c>
      <c r="E254" t="s">
        <v>30</v>
      </c>
      <c r="F254" t="s">
        <v>33</v>
      </c>
      <c r="G254" t="s">
        <v>31</v>
      </c>
      <c r="H254" t="s">
        <v>34</v>
      </c>
      <c r="I254">
        <v>2055</v>
      </c>
      <c r="J254">
        <v>1.3464499999999999</v>
      </c>
      <c r="K254" t="s">
        <v>33</v>
      </c>
    </row>
    <row r="255" spans="1:12" x14ac:dyDescent="0.45">
      <c r="A255" t="s">
        <v>90</v>
      </c>
      <c r="B255" t="s">
        <v>3</v>
      </c>
      <c r="C255" t="s">
        <v>84</v>
      </c>
      <c r="D255" t="s">
        <v>35</v>
      </c>
      <c r="E255" t="s">
        <v>30</v>
      </c>
      <c r="F255" t="s">
        <v>35</v>
      </c>
      <c r="G255" t="s">
        <v>31</v>
      </c>
      <c r="H255" t="s">
        <v>36</v>
      </c>
      <c r="I255">
        <v>2055</v>
      </c>
      <c r="J255">
        <v>4.5329499999999996</v>
      </c>
      <c r="K255" t="s">
        <v>35</v>
      </c>
    </row>
    <row r="256" spans="1:12" x14ac:dyDescent="0.45">
      <c r="A256" t="s">
        <v>90</v>
      </c>
      <c r="B256" t="s">
        <v>3</v>
      </c>
      <c r="C256" t="s">
        <v>84</v>
      </c>
      <c r="D256" t="s">
        <v>37</v>
      </c>
      <c r="E256" t="s">
        <v>30</v>
      </c>
      <c r="F256" t="s">
        <v>37</v>
      </c>
      <c r="G256" t="s">
        <v>31</v>
      </c>
      <c r="H256" t="s">
        <v>38</v>
      </c>
      <c r="I256">
        <v>2055</v>
      </c>
      <c r="J256">
        <v>122.35735</v>
      </c>
      <c r="K256" t="s">
        <v>37</v>
      </c>
    </row>
    <row r="257" spans="1:12" x14ac:dyDescent="0.45">
      <c r="A257" t="s">
        <v>90</v>
      </c>
      <c r="B257" t="s">
        <v>3</v>
      </c>
      <c r="C257" t="s">
        <v>84</v>
      </c>
      <c r="D257" t="s">
        <v>52</v>
      </c>
      <c r="E257" t="s">
        <v>25</v>
      </c>
      <c r="F257" t="s">
        <v>52</v>
      </c>
      <c r="G257" t="s">
        <v>71</v>
      </c>
      <c r="H257" t="s">
        <v>89</v>
      </c>
      <c r="I257">
        <v>2055</v>
      </c>
      <c r="J257">
        <v>1E-4</v>
      </c>
      <c r="K257" t="s">
        <v>52</v>
      </c>
      <c r="L257">
        <v>94</v>
      </c>
    </row>
    <row r="258" spans="1:12" x14ac:dyDescent="0.45">
      <c r="A258" t="s">
        <v>90</v>
      </c>
      <c r="B258" t="s">
        <v>3</v>
      </c>
      <c r="C258" t="s">
        <v>84</v>
      </c>
      <c r="D258" t="s">
        <v>53</v>
      </c>
      <c r="E258" t="s">
        <v>25</v>
      </c>
      <c r="F258" t="s">
        <v>53</v>
      </c>
      <c r="G258" t="s">
        <v>71</v>
      </c>
      <c r="H258" t="s">
        <v>89</v>
      </c>
      <c r="I258">
        <v>2055</v>
      </c>
      <c r="J258">
        <v>0.13514999999999999</v>
      </c>
      <c r="K258" t="s">
        <v>53</v>
      </c>
      <c r="L258">
        <v>55</v>
      </c>
    </row>
    <row r="259" spans="1:12" x14ac:dyDescent="0.45">
      <c r="A259" t="s">
        <v>90</v>
      </c>
      <c r="B259" t="s">
        <v>3</v>
      </c>
      <c r="C259" t="s">
        <v>84</v>
      </c>
      <c r="D259" t="s">
        <v>54</v>
      </c>
      <c r="E259" t="s">
        <v>25</v>
      </c>
      <c r="F259" t="s">
        <v>54</v>
      </c>
      <c r="G259" t="s">
        <v>71</v>
      </c>
      <c r="H259" t="s">
        <v>89</v>
      </c>
      <c r="I259">
        <v>2055</v>
      </c>
      <c r="J259">
        <v>0</v>
      </c>
      <c r="K259" t="s">
        <v>54</v>
      </c>
      <c r="L259">
        <v>70</v>
      </c>
    </row>
    <row r="260" spans="1:12" x14ac:dyDescent="0.45">
      <c r="A260" t="s">
        <v>90</v>
      </c>
      <c r="B260" t="s">
        <v>3</v>
      </c>
      <c r="C260" t="s">
        <v>84</v>
      </c>
      <c r="D260" t="s">
        <v>85</v>
      </c>
      <c r="E260" t="s">
        <v>25</v>
      </c>
      <c r="F260" t="s">
        <v>85</v>
      </c>
      <c r="G260" t="s">
        <v>26</v>
      </c>
      <c r="H260" t="s">
        <v>82</v>
      </c>
      <c r="I260">
        <v>2055</v>
      </c>
      <c r="J260">
        <v>5.6319499999999998</v>
      </c>
      <c r="K260" t="s">
        <v>85</v>
      </c>
    </row>
    <row r="261" spans="1:12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2060</v>
      </c>
      <c r="J261">
        <v>391.27895000000001</v>
      </c>
      <c r="K261" t="s">
        <v>45</v>
      </c>
    </row>
    <row r="262" spans="1:12" x14ac:dyDescent="0.45">
      <c r="A262" t="s">
        <v>90</v>
      </c>
      <c r="B262" t="s">
        <v>3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2060</v>
      </c>
      <c r="J262">
        <v>-885.47694999999999</v>
      </c>
      <c r="K262" t="s">
        <v>48</v>
      </c>
    </row>
    <row r="263" spans="1:12" x14ac:dyDescent="0.45">
      <c r="A263" t="s">
        <v>90</v>
      </c>
      <c r="B263" t="s">
        <v>3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2060</v>
      </c>
      <c r="J263">
        <v>-76.649349999999998</v>
      </c>
      <c r="K263" t="s">
        <v>51</v>
      </c>
    </row>
    <row r="264" spans="1:12" x14ac:dyDescent="0.45">
      <c r="A264" t="s">
        <v>90</v>
      </c>
      <c r="B264" t="s">
        <v>3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2060</v>
      </c>
      <c r="J264">
        <v>3.88395</v>
      </c>
      <c r="K264" t="s">
        <v>24</v>
      </c>
    </row>
    <row r="265" spans="1:12" x14ac:dyDescent="0.45">
      <c r="A265" t="s">
        <v>90</v>
      </c>
      <c r="B265" t="s">
        <v>3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2060</v>
      </c>
      <c r="J265">
        <v>11.8939</v>
      </c>
      <c r="K265" t="s">
        <v>28</v>
      </c>
    </row>
    <row r="266" spans="1:12" x14ac:dyDescent="0.45">
      <c r="A266" t="s">
        <v>90</v>
      </c>
      <c r="B266" t="s">
        <v>3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2060</v>
      </c>
      <c r="J266">
        <v>4.5603499999999997</v>
      </c>
      <c r="K266" t="s">
        <v>27</v>
      </c>
    </row>
    <row r="267" spans="1:12" x14ac:dyDescent="0.45">
      <c r="A267" t="s">
        <v>90</v>
      </c>
      <c r="B267" t="s">
        <v>3</v>
      </c>
      <c r="C267" t="s">
        <v>84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2060</v>
      </c>
      <c r="J267">
        <v>12.725249999999999</v>
      </c>
      <c r="K267" t="s">
        <v>29</v>
      </c>
    </row>
    <row r="268" spans="1:12" x14ac:dyDescent="0.45">
      <c r="A268" t="s">
        <v>90</v>
      </c>
      <c r="B268" t="s">
        <v>3</v>
      </c>
      <c r="C268" t="s">
        <v>84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2060</v>
      </c>
      <c r="J268">
        <v>1.9051</v>
      </c>
      <c r="K268" t="s">
        <v>33</v>
      </c>
    </row>
    <row r="269" spans="1:12" x14ac:dyDescent="0.45">
      <c r="A269" t="s">
        <v>90</v>
      </c>
      <c r="B269" t="s">
        <v>3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2060</v>
      </c>
      <c r="J269">
        <v>5.8452000000000002</v>
      </c>
      <c r="K269" t="s">
        <v>35</v>
      </c>
    </row>
    <row r="270" spans="1:12" x14ac:dyDescent="0.45">
      <c r="A270" t="s">
        <v>90</v>
      </c>
      <c r="B270" t="s">
        <v>3</v>
      </c>
      <c r="C270" t="s">
        <v>84</v>
      </c>
      <c r="D270" t="s">
        <v>37</v>
      </c>
      <c r="E270" t="s">
        <v>30</v>
      </c>
      <c r="F270" t="s">
        <v>37</v>
      </c>
      <c r="G270" t="s">
        <v>31</v>
      </c>
      <c r="H270" t="s">
        <v>38</v>
      </c>
      <c r="I270">
        <v>2060</v>
      </c>
      <c r="J270">
        <v>188.40039999999999</v>
      </c>
      <c r="K270" t="s">
        <v>37</v>
      </c>
    </row>
    <row r="271" spans="1:12" x14ac:dyDescent="0.45">
      <c r="A271" t="s">
        <v>90</v>
      </c>
      <c r="B271" t="s">
        <v>3</v>
      </c>
      <c r="C271" t="s">
        <v>84</v>
      </c>
      <c r="D271" t="s">
        <v>52</v>
      </c>
      <c r="E271" t="s">
        <v>25</v>
      </c>
      <c r="F271" t="s">
        <v>52</v>
      </c>
      <c r="G271" t="s">
        <v>71</v>
      </c>
      <c r="H271" t="s">
        <v>89</v>
      </c>
      <c r="I271">
        <v>2060</v>
      </c>
      <c r="J271">
        <v>0</v>
      </c>
      <c r="K271" t="s">
        <v>52</v>
      </c>
      <c r="L271">
        <v>94</v>
      </c>
    </row>
    <row r="272" spans="1:12" x14ac:dyDescent="0.45">
      <c r="A272" t="s">
        <v>90</v>
      </c>
      <c r="B272" t="s">
        <v>3</v>
      </c>
      <c r="C272" t="s">
        <v>84</v>
      </c>
      <c r="D272" t="s">
        <v>53</v>
      </c>
      <c r="E272" t="s">
        <v>25</v>
      </c>
      <c r="F272" t="s">
        <v>53</v>
      </c>
      <c r="G272" t="s">
        <v>71</v>
      </c>
      <c r="H272" t="s">
        <v>89</v>
      </c>
      <c r="I272">
        <v>2060</v>
      </c>
      <c r="J272">
        <v>0.10489999999999999</v>
      </c>
      <c r="K272" t="s">
        <v>53</v>
      </c>
      <c r="L272">
        <v>55</v>
      </c>
    </row>
    <row r="273" spans="1:12" x14ac:dyDescent="0.45">
      <c r="A273" t="s">
        <v>90</v>
      </c>
      <c r="B273" t="s">
        <v>3</v>
      </c>
      <c r="C273" t="s">
        <v>84</v>
      </c>
      <c r="D273" t="s">
        <v>54</v>
      </c>
      <c r="E273" t="s">
        <v>25</v>
      </c>
      <c r="F273" t="s">
        <v>54</v>
      </c>
      <c r="G273" t="s">
        <v>71</v>
      </c>
      <c r="H273" t="s">
        <v>89</v>
      </c>
      <c r="I273">
        <v>2060</v>
      </c>
      <c r="J273">
        <v>0</v>
      </c>
      <c r="K273" t="s">
        <v>54</v>
      </c>
      <c r="L273">
        <v>70</v>
      </c>
    </row>
    <row r="274" spans="1:12" x14ac:dyDescent="0.45">
      <c r="A274" t="s">
        <v>90</v>
      </c>
      <c r="B274" t="s">
        <v>3</v>
      </c>
      <c r="C274" t="s">
        <v>84</v>
      </c>
      <c r="D274" t="s">
        <v>85</v>
      </c>
      <c r="E274" t="s">
        <v>25</v>
      </c>
      <c r="F274" t="s">
        <v>85</v>
      </c>
      <c r="G274" t="s">
        <v>26</v>
      </c>
      <c r="H274" t="s">
        <v>82</v>
      </c>
      <c r="I274">
        <v>2060</v>
      </c>
      <c r="J274">
        <v>8.6744000000000003</v>
      </c>
      <c r="K274" t="s">
        <v>85</v>
      </c>
    </row>
    <row r="275" spans="1:12" x14ac:dyDescent="0.45">
      <c r="A275" t="s">
        <v>90</v>
      </c>
      <c r="B275" t="s">
        <v>3</v>
      </c>
      <c r="C275" t="s">
        <v>84</v>
      </c>
      <c r="D275" t="s">
        <v>45</v>
      </c>
      <c r="E275" t="s">
        <v>46</v>
      </c>
      <c r="F275" t="s">
        <v>45</v>
      </c>
      <c r="G275" t="s">
        <v>47</v>
      </c>
      <c r="H275" t="s">
        <v>89</v>
      </c>
      <c r="I275">
        <v>2065</v>
      </c>
      <c r="J275">
        <v>346.76305000000002</v>
      </c>
      <c r="K275" t="s">
        <v>45</v>
      </c>
    </row>
    <row r="276" spans="1:12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2065</v>
      </c>
      <c r="J276">
        <v>-918.25890000000004</v>
      </c>
      <c r="K276" t="s">
        <v>48</v>
      </c>
    </row>
    <row r="277" spans="1:12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-108.6892</v>
      </c>
      <c r="K277" t="s">
        <v>51</v>
      </c>
    </row>
    <row r="278" spans="1:12" x14ac:dyDescent="0.45">
      <c r="A278" t="s">
        <v>90</v>
      </c>
      <c r="B278" t="s">
        <v>3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2065</v>
      </c>
      <c r="J278">
        <v>3.7268499999999998</v>
      </c>
      <c r="K278" t="s">
        <v>24</v>
      </c>
    </row>
    <row r="279" spans="1:12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2065</v>
      </c>
      <c r="J279">
        <v>11.8665</v>
      </c>
      <c r="K279" t="s">
        <v>28</v>
      </c>
    </row>
    <row r="280" spans="1:12" x14ac:dyDescent="0.45">
      <c r="A280" t="s">
        <v>90</v>
      </c>
      <c r="B280" t="s">
        <v>3</v>
      </c>
      <c r="C280" t="s">
        <v>84</v>
      </c>
      <c r="D280" t="s">
        <v>27</v>
      </c>
      <c r="E280" t="s">
        <v>25</v>
      </c>
      <c r="F280" t="s">
        <v>27</v>
      </c>
      <c r="G280" t="s">
        <v>26</v>
      </c>
      <c r="H280" t="s">
        <v>10</v>
      </c>
      <c r="I280">
        <v>2065</v>
      </c>
      <c r="J280">
        <v>4.6829000000000001</v>
      </c>
      <c r="K280" t="s">
        <v>27</v>
      </c>
    </row>
    <row r="281" spans="1:12" x14ac:dyDescent="0.45">
      <c r="A281" t="s">
        <v>90</v>
      </c>
      <c r="B281" t="s">
        <v>3</v>
      </c>
      <c r="C281" t="s">
        <v>84</v>
      </c>
      <c r="D281" t="s">
        <v>29</v>
      </c>
      <c r="E281" t="s">
        <v>30</v>
      </c>
      <c r="F281" t="s">
        <v>29</v>
      </c>
      <c r="G281" t="s">
        <v>31</v>
      </c>
      <c r="H281" t="s">
        <v>32</v>
      </c>
      <c r="I281">
        <v>2065</v>
      </c>
      <c r="J281">
        <v>12.6111</v>
      </c>
      <c r="K281" t="s">
        <v>29</v>
      </c>
    </row>
    <row r="282" spans="1:12" x14ac:dyDescent="0.45">
      <c r="A282" t="s">
        <v>90</v>
      </c>
      <c r="B282" t="s">
        <v>3</v>
      </c>
      <c r="C282" t="s">
        <v>84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2065</v>
      </c>
      <c r="J282">
        <v>1.8803999999999998</v>
      </c>
      <c r="K282" t="s">
        <v>33</v>
      </c>
    </row>
    <row r="283" spans="1:12" x14ac:dyDescent="0.45">
      <c r="A283" t="s">
        <v>90</v>
      </c>
      <c r="B283" t="s">
        <v>3</v>
      </c>
      <c r="C283" t="s">
        <v>84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2065</v>
      </c>
      <c r="J283">
        <v>5.5266999999999999</v>
      </c>
      <c r="K283" t="s">
        <v>35</v>
      </c>
    </row>
    <row r="284" spans="1:12" x14ac:dyDescent="0.45">
      <c r="A284" t="s">
        <v>90</v>
      </c>
      <c r="B284" t="s">
        <v>3</v>
      </c>
      <c r="C284" t="s">
        <v>84</v>
      </c>
      <c r="D284" t="s">
        <v>37</v>
      </c>
      <c r="E284" t="s">
        <v>30</v>
      </c>
      <c r="F284" t="s">
        <v>37</v>
      </c>
      <c r="G284" t="s">
        <v>31</v>
      </c>
      <c r="H284" t="s">
        <v>38</v>
      </c>
      <c r="I284">
        <v>2065</v>
      </c>
      <c r="J284">
        <v>220.24995000000001</v>
      </c>
      <c r="K284" t="s">
        <v>37</v>
      </c>
    </row>
    <row r="285" spans="1:12" x14ac:dyDescent="0.45">
      <c r="A285" t="s">
        <v>90</v>
      </c>
      <c r="B285" t="s">
        <v>3</v>
      </c>
      <c r="C285" t="s">
        <v>84</v>
      </c>
      <c r="D285" t="s">
        <v>52</v>
      </c>
      <c r="E285" t="s">
        <v>25</v>
      </c>
      <c r="F285" t="s">
        <v>52</v>
      </c>
      <c r="G285" t="s">
        <v>71</v>
      </c>
      <c r="H285" t="s">
        <v>89</v>
      </c>
      <c r="I285">
        <v>2065</v>
      </c>
      <c r="J285">
        <v>0</v>
      </c>
      <c r="K285" t="s">
        <v>52</v>
      </c>
      <c r="L285">
        <v>94</v>
      </c>
    </row>
    <row r="286" spans="1:12" x14ac:dyDescent="0.45">
      <c r="A286" t="s">
        <v>90</v>
      </c>
      <c r="B286" t="s">
        <v>3</v>
      </c>
      <c r="C286" t="s">
        <v>84</v>
      </c>
      <c r="D286" t="s">
        <v>53</v>
      </c>
      <c r="E286" t="s">
        <v>25</v>
      </c>
      <c r="F286" t="s">
        <v>53</v>
      </c>
      <c r="G286" t="s">
        <v>71</v>
      </c>
      <c r="H286" t="s">
        <v>89</v>
      </c>
      <c r="I286">
        <v>2065</v>
      </c>
      <c r="J286">
        <v>6.4850000000000005E-2</v>
      </c>
      <c r="K286" t="s">
        <v>53</v>
      </c>
      <c r="L286">
        <v>55</v>
      </c>
    </row>
    <row r="287" spans="1:12" x14ac:dyDescent="0.45">
      <c r="A287" t="s">
        <v>90</v>
      </c>
      <c r="B287" t="s">
        <v>3</v>
      </c>
      <c r="C287" t="s">
        <v>84</v>
      </c>
      <c r="D287" t="s">
        <v>54</v>
      </c>
      <c r="E287" t="s">
        <v>25</v>
      </c>
      <c r="F287" t="s">
        <v>54</v>
      </c>
      <c r="G287" t="s">
        <v>71</v>
      </c>
      <c r="H287" t="s">
        <v>89</v>
      </c>
      <c r="I287">
        <v>2065</v>
      </c>
      <c r="J287">
        <v>0</v>
      </c>
      <c r="K287" t="s">
        <v>54</v>
      </c>
      <c r="L287">
        <v>70</v>
      </c>
    </row>
    <row r="288" spans="1:12" x14ac:dyDescent="0.45">
      <c r="A288" t="s">
        <v>90</v>
      </c>
      <c r="B288" t="s">
        <v>3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2065</v>
      </c>
      <c r="J288">
        <v>9.8619000000000003</v>
      </c>
      <c r="K288" t="s">
        <v>85</v>
      </c>
    </row>
    <row r="289" spans="1:12" x14ac:dyDescent="0.45">
      <c r="A289" t="s">
        <v>90</v>
      </c>
      <c r="B289" t="s">
        <v>3</v>
      </c>
      <c r="C289" t="s">
        <v>84</v>
      </c>
      <c r="D289" t="s">
        <v>45</v>
      </c>
      <c r="E289" t="s">
        <v>46</v>
      </c>
      <c r="F289" t="s">
        <v>45</v>
      </c>
      <c r="G289" t="s">
        <v>47</v>
      </c>
      <c r="H289" t="s">
        <v>89</v>
      </c>
      <c r="I289">
        <v>2070</v>
      </c>
      <c r="J289">
        <v>302.24689999999998</v>
      </c>
      <c r="K289" t="s">
        <v>45</v>
      </c>
    </row>
    <row r="290" spans="1:12" x14ac:dyDescent="0.45">
      <c r="A290" t="s">
        <v>90</v>
      </c>
      <c r="B290" t="s">
        <v>3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2070</v>
      </c>
      <c r="J290">
        <v>-951.04089999999997</v>
      </c>
      <c r="K290" t="s">
        <v>48</v>
      </c>
    </row>
    <row r="291" spans="1:12" x14ac:dyDescent="0.45">
      <c r="A291" t="s">
        <v>90</v>
      </c>
      <c r="B291" t="s">
        <v>3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2070</v>
      </c>
      <c r="J291">
        <v>-140.72899999999998</v>
      </c>
      <c r="K291" t="s">
        <v>51</v>
      </c>
    </row>
    <row r="292" spans="1:12" x14ac:dyDescent="0.45">
      <c r="A292" t="s">
        <v>90</v>
      </c>
      <c r="B292" t="s">
        <v>3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2070</v>
      </c>
      <c r="J292">
        <v>3.5697999999999999</v>
      </c>
      <c r="K292" t="s">
        <v>24</v>
      </c>
    </row>
    <row r="293" spans="1:12" x14ac:dyDescent="0.45">
      <c r="A293" t="s">
        <v>90</v>
      </c>
      <c r="B293" t="s">
        <v>3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2070</v>
      </c>
      <c r="J293">
        <v>11.838999999999999</v>
      </c>
      <c r="K293" t="s">
        <v>28</v>
      </c>
    </row>
    <row r="294" spans="1:12" x14ac:dyDescent="0.45">
      <c r="A294" t="s">
        <v>90</v>
      </c>
      <c r="B294" t="s">
        <v>3</v>
      </c>
      <c r="C294" t="s">
        <v>84</v>
      </c>
      <c r="D294" t="s">
        <v>27</v>
      </c>
      <c r="E294" t="s">
        <v>25</v>
      </c>
      <c r="F294" t="s">
        <v>27</v>
      </c>
      <c r="G294" t="s">
        <v>26</v>
      </c>
      <c r="H294" t="s">
        <v>10</v>
      </c>
      <c r="I294">
        <v>2070</v>
      </c>
      <c r="J294">
        <v>4.8053999999999997</v>
      </c>
      <c r="K294" t="s">
        <v>27</v>
      </c>
    </row>
    <row r="295" spans="1:12" x14ac:dyDescent="0.45">
      <c r="A295" t="s">
        <v>90</v>
      </c>
      <c r="B295" t="s">
        <v>3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2070</v>
      </c>
      <c r="J295">
        <v>12.497</v>
      </c>
      <c r="K295" t="s">
        <v>29</v>
      </c>
    </row>
    <row r="296" spans="1:12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2070</v>
      </c>
      <c r="J296">
        <v>1.8557000000000001</v>
      </c>
      <c r="K296" t="s">
        <v>33</v>
      </c>
    </row>
    <row r="297" spans="1:12" x14ac:dyDescent="0.45">
      <c r="A297" t="s">
        <v>90</v>
      </c>
      <c r="B297" t="s">
        <v>3</v>
      </c>
      <c r="C297" t="s">
        <v>84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2070</v>
      </c>
      <c r="J297">
        <v>5.2081999999999997</v>
      </c>
      <c r="K297" t="s">
        <v>35</v>
      </c>
    </row>
    <row r="298" spans="1:12" x14ac:dyDescent="0.45">
      <c r="A298" t="s">
        <v>90</v>
      </c>
      <c r="B298" t="s">
        <v>3</v>
      </c>
      <c r="C298" t="s">
        <v>84</v>
      </c>
      <c r="D298" t="s">
        <v>37</v>
      </c>
      <c r="E298" t="s">
        <v>30</v>
      </c>
      <c r="F298" t="s">
        <v>37</v>
      </c>
      <c r="G298" t="s">
        <v>31</v>
      </c>
      <c r="H298" t="s">
        <v>38</v>
      </c>
      <c r="I298">
        <v>2070</v>
      </c>
      <c r="J298">
        <v>252.09944999999999</v>
      </c>
      <c r="K298" t="s">
        <v>37</v>
      </c>
    </row>
    <row r="299" spans="1:12" x14ac:dyDescent="0.45">
      <c r="A299" t="s">
        <v>90</v>
      </c>
      <c r="B299" t="s">
        <v>3</v>
      </c>
      <c r="C299" t="s">
        <v>84</v>
      </c>
      <c r="D299" t="s">
        <v>52</v>
      </c>
      <c r="E299" t="s">
        <v>25</v>
      </c>
      <c r="F299" t="s">
        <v>52</v>
      </c>
      <c r="G299" t="s">
        <v>71</v>
      </c>
      <c r="H299" t="s">
        <v>89</v>
      </c>
      <c r="I299">
        <v>2070</v>
      </c>
      <c r="J299">
        <v>0</v>
      </c>
      <c r="K299" t="s">
        <v>52</v>
      </c>
      <c r="L299">
        <v>94</v>
      </c>
    </row>
    <row r="300" spans="1:12" x14ac:dyDescent="0.45">
      <c r="A300" t="s">
        <v>90</v>
      </c>
      <c r="B300" t="s">
        <v>3</v>
      </c>
      <c r="C300" t="s">
        <v>84</v>
      </c>
      <c r="D300" t="s">
        <v>53</v>
      </c>
      <c r="E300" t="s">
        <v>25</v>
      </c>
      <c r="F300" t="s">
        <v>53</v>
      </c>
      <c r="G300" t="s">
        <v>71</v>
      </c>
      <c r="H300" t="s">
        <v>89</v>
      </c>
      <c r="I300">
        <v>2070</v>
      </c>
      <c r="J300">
        <v>2.4799999999999999E-2</v>
      </c>
      <c r="K300" t="s">
        <v>53</v>
      </c>
      <c r="L300">
        <v>55</v>
      </c>
    </row>
    <row r="301" spans="1:12" x14ac:dyDescent="0.45">
      <c r="A301" t="s">
        <v>90</v>
      </c>
      <c r="B301" t="s">
        <v>3</v>
      </c>
      <c r="C301" t="s">
        <v>84</v>
      </c>
      <c r="D301" t="s">
        <v>54</v>
      </c>
      <c r="E301" t="s">
        <v>25</v>
      </c>
      <c r="F301" t="s">
        <v>54</v>
      </c>
      <c r="G301" t="s">
        <v>71</v>
      </c>
      <c r="H301" t="s">
        <v>89</v>
      </c>
      <c r="I301">
        <v>2070</v>
      </c>
      <c r="J301">
        <v>0</v>
      </c>
      <c r="K301" t="s">
        <v>54</v>
      </c>
      <c r="L301">
        <v>70</v>
      </c>
    </row>
    <row r="302" spans="1:12" x14ac:dyDescent="0.45">
      <c r="A302" t="s">
        <v>90</v>
      </c>
      <c r="B302" t="s">
        <v>3</v>
      </c>
      <c r="C302" t="s">
        <v>84</v>
      </c>
      <c r="D302" t="s">
        <v>85</v>
      </c>
      <c r="E302" t="s">
        <v>25</v>
      </c>
      <c r="F302" t="s">
        <v>85</v>
      </c>
      <c r="G302" t="s">
        <v>26</v>
      </c>
      <c r="H302" t="s">
        <v>82</v>
      </c>
      <c r="I302">
        <v>2070</v>
      </c>
      <c r="J302">
        <v>11.04945</v>
      </c>
      <c r="K302" t="s">
        <v>85</v>
      </c>
    </row>
    <row r="303" spans="1:12" x14ac:dyDescent="0.45">
      <c r="A303" t="s">
        <v>90</v>
      </c>
      <c r="B303" t="s">
        <v>3</v>
      </c>
      <c r="C303" t="s">
        <v>84</v>
      </c>
      <c r="D303" t="s">
        <v>45</v>
      </c>
      <c r="E303" t="s">
        <v>46</v>
      </c>
      <c r="F303" t="s">
        <v>45</v>
      </c>
      <c r="G303" t="s">
        <v>47</v>
      </c>
      <c r="H303" t="s">
        <v>89</v>
      </c>
      <c r="I303">
        <v>2075</v>
      </c>
      <c r="J303">
        <v>223.99020000000002</v>
      </c>
      <c r="K303" t="s">
        <v>45</v>
      </c>
    </row>
    <row r="304" spans="1:12" x14ac:dyDescent="0.45">
      <c r="A304" t="s">
        <v>90</v>
      </c>
      <c r="B304" t="s">
        <v>3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2075</v>
      </c>
      <c r="J304">
        <v>-890.49450000000002</v>
      </c>
      <c r="K304" t="s">
        <v>48</v>
      </c>
    </row>
    <row r="305" spans="1:12" x14ac:dyDescent="0.45">
      <c r="A305" t="s">
        <v>90</v>
      </c>
      <c r="B305" t="s">
        <v>3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2075</v>
      </c>
      <c r="J305">
        <v>-78.415300000000002</v>
      </c>
      <c r="K305" t="s">
        <v>51</v>
      </c>
    </row>
    <row r="306" spans="1:12" x14ac:dyDescent="0.45">
      <c r="A306" t="s">
        <v>90</v>
      </c>
      <c r="B306" t="s">
        <v>3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2075</v>
      </c>
      <c r="J306">
        <v>3.4262000000000001</v>
      </c>
      <c r="K306" t="s">
        <v>24</v>
      </c>
    </row>
    <row r="307" spans="1:12" x14ac:dyDescent="0.45">
      <c r="A307" t="s">
        <v>90</v>
      </c>
      <c r="B307" t="s">
        <v>3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2075</v>
      </c>
      <c r="J307">
        <v>12.015650000000001</v>
      </c>
      <c r="K307" t="s">
        <v>28</v>
      </c>
    </row>
    <row r="308" spans="1:12" x14ac:dyDescent="0.45">
      <c r="A308" t="s">
        <v>90</v>
      </c>
      <c r="B308" t="s">
        <v>3</v>
      </c>
      <c r="C308" t="s">
        <v>84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2075</v>
      </c>
      <c r="J308">
        <v>4.9305000000000003</v>
      </c>
      <c r="K308" t="s">
        <v>27</v>
      </c>
    </row>
    <row r="309" spans="1:12" x14ac:dyDescent="0.45">
      <c r="A309" t="s">
        <v>90</v>
      </c>
      <c r="B309" t="s">
        <v>3</v>
      </c>
      <c r="C309" t="s">
        <v>84</v>
      </c>
      <c r="D309" t="s">
        <v>29</v>
      </c>
      <c r="E309" t="s">
        <v>30</v>
      </c>
      <c r="F309" t="s">
        <v>29</v>
      </c>
      <c r="G309" t="s">
        <v>31</v>
      </c>
      <c r="H309" t="s">
        <v>32</v>
      </c>
      <c r="I309">
        <v>2075</v>
      </c>
      <c r="J309">
        <v>13.562349999999999</v>
      </c>
      <c r="K309" t="s">
        <v>29</v>
      </c>
    </row>
    <row r="310" spans="1:12" x14ac:dyDescent="0.45">
      <c r="A310" t="s">
        <v>90</v>
      </c>
      <c r="B310" t="s">
        <v>3</v>
      </c>
      <c r="C310" t="s">
        <v>84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2075</v>
      </c>
      <c r="J310">
        <v>1.85775</v>
      </c>
      <c r="K310" t="s">
        <v>33</v>
      </c>
    </row>
    <row r="311" spans="1:12" x14ac:dyDescent="0.45">
      <c r="A311" t="s">
        <v>90</v>
      </c>
      <c r="B311" t="s">
        <v>3</v>
      </c>
      <c r="C311" t="s">
        <v>84</v>
      </c>
      <c r="D311" t="s">
        <v>35</v>
      </c>
      <c r="E311" t="s">
        <v>30</v>
      </c>
      <c r="F311" t="s">
        <v>35</v>
      </c>
      <c r="G311" t="s">
        <v>31</v>
      </c>
      <c r="H311" t="s">
        <v>36</v>
      </c>
      <c r="I311">
        <v>2075</v>
      </c>
      <c r="J311">
        <v>5.0817499999999995</v>
      </c>
      <c r="K311" t="s">
        <v>35</v>
      </c>
    </row>
    <row r="312" spans="1:12" x14ac:dyDescent="0.45">
      <c r="A312" t="s">
        <v>90</v>
      </c>
      <c r="B312" t="s">
        <v>3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2075</v>
      </c>
      <c r="J312">
        <v>244.2689</v>
      </c>
      <c r="K312" t="s">
        <v>37</v>
      </c>
    </row>
    <row r="313" spans="1:12" x14ac:dyDescent="0.45">
      <c r="A313" t="s">
        <v>90</v>
      </c>
      <c r="B313" t="s">
        <v>3</v>
      </c>
      <c r="C313" t="s">
        <v>84</v>
      </c>
      <c r="D313" t="s">
        <v>52</v>
      </c>
      <c r="E313" t="s">
        <v>25</v>
      </c>
      <c r="F313" t="s">
        <v>52</v>
      </c>
      <c r="G313" t="s">
        <v>71</v>
      </c>
      <c r="H313" t="s">
        <v>89</v>
      </c>
      <c r="I313">
        <v>2075</v>
      </c>
      <c r="J313">
        <v>0</v>
      </c>
      <c r="K313" t="s">
        <v>52</v>
      </c>
      <c r="L313">
        <v>94</v>
      </c>
    </row>
    <row r="314" spans="1:12" x14ac:dyDescent="0.45">
      <c r="A314" t="s">
        <v>90</v>
      </c>
      <c r="B314" t="s">
        <v>3</v>
      </c>
      <c r="C314" t="s">
        <v>84</v>
      </c>
      <c r="D314" t="s">
        <v>53</v>
      </c>
      <c r="E314" t="s">
        <v>25</v>
      </c>
      <c r="F314" t="s">
        <v>53</v>
      </c>
      <c r="G314" t="s">
        <v>71</v>
      </c>
      <c r="H314" t="s">
        <v>89</v>
      </c>
      <c r="I314">
        <v>2075</v>
      </c>
      <c r="J314">
        <v>1.255E-2</v>
      </c>
      <c r="K314" t="s">
        <v>53</v>
      </c>
      <c r="L314">
        <v>55</v>
      </c>
    </row>
    <row r="315" spans="1:12" x14ac:dyDescent="0.45">
      <c r="A315" t="s">
        <v>90</v>
      </c>
      <c r="B315" t="s">
        <v>3</v>
      </c>
      <c r="C315" t="s">
        <v>84</v>
      </c>
      <c r="D315" t="s">
        <v>54</v>
      </c>
      <c r="E315" t="s">
        <v>25</v>
      </c>
      <c r="F315" t="s">
        <v>54</v>
      </c>
      <c r="G315" t="s">
        <v>71</v>
      </c>
      <c r="H315" t="s">
        <v>89</v>
      </c>
      <c r="I315">
        <v>2075</v>
      </c>
      <c r="J315">
        <v>0</v>
      </c>
      <c r="K315" t="s">
        <v>54</v>
      </c>
      <c r="L315">
        <v>70</v>
      </c>
    </row>
    <row r="316" spans="1:12" x14ac:dyDescent="0.45">
      <c r="A316" t="s">
        <v>90</v>
      </c>
      <c r="B316" t="s">
        <v>3</v>
      </c>
      <c r="C316" t="s">
        <v>84</v>
      </c>
      <c r="D316" t="s">
        <v>85</v>
      </c>
      <c r="E316" t="s">
        <v>25</v>
      </c>
      <c r="F316" t="s">
        <v>85</v>
      </c>
      <c r="G316" t="s">
        <v>26</v>
      </c>
      <c r="H316" t="s">
        <v>82</v>
      </c>
      <c r="I316">
        <v>2075</v>
      </c>
      <c r="J316">
        <v>12.25145</v>
      </c>
      <c r="K316" t="s">
        <v>85</v>
      </c>
    </row>
    <row r="317" spans="1:12" x14ac:dyDescent="0.45">
      <c r="A317" t="s">
        <v>90</v>
      </c>
      <c r="B317" t="s">
        <v>3</v>
      </c>
      <c r="C317" t="s">
        <v>84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2080</v>
      </c>
      <c r="J317">
        <v>145.73349999999999</v>
      </c>
      <c r="K317" t="s">
        <v>45</v>
      </c>
    </row>
    <row r="318" spans="1:12" x14ac:dyDescent="0.45">
      <c r="A318" t="s">
        <v>90</v>
      </c>
      <c r="B318" t="s">
        <v>3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2080</v>
      </c>
      <c r="J318">
        <v>-829.94810000000007</v>
      </c>
      <c r="K318" t="s">
        <v>48</v>
      </c>
    </row>
    <row r="319" spans="1:12" x14ac:dyDescent="0.45">
      <c r="A319" t="s">
        <v>90</v>
      </c>
      <c r="B319" t="s">
        <v>3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2080</v>
      </c>
      <c r="J319">
        <v>-16.101600000000001</v>
      </c>
      <c r="K319" t="s">
        <v>51</v>
      </c>
    </row>
    <row r="320" spans="1:12" x14ac:dyDescent="0.45">
      <c r="A320" t="s">
        <v>90</v>
      </c>
      <c r="B320" t="s">
        <v>3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2080</v>
      </c>
      <c r="J320">
        <v>3.2827000000000002</v>
      </c>
      <c r="K320" t="s">
        <v>24</v>
      </c>
    </row>
    <row r="321" spans="1:12" x14ac:dyDescent="0.45">
      <c r="A321" t="s">
        <v>90</v>
      </c>
      <c r="B321" t="s">
        <v>3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2080</v>
      </c>
      <c r="J321">
        <v>12.192250000000001</v>
      </c>
      <c r="K321" t="s">
        <v>28</v>
      </c>
    </row>
    <row r="322" spans="1:12" x14ac:dyDescent="0.45">
      <c r="A322" t="s">
        <v>90</v>
      </c>
      <c r="B322" t="s">
        <v>3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2080</v>
      </c>
      <c r="J322">
        <v>5.0555000000000003</v>
      </c>
      <c r="K322" t="s">
        <v>27</v>
      </c>
    </row>
    <row r="323" spans="1:12" x14ac:dyDescent="0.45">
      <c r="A323" t="s">
        <v>90</v>
      </c>
      <c r="B323" t="s">
        <v>3</v>
      </c>
      <c r="C323" t="s">
        <v>84</v>
      </c>
      <c r="D323" t="s">
        <v>29</v>
      </c>
      <c r="E323" t="s">
        <v>30</v>
      </c>
      <c r="F323" t="s">
        <v>29</v>
      </c>
      <c r="G323" t="s">
        <v>31</v>
      </c>
      <c r="H323" t="s">
        <v>32</v>
      </c>
      <c r="I323">
        <v>2080</v>
      </c>
      <c r="J323">
        <v>14.627700000000001</v>
      </c>
      <c r="K323" t="s">
        <v>29</v>
      </c>
    </row>
    <row r="324" spans="1:12" x14ac:dyDescent="0.45">
      <c r="A324" t="s">
        <v>90</v>
      </c>
      <c r="B324" t="s">
        <v>3</v>
      </c>
      <c r="C324" t="s">
        <v>84</v>
      </c>
      <c r="D324" t="s">
        <v>33</v>
      </c>
      <c r="E324" t="s">
        <v>30</v>
      </c>
      <c r="F324" t="s">
        <v>33</v>
      </c>
      <c r="G324" t="s">
        <v>31</v>
      </c>
      <c r="H324" t="s">
        <v>34</v>
      </c>
      <c r="I324">
        <v>2080</v>
      </c>
      <c r="J324">
        <v>1.8597999999999999</v>
      </c>
      <c r="K324" t="s">
        <v>33</v>
      </c>
    </row>
    <row r="325" spans="1:12" x14ac:dyDescent="0.45">
      <c r="A325" t="s">
        <v>90</v>
      </c>
      <c r="B325" t="s">
        <v>3</v>
      </c>
      <c r="C325" t="s">
        <v>84</v>
      </c>
      <c r="D325" t="s">
        <v>35</v>
      </c>
      <c r="E325" t="s">
        <v>30</v>
      </c>
      <c r="F325" t="s">
        <v>35</v>
      </c>
      <c r="G325" t="s">
        <v>31</v>
      </c>
      <c r="H325" t="s">
        <v>36</v>
      </c>
      <c r="I325">
        <v>2080</v>
      </c>
      <c r="J325">
        <v>4.9551999999999996</v>
      </c>
      <c r="K325" t="s">
        <v>35</v>
      </c>
    </row>
    <row r="326" spans="1:12" x14ac:dyDescent="0.45">
      <c r="A326" t="s">
        <v>90</v>
      </c>
      <c r="B326" t="s">
        <v>3</v>
      </c>
      <c r="C326" t="s">
        <v>84</v>
      </c>
      <c r="D326" t="s">
        <v>37</v>
      </c>
      <c r="E326" t="s">
        <v>30</v>
      </c>
      <c r="F326" t="s">
        <v>37</v>
      </c>
      <c r="G326" t="s">
        <v>31</v>
      </c>
      <c r="H326" t="s">
        <v>38</v>
      </c>
      <c r="I326">
        <v>2080</v>
      </c>
      <c r="J326">
        <v>236.43835000000001</v>
      </c>
      <c r="K326" t="s">
        <v>37</v>
      </c>
    </row>
    <row r="327" spans="1:12" x14ac:dyDescent="0.45">
      <c r="A327" t="s">
        <v>90</v>
      </c>
      <c r="B327" t="s">
        <v>3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2080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2080</v>
      </c>
      <c r="J328">
        <v>2.9999999999999997E-4</v>
      </c>
      <c r="K328" t="s">
        <v>53</v>
      </c>
      <c r="L328">
        <v>55</v>
      </c>
    </row>
    <row r="329" spans="1:12" x14ac:dyDescent="0.45">
      <c r="A329" t="s">
        <v>90</v>
      </c>
      <c r="B329" t="s">
        <v>3</v>
      </c>
      <c r="C329" t="s">
        <v>84</v>
      </c>
      <c r="D329" t="s">
        <v>54</v>
      </c>
      <c r="E329" t="s">
        <v>25</v>
      </c>
      <c r="F329" t="s">
        <v>54</v>
      </c>
      <c r="G329" t="s">
        <v>71</v>
      </c>
      <c r="H329" t="s">
        <v>89</v>
      </c>
      <c r="I329">
        <v>2080</v>
      </c>
      <c r="J329">
        <v>0</v>
      </c>
      <c r="K329" t="s">
        <v>54</v>
      </c>
      <c r="L329">
        <v>70</v>
      </c>
    </row>
    <row r="330" spans="1:12" x14ac:dyDescent="0.45">
      <c r="A330" t="s">
        <v>90</v>
      </c>
      <c r="B330" t="s">
        <v>3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2080</v>
      </c>
      <c r="J330">
        <v>13.45345</v>
      </c>
      <c r="K330" t="s">
        <v>85</v>
      </c>
    </row>
    <row r="331" spans="1:12" x14ac:dyDescent="0.45">
      <c r="A331" t="s">
        <v>90</v>
      </c>
      <c r="B331" t="s">
        <v>3</v>
      </c>
      <c r="C331" t="s">
        <v>84</v>
      </c>
      <c r="D331" t="s">
        <v>45</v>
      </c>
      <c r="E331" t="s">
        <v>46</v>
      </c>
      <c r="F331" t="s">
        <v>45</v>
      </c>
      <c r="G331" t="s">
        <v>47</v>
      </c>
      <c r="H331" t="s">
        <v>89</v>
      </c>
      <c r="I331">
        <v>2085</v>
      </c>
      <c r="J331">
        <v>102.0025</v>
      </c>
      <c r="K331" t="s">
        <v>45</v>
      </c>
    </row>
    <row r="332" spans="1:12" x14ac:dyDescent="0.45">
      <c r="A332" t="s">
        <v>90</v>
      </c>
      <c r="B332" t="s">
        <v>3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-824.05825000000004</v>
      </c>
      <c r="K332" t="s">
        <v>48</v>
      </c>
    </row>
    <row r="333" spans="1:12" x14ac:dyDescent="0.45">
      <c r="A333" t="s">
        <v>90</v>
      </c>
      <c r="B333" t="s">
        <v>3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2085</v>
      </c>
      <c r="J333">
        <v>-6.6039000000000003</v>
      </c>
      <c r="K333" t="s">
        <v>51</v>
      </c>
    </row>
    <row r="334" spans="1:12" x14ac:dyDescent="0.45">
      <c r="A334" t="s">
        <v>90</v>
      </c>
      <c r="B334" t="s">
        <v>3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2085</v>
      </c>
      <c r="J334">
        <v>3.1438999999999999</v>
      </c>
      <c r="K334" t="s">
        <v>24</v>
      </c>
    </row>
    <row r="335" spans="1:12" x14ac:dyDescent="0.45">
      <c r="A335" t="s">
        <v>90</v>
      </c>
      <c r="B335" t="s">
        <v>3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2085</v>
      </c>
      <c r="J335">
        <v>12.4482</v>
      </c>
      <c r="K335" t="s">
        <v>28</v>
      </c>
    </row>
    <row r="336" spans="1:12" x14ac:dyDescent="0.45">
      <c r="A336" t="s">
        <v>90</v>
      </c>
      <c r="B336" t="s">
        <v>3</v>
      </c>
      <c r="C336" t="s">
        <v>84</v>
      </c>
      <c r="D336" t="s">
        <v>27</v>
      </c>
      <c r="E336" t="s">
        <v>25</v>
      </c>
      <c r="F336" t="s">
        <v>27</v>
      </c>
      <c r="G336" t="s">
        <v>26</v>
      </c>
      <c r="H336" t="s">
        <v>10</v>
      </c>
      <c r="I336">
        <v>2085</v>
      </c>
      <c r="J336">
        <v>5.1689500000000006</v>
      </c>
      <c r="K336" t="s">
        <v>27</v>
      </c>
    </row>
    <row r="337" spans="1:12" x14ac:dyDescent="0.45">
      <c r="A337" t="s">
        <v>90</v>
      </c>
      <c r="B337" t="s">
        <v>3</v>
      </c>
      <c r="C337" t="s">
        <v>84</v>
      </c>
      <c r="D337" t="s">
        <v>29</v>
      </c>
      <c r="E337" t="s">
        <v>30</v>
      </c>
      <c r="F337" t="s">
        <v>29</v>
      </c>
      <c r="G337" t="s">
        <v>31</v>
      </c>
      <c r="H337" t="s">
        <v>32</v>
      </c>
      <c r="I337">
        <v>2085</v>
      </c>
      <c r="J337">
        <v>15.284700000000001</v>
      </c>
      <c r="K337" t="s">
        <v>29</v>
      </c>
    </row>
    <row r="338" spans="1:12" x14ac:dyDescent="0.45">
      <c r="A338" t="s">
        <v>90</v>
      </c>
      <c r="B338" t="s">
        <v>3</v>
      </c>
      <c r="C338" t="s">
        <v>84</v>
      </c>
      <c r="D338" t="s">
        <v>33</v>
      </c>
      <c r="E338" t="s">
        <v>30</v>
      </c>
      <c r="F338" t="s">
        <v>33</v>
      </c>
      <c r="G338" t="s">
        <v>31</v>
      </c>
      <c r="H338" t="s">
        <v>34</v>
      </c>
      <c r="I338">
        <v>2085</v>
      </c>
      <c r="J338">
        <v>1.8835500000000001</v>
      </c>
      <c r="K338" t="s">
        <v>33</v>
      </c>
    </row>
    <row r="339" spans="1:12" x14ac:dyDescent="0.45">
      <c r="A339" t="s">
        <v>90</v>
      </c>
      <c r="B339" t="s">
        <v>3</v>
      </c>
      <c r="C339" t="s">
        <v>84</v>
      </c>
      <c r="D339" t="s">
        <v>35</v>
      </c>
      <c r="E339" t="s">
        <v>30</v>
      </c>
      <c r="F339" t="s">
        <v>35</v>
      </c>
      <c r="G339" t="s">
        <v>31</v>
      </c>
      <c r="H339" t="s">
        <v>36</v>
      </c>
      <c r="I339">
        <v>2085</v>
      </c>
      <c r="J339">
        <v>5.0263999999999998</v>
      </c>
      <c r="K339" t="s">
        <v>35</v>
      </c>
    </row>
    <row r="340" spans="1:12" x14ac:dyDescent="0.45">
      <c r="A340" t="s">
        <v>90</v>
      </c>
      <c r="B340" t="s">
        <v>3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2085</v>
      </c>
      <c r="J340">
        <v>256.55574999999999</v>
      </c>
      <c r="K340" t="s">
        <v>37</v>
      </c>
    </row>
    <row r="341" spans="1:12" x14ac:dyDescent="0.45">
      <c r="A341" t="s">
        <v>90</v>
      </c>
      <c r="B341" t="s">
        <v>3</v>
      </c>
      <c r="C341" t="s">
        <v>84</v>
      </c>
      <c r="D341" t="s">
        <v>52</v>
      </c>
      <c r="E341" t="s">
        <v>25</v>
      </c>
      <c r="F341" t="s">
        <v>52</v>
      </c>
      <c r="G341" t="s">
        <v>71</v>
      </c>
      <c r="H341" t="s">
        <v>89</v>
      </c>
      <c r="I341">
        <v>2085</v>
      </c>
      <c r="J341">
        <v>0</v>
      </c>
      <c r="K341" t="s">
        <v>52</v>
      </c>
      <c r="L341">
        <v>94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2085</v>
      </c>
      <c r="J342">
        <v>1.5000000000000001E-4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54</v>
      </c>
      <c r="E343" t="s">
        <v>25</v>
      </c>
      <c r="F343" t="s">
        <v>54</v>
      </c>
      <c r="G343" t="s">
        <v>71</v>
      </c>
      <c r="H343" t="s">
        <v>89</v>
      </c>
      <c r="I343">
        <v>2085</v>
      </c>
      <c r="J343">
        <v>0</v>
      </c>
      <c r="K343" t="s">
        <v>54</v>
      </c>
      <c r="L343">
        <v>70</v>
      </c>
    </row>
    <row r="344" spans="1:12" x14ac:dyDescent="0.45">
      <c r="A344" t="s">
        <v>90</v>
      </c>
      <c r="B344" t="s">
        <v>3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2085</v>
      </c>
      <c r="J344">
        <v>13.6549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2090</v>
      </c>
      <c r="J345">
        <v>58.271500000000003</v>
      </c>
      <c r="K345" t="s">
        <v>45</v>
      </c>
    </row>
    <row r="346" spans="1:12" x14ac:dyDescent="0.45">
      <c r="A346" t="s">
        <v>90</v>
      </c>
      <c r="B346" t="s">
        <v>3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2090</v>
      </c>
      <c r="J346">
        <v>-818.16845000000001</v>
      </c>
      <c r="K346" t="s">
        <v>48</v>
      </c>
    </row>
    <row r="347" spans="1:12" x14ac:dyDescent="0.45">
      <c r="A347" t="s">
        <v>90</v>
      </c>
      <c r="B347" t="s">
        <v>3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2090</v>
      </c>
      <c r="J347">
        <v>2.8936999999999999</v>
      </c>
      <c r="K347" t="s">
        <v>51</v>
      </c>
    </row>
    <row r="348" spans="1:12" x14ac:dyDescent="0.45">
      <c r="A348" t="s">
        <v>90</v>
      </c>
      <c r="B348" t="s">
        <v>3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2090</v>
      </c>
      <c r="J348">
        <v>3.00515</v>
      </c>
      <c r="K348" t="s">
        <v>24</v>
      </c>
    </row>
    <row r="349" spans="1:12" x14ac:dyDescent="0.45">
      <c r="A349" t="s">
        <v>90</v>
      </c>
      <c r="B349" t="s">
        <v>3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2090</v>
      </c>
      <c r="J349">
        <v>12.704050000000001</v>
      </c>
      <c r="K349" t="s">
        <v>28</v>
      </c>
    </row>
    <row r="350" spans="1:12" x14ac:dyDescent="0.45">
      <c r="A350" t="s">
        <v>90</v>
      </c>
      <c r="B350" t="s">
        <v>3</v>
      </c>
      <c r="C350" t="s">
        <v>84</v>
      </c>
      <c r="D350" t="s">
        <v>27</v>
      </c>
      <c r="E350" t="s">
        <v>25</v>
      </c>
      <c r="F350" t="s">
        <v>27</v>
      </c>
      <c r="G350" t="s">
        <v>26</v>
      </c>
      <c r="H350" t="s">
        <v>10</v>
      </c>
      <c r="I350">
        <v>2090</v>
      </c>
      <c r="J350">
        <v>5.2823500000000001</v>
      </c>
      <c r="K350" t="s">
        <v>27</v>
      </c>
    </row>
    <row r="351" spans="1:12" x14ac:dyDescent="0.45">
      <c r="A351" t="s">
        <v>90</v>
      </c>
      <c r="B351" t="s">
        <v>3</v>
      </c>
      <c r="C351" t="s">
        <v>84</v>
      </c>
      <c r="D351" t="s">
        <v>29</v>
      </c>
      <c r="E351" t="s">
        <v>30</v>
      </c>
      <c r="F351" t="s">
        <v>29</v>
      </c>
      <c r="G351" t="s">
        <v>31</v>
      </c>
      <c r="H351" t="s">
        <v>32</v>
      </c>
      <c r="I351">
        <v>2090</v>
      </c>
      <c r="J351">
        <v>15.941649999999999</v>
      </c>
      <c r="K351" t="s">
        <v>29</v>
      </c>
    </row>
    <row r="352" spans="1:12" x14ac:dyDescent="0.45">
      <c r="A352" t="s">
        <v>90</v>
      </c>
      <c r="B352" t="s">
        <v>3</v>
      </c>
      <c r="C352" t="s">
        <v>84</v>
      </c>
      <c r="D352" t="s">
        <v>33</v>
      </c>
      <c r="E352" t="s">
        <v>30</v>
      </c>
      <c r="F352" t="s">
        <v>33</v>
      </c>
      <c r="G352" t="s">
        <v>31</v>
      </c>
      <c r="H352" t="s">
        <v>34</v>
      </c>
      <c r="I352">
        <v>2090</v>
      </c>
      <c r="J352">
        <v>1.9073500000000001</v>
      </c>
      <c r="K352" t="s">
        <v>33</v>
      </c>
    </row>
    <row r="353" spans="1:12" x14ac:dyDescent="0.45">
      <c r="A353" t="s">
        <v>90</v>
      </c>
      <c r="B353" t="s">
        <v>3</v>
      </c>
      <c r="C353" t="s">
        <v>84</v>
      </c>
      <c r="D353" t="s">
        <v>35</v>
      </c>
      <c r="E353" t="s">
        <v>30</v>
      </c>
      <c r="F353" t="s">
        <v>35</v>
      </c>
      <c r="G353" t="s">
        <v>31</v>
      </c>
      <c r="H353" t="s">
        <v>36</v>
      </c>
      <c r="I353">
        <v>2090</v>
      </c>
      <c r="J353">
        <v>5.0976499999999998</v>
      </c>
      <c r="K353" t="s">
        <v>35</v>
      </c>
    </row>
    <row r="354" spans="1:12" x14ac:dyDescent="0.45">
      <c r="A354" t="s">
        <v>90</v>
      </c>
      <c r="B354" t="s">
        <v>3</v>
      </c>
      <c r="C354" t="s">
        <v>84</v>
      </c>
      <c r="D354" t="s">
        <v>37</v>
      </c>
      <c r="E354" t="s">
        <v>30</v>
      </c>
      <c r="F354" t="s">
        <v>37</v>
      </c>
      <c r="G354" t="s">
        <v>31</v>
      </c>
      <c r="H354" t="s">
        <v>38</v>
      </c>
      <c r="I354">
        <v>2090</v>
      </c>
      <c r="J354">
        <v>276.67314999999996</v>
      </c>
      <c r="K354" t="s">
        <v>37</v>
      </c>
    </row>
    <row r="355" spans="1:12" x14ac:dyDescent="0.45">
      <c r="A355" t="s">
        <v>90</v>
      </c>
      <c r="B355" t="s">
        <v>3</v>
      </c>
      <c r="C355" t="s">
        <v>84</v>
      </c>
      <c r="D355" t="s">
        <v>52</v>
      </c>
      <c r="E355" t="s">
        <v>25</v>
      </c>
      <c r="F355" t="s">
        <v>52</v>
      </c>
      <c r="G355" t="s">
        <v>71</v>
      </c>
      <c r="H355" t="s">
        <v>89</v>
      </c>
      <c r="I355">
        <v>2090</v>
      </c>
      <c r="J355">
        <v>0</v>
      </c>
      <c r="K355" t="s">
        <v>52</v>
      </c>
      <c r="L355">
        <v>94</v>
      </c>
    </row>
    <row r="356" spans="1:12" x14ac:dyDescent="0.45">
      <c r="A356" t="s">
        <v>90</v>
      </c>
      <c r="B356" t="s">
        <v>3</v>
      </c>
      <c r="C356" t="s">
        <v>84</v>
      </c>
      <c r="D356" t="s">
        <v>53</v>
      </c>
      <c r="E356" t="s">
        <v>25</v>
      </c>
      <c r="F356" t="s">
        <v>53</v>
      </c>
      <c r="G356" t="s">
        <v>71</v>
      </c>
      <c r="H356" t="s">
        <v>89</v>
      </c>
      <c r="I356">
        <v>2090</v>
      </c>
      <c r="J356">
        <v>0</v>
      </c>
      <c r="K356" t="s">
        <v>53</v>
      </c>
      <c r="L356">
        <v>55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2090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85</v>
      </c>
      <c r="E358" t="s">
        <v>25</v>
      </c>
      <c r="F358" t="s">
        <v>85</v>
      </c>
      <c r="G358" t="s">
        <v>26</v>
      </c>
      <c r="H358" t="s">
        <v>82</v>
      </c>
      <c r="I358">
        <v>2090</v>
      </c>
      <c r="J358">
        <v>13.856349999999999</v>
      </c>
      <c r="K358" t="s">
        <v>85</v>
      </c>
    </row>
    <row r="359" spans="1:12" x14ac:dyDescent="0.45">
      <c r="A359" t="s">
        <v>90</v>
      </c>
      <c r="B359" t="s">
        <v>3</v>
      </c>
      <c r="C359" t="s">
        <v>84</v>
      </c>
      <c r="D359" t="s">
        <v>45</v>
      </c>
      <c r="E359" t="s">
        <v>46</v>
      </c>
      <c r="F359" t="s">
        <v>45</v>
      </c>
      <c r="G359" t="s">
        <v>47</v>
      </c>
      <c r="H359" t="s">
        <v>89</v>
      </c>
      <c r="I359">
        <v>2095</v>
      </c>
      <c r="J359">
        <v>52.834400000000002</v>
      </c>
      <c r="K359" t="s">
        <v>45</v>
      </c>
    </row>
    <row r="360" spans="1:12" x14ac:dyDescent="0.45">
      <c r="A360" t="s">
        <v>90</v>
      </c>
      <c r="B360" t="s">
        <v>3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2095</v>
      </c>
      <c r="J360">
        <v>-820.58300000000008</v>
      </c>
      <c r="K360" t="s">
        <v>48</v>
      </c>
    </row>
    <row r="361" spans="1:12" x14ac:dyDescent="0.45">
      <c r="A361" t="s">
        <v>90</v>
      </c>
      <c r="B361" t="s">
        <v>3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2095</v>
      </c>
      <c r="J361">
        <v>6.4674500000000004</v>
      </c>
      <c r="K361" t="s">
        <v>51</v>
      </c>
    </row>
    <row r="362" spans="1:12" x14ac:dyDescent="0.45">
      <c r="A362" t="s">
        <v>90</v>
      </c>
      <c r="B362" t="s">
        <v>3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2095</v>
      </c>
      <c r="J362">
        <v>2.8617499999999998</v>
      </c>
      <c r="K362" t="s">
        <v>24</v>
      </c>
    </row>
    <row r="363" spans="1:12" x14ac:dyDescent="0.45">
      <c r="A363" t="s">
        <v>90</v>
      </c>
      <c r="B363" t="s">
        <v>3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2095</v>
      </c>
      <c r="J363">
        <v>12.760199999999999</v>
      </c>
      <c r="K363" t="s">
        <v>28</v>
      </c>
    </row>
    <row r="364" spans="1:12" x14ac:dyDescent="0.45">
      <c r="A364" t="s">
        <v>90</v>
      </c>
      <c r="B364" t="s">
        <v>3</v>
      </c>
      <c r="C364" t="s">
        <v>84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2095</v>
      </c>
      <c r="J364">
        <v>5.3956499999999998</v>
      </c>
      <c r="K364" t="s">
        <v>27</v>
      </c>
    </row>
    <row r="365" spans="1:12" x14ac:dyDescent="0.45">
      <c r="A365" t="s">
        <v>90</v>
      </c>
      <c r="B365" t="s">
        <v>3</v>
      </c>
      <c r="C365" t="s">
        <v>84</v>
      </c>
      <c r="D365" t="s">
        <v>29</v>
      </c>
      <c r="E365" t="s">
        <v>30</v>
      </c>
      <c r="F365" t="s">
        <v>29</v>
      </c>
      <c r="G365" t="s">
        <v>31</v>
      </c>
      <c r="H365" t="s">
        <v>32</v>
      </c>
      <c r="I365">
        <v>2095</v>
      </c>
      <c r="J365">
        <v>15.99475</v>
      </c>
      <c r="K365" t="s">
        <v>29</v>
      </c>
    </row>
    <row r="366" spans="1:12" x14ac:dyDescent="0.45">
      <c r="A366" t="s">
        <v>90</v>
      </c>
      <c r="B366" t="s">
        <v>3</v>
      </c>
      <c r="C366" t="s">
        <v>84</v>
      </c>
      <c r="D366" t="s">
        <v>33</v>
      </c>
      <c r="E366" t="s">
        <v>30</v>
      </c>
      <c r="F366" t="s">
        <v>33</v>
      </c>
      <c r="G366" t="s">
        <v>31</v>
      </c>
      <c r="H366" t="s">
        <v>34</v>
      </c>
      <c r="I366">
        <v>2095</v>
      </c>
      <c r="J366">
        <v>1.81115</v>
      </c>
      <c r="K366" t="s">
        <v>33</v>
      </c>
    </row>
    <row r="367" spans="1:12" x14ac:dyDescent="0.45">
      <c r="A367" t="s">
        <v>90</v>
      </c>
      <c r="B367" t="s">
        <v>3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2095</v>
      </c>
      <c r="J367">
        <v>5.0595999999999997</v>
      </c>
      <c r="K367" t="s">
        <v>35</v>
      </c>
    </row>
    <row r="368" spans="1:12" x14ac:dyDescent="0.45">
      <c r="A368" t="s">
        <v>90</v>
      </c>
      <c r="B368" t="s">
        <v>3</v>
      </c>
      <c r="C368" t="s">
        <v>84</v>
      </c>
      <c r="D368" t="s">
        <v>37</v>
      </c>
      <c r="E368" t="s">
        <v>30</v>
      </c>
      <c r="F368" t="s">
        <v>37</v>
      </c>
      <c r="G368" t="s">
        <v>31</v>
      </c>
      <c r="H368" t="s">
        <v>38</v>
      </c>
      <c r="I368">
        <v>2095</v>
      </c>
      <c r="J368">
        <v>298.55770000000001</v>
      </c>
      <c r="K368" t="s">
        <v>37</v>
      </c>
    </row>
    <row r="369" spans="1:12" x14ac:dyDescent="0.45">
      <c r="A369" t="s">
        <v>90</v>
      </c>
      <c r="B369" t="s">
        <v>3</v>
      </c>
      <c r="C369" t="s">
        <v>84</v>
      </c>
      <c r="D369" t="s">
        <v>52</v>
      </c>
      <c r="E369" t="s">
        <v>25</v>
      </c>
      <c r="F369" t="s">
        <v>52</v>
      </c>
      <c r="G369" t="s">
        <v>71</v>
      </c>
      <c r="H369" t="s">
        <v>89</v>
      </c>
      <c r="I369">
        <v>2095</v>
      </c>
      <c r="J369">
        <v>0</v>
      </c>
      <c r="K369" t="s">
        <v>52</v>
      </c>
      <c r="L369">
        <v>94</v>
      </c>
    </row>
    <row r="370" spans="1:12" x14ac:dyDescent="0.45">
      <c r="A370" t="s">
        <v>90</v>
      </c>
      <c r="B370" t="s">
        <v>3</v>
      </c>
      <c r="C370" t="s">
        <v>84</v>
      </c>
      <c r="D370" t="s">
        <v>53</v>
      </c>
      <c r="E370" t="s">
        <v>25</v>
      </c>
      <c r="F370" t="s">
        <v>53</v>
      </c>
      <c r="G370" t="s">
        <v>71</v>
      </c>
      <c r="H370" t="s">
        <v>89</v>
      </c>
      <c r="I370">
        <v>2095</v>
      </c>
      <c r="J370">
        <v>0</v>
      </c>
      <c r="K370" t="s">
        <v>53</v>
      </c>
      <c r="L370">
        <v>55</v>
      </c>
    </row>
    <row r="371" spans="1:12" x14ac:dyDescent="0.45">
      <c r="A371" t="s">
        <v>90</v>
      </c>
      <c r="B371" t="s">
        <v>3</v>
      </c>
      <c r="C371" t="s">
        <v>84</v>
      </c>
      <c r="D371" t="s">
        <v>54</v>
      </c>
      <c r="E371" t="s">
        <v>25</v>
      </c>
      <c r="F371" t="s">
        <v>54</v>
      </c>
      <c r="G371" t="s">
        <v>71</v>
      </c>
      <c r="H371" t="s">
        <v>89</v>
      </c>
      <c r="I371">
        <v>2095</v>
      </c>
      <c r="J371">
        <v>0</v>
      </c>
      <c r="K371" t="s">
        <v>54</v>
      </c>
      <c r="L371">
        <v>70</v>
      </c>
    </row>
    <row r="372" spans="1:12" x14ac:dyDescent="0.45">
      <c r="A372" t="s">
        <v>90</v>
      </c>
      <c r="B372" t="s">
        <v>3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2095</v>
      </c>
      <c r="J372">
        <v>13.2241</v>
      </c>
      <c r="K372" t="s">
        <v>85</v>
      </c>
    </row>
    <row r="373" spans="1:12" x14ac:dyDescent="0.45">
      <c r="A373" t="s">
        <v>90</v>
      </c>
      <c r="B373" t="s">
        <v>3</v>
      </c>
      <c r="C373" t="s">
        <v>84</v>
      </c>
      <c r="D373" t="s">
        <v>45</v>
      </c>
      <c r="E373" t="s">
        <v>46</v>
      </c>
      <c r="F373" t="s">
        <v>45</v>
      </c>
      <c r="G373" t="s">
        <v>47</v>
      </c>
      <c r="H373" t="s">
        <v>89</v>
      </c>
      <c r="I373">
        <v>2100</v>
      </c>
      <c r="J373">
        <v>47.397300000000001</v>
      </c>
      <c r="K373" t="s">
        <v>45</v>
      </c>
    </row>
    <row r="374" spans="1:12" x14ac:dyDescent="0.45">
      <c r="A374" t="s">
        <v>90</v>
      </c>
      <c r="B374" t="s">
        <v>3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2100</v>
      </c>
      <c r="J374">
        <v>-822.99770000000001</v>
      </c>
      <c r="K374" t="s">
        <v>48</v>
      </c>
    </row>
    <row r="375" spans="1:12" x14ac:dyDescent="0.45">
      <c r="A375" t="s">
        <v>90</v>
      </c>
      <c r="B375" t="s">
        <v>3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2100</v>
      </c>
      <c r="J375">
        <v>10.0412</v>
      </c>
      <c r="K375" t="s">
        <v>51</v>
      </c>
    </row>
    <row r="376" spans="1:12" x14ac:dyDescent="0.45">
      <c r="A376" t="s">
        <v>90</v>
      </c>
      <c r="B376" t="s">
        <v>3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2100</v>
      </c>
      <c r="J376">
        <v>2.7184499999999998</v>
      </c>
      <c r="K376" t="s">
        <v>24</v>
      </c>
    </row>
    <row r="377" spans="1:12" x14ac:dyDescent="0.45">
      <c r="A377" t="s">
        <v>90</v>
      </c>
      <c r="B377" t="s">
        <v>3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2100</v>
      </c>
      <c r="J377">
        <v>12.81625</v>
      </c>
      <c r="K377" t="s">
        <v>28</v>
      </c>
    </row>
    <row r="378" spans="1:12" x14ac:dyDescent="0.45">
      <c r="A378" t="s">
        <v>90</v>
      </c>
      <c r="B378" t="s">
        <v>3</v>
      </c>
      <c r="C378" t="s">
        <v>84</v>
      </c>
      <c r="D378" t="s">
        <v>27</v>
      </c>
      <c r="E378" t="s">
        <v>25</v>
      </c>
      <c r="F378" t="s">
        <v>27</v>
      </c>
      <c r="G378" t="s">
        <v>26</v>
      </c>
      <c r="H378" t="s">
        <v>10</v>
      </c>
      <c r="I378">
        <v>2100</v>
      </c>
      <c r="J378">
        <v>5.5090000000000003</v>
      </c>
      <c r="K378" t="s">
        <v>27</v>
      </c>
    </row>
    <row r="379" spans="1:12" x14ac:dyDescent="0.45">
      <c r="A379" t="s">
        <v>90</v>
      </c>
      <c r="B379" t="s">
        <v>3</v>
      </c>
      <c r="C379" t="s">
        <v>84</v>
      </c>
      <c r="D379" t="s">
        <v>29</v>
      </c>
      <c r="E379" t="s">
        <v>30</v>
      </c>
      <c r="F379" t="s">
        <v>29</v>
      </c>
      <c r="G379" t="s">
        <v>31</v>
      </c>
      <c r="H379" t="s">
        <v>32</v>
      </c>
      <c r="I379">
        <v>2100</v>
      </c>
      <c r="J379">
        <v>16.047899999999998</v>
      </c>
      <c r="K379" t="s">
        <v>29</v>
      </c>
    </row>
    <row r="380" spans="1:12" x14ac:dyDescent="0.45">
      <c r="A380" t="s">
        <v>90</v>
      </c>
      <c r="B380" t="s">
        <v>3</v>
      </c>
      <c r="C380" t="s">
        <v>84</v>
      </c>
      <c r="D380" t="s">
        <v>33</v>
      </c>
      <c r="E380" t="s">
        <v>30</v>
      </c>
      <c r="F380" t="s">
        <v>33</v>
      </c>
      <c r="G380" t="s">
        <v>31</v>
      </c>
      <c r="H380" t="s">
        <v>34</v>
      </c>
      <c r="I380">
        <v>2100</v>
      </c>
      <c r="J380">
        <v>1.7150500000000002</v>
      </c>
      <c r="K380" t="s">
        <v>33</v>
      </c>
    </row>
    <row r="381" spans="1:12" x14ac:dyDescent="0.45">
      <c r="A381" t="s">
        <v>90</v>
      </c>
      <c r="B381" t="s">
        <v>3</v>
      </c>
      <c r="C381" t="s">
        <v>84</v>
      </c>
      <c r="D381" t="s">
        <v>35</v>
      </c>
      <c r="E381" t="s">
        <v>30</v>
      </c>
      <c r="F381" t="s">
        <v>35</v>
      </c>
      <c r="G381" t="s">
        <v>31</v>
      </c>
      <c r="H381" t="s">
        <v>36</v>
      </c>
      <c r="I381">
        <v>2100</v>
      </c>
      <c r="J381">
        <v>5.0215499999999995</v>
      </c>
      <c r="K381" t="s">
        <v>35</v>
      </c>
    </row>
    <row r="382" spans="1:12" x14ac:dyDescent="0.45">
      <c r="A382" t="s">
        <v>90</v>
      </c>
      <c r="B382" t="s">
        <v>3</v>
      </c>
      <c r="C382" t="s">
        <v>84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2100</v>
      </c>
      <c r="J382">
        <v>320.44220000000001</v>
      </c>
      <c r="K382" t="s">
        <v>37</v>
      </c>
    </row>
    <row r="383" spans="1:12" x14ac:dyDescent="0.45">
      <c r="A383" t="s">
        <v>90</v>
      </c>
      <c r="B383" t="s">
        <v>3</v>
      </c>
      <c r="C383" t="s">
        <v>84</v>
      </c>
      <c r="D383" t="s">
        <v>52</v>
      </c>
      <c r="E383" t="s">
        <v>25</v>
      </c>
      <c r="F383" t="s">
        <v>52</v>
      </c>
      <c r="G383" t="s">
        <v>71</v>
      </c>
      <c r="H383" t="s">
        <v>89</v>
      </c>
      <c r="I383">
        <v>2100</v>
      </c>
      <c r="J383">
        <v>0</v>
      </c>
      <c r="K383" t="s">
        <v>52</v>
      </c>
      <c r="L383">
        <v>94</v>
      </c>
    </row>
    <row r="384" spans="1:12" x14ac:dyDescent="0.45">
      <c r="A384" t="s">
        <v>90</v>
      </c>
      <c r="B384" t="s">
        <v>3</v>
      </c>
      <c r="C384" t="s">
        <v>84</v>
      </c>
      <c r="D384" t="s">
        <v>53</v>
      </c>
      <c r="E384" t="s">
        <v>25</v>
      </c>
      <c r="F384" t="s">
        <v>53</v>
      </c>
      <c r="G384" t="s">
        <v>71</v>
      </c>
      <c r="H384" t="s">
        <v>89</v>
      </c>
      <c r="I384">
        <v>2100</v>
      </c>
      <c r="J384">
        <v>0</v>
      </c>
      <c r="K384" t="s">
        <v>53</v>
      </c>
      <c r="L384">
        <v>55</v>
      </c>
    </row>
    <row r="385" spans="1:12" x14ac:dyDescent="0.45">
      <c r="A385" t="s">
        <v>90</v>
      </c>
      <c r="B385" t="s">
        <v>3</v>
      </c>
      <c r="C385" t="s">
        <v>84</v>
      </c>
      <c r="D385" t="s">
        <v>54</v>
      </c>
      <c r="E385" t="s">
        <v>25</v>
      </c>
      <c r="F385" t="s">
        <v>54</v>
      </c>
      <c r="G385" t="s">
        <v>71</v>
      </c>
      <c r="H385" t="s">
        <v>89</v>
      </c>
      <c r="I385">
        <v>2100</v>
      </c>
      <c r="J385">
        <v>0</v>
      </c>
      <c r="K385" t="s">
        <v>54</v>
      </c>
      <c r="L385">
        <v>70</v>
      </c>
    </row>
    <row r="386" spans="1:12" x14ac:dyDescent="0.45">
      <c r="A386" t="s">
        <v>90</v>
      </c>
      <c r="B386" t="s">
        <v>3</v>
      </c>
      <c r="C386" t="s">
        <v>84</v>
      </c>
      <c r="D386" t="s">
        <v>85</v>
      </c>
      <c r="E386" t="s">
        <v>25</v>
      </c>
      <c r="F386" t="s">
        <v>85</v>
      </c>
      <c r="G386" t="s">
        <v>26</v>
      </c>
      <c r="H386" t="s">
        <v>82</v>
      </c>
      <c r="I386">
        <v>2100</v>
      </c>
      <c r="J386">
        <v>12.591899999999999</v>
      </c>
      <c r="K386" t="s">
        <v>85</v>
      </c>
    </row>
    <row r="387" spans="1:12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2.2551000000000001</v>
      </c>
      <c r="K387" t="s">
        <v>45</v>
      </c>
    </row>
    <row r="388" spans="1:12" x14ac:dyDescent="0.45">
      <c r="A388" t="s">
        <v>90</v>
      </c>
      <c r="B388" t="s">
        <v>4</v>
      </c>
      <c r="C388" t="s">
        <v>84</v>
      </c>
      <c r="D388" t="s">
        <v>48</v>
      </c>
      <c r="E388" t="s">
        <v>46</v>
      </c>
      <c r="F388" t="s">
        <v>48</v>
      </c>
      <c r="G388" t="s">
        <v>49</v>
      </c>
      <c r="H388" t="s">
        <v>50</v>
      </c>
      <c r="I388">
        <v>2020</v>
      </c>
      <c r="J388">
        <v>4048.3285999999998</v>
      </c>
      <c r="K388" t="s">
        <v>48</v>
      </c>
    </row>
    <row r="389" spans="1:12" x14ac:dyDescent="0.45">
      <c r="A389" t="s">
        <v>90</v>
      </c>
      <c r="B389" t="s">
        <v>4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4763.2656999999999</v>
      </c>
      <c r="K389" t="s">
        <v>51</v>
      </c>
    </row>
    <row r="390" spans="1:12" x14ac:dyDescent="0.45">
      <c r="A390" t="s">
        <v>90</v>
      </c>
      <c r="B390" t="s">
        <v>4</v>
      </c>
      <c r="C390" t="s">
        <v>84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2020</v>
      </c>
      <c r="J390">
        <v>3.1556000000000002</v>
      </c>
      <c r="K390" t="s">
        <v>24</v>
      </c>
    </row>
    <row r="391" spans="1:12" x14ac:dyDescent="0.45">
      <c r="A391" t="s">
        <v>90</v>
      </c>
      <c r="B391" t="s">
        <v>4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2020</v>
      </c>
      <c r="J391">
        <v>10.713200000000001</v>
      </c>
      <c r="K391" t="s">
        <v>28</v>
      </c>
    </row>
    <row r="392" spans="1:12" x14ac:dyDescent="0.45">
      <c r="A392" t="s">
        <v>90</v>
      </c>
      <c r="B392" t="s">
        <v>4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2020</v>
      </c>
      <c r="J392">
        <v>0.27579999999999999</v>
      </c>
      <c r="K392" t="s">
        <v>27</v>
      </c>
    </row>
    <row r="393" spans="1:12" x14ac:dyDescent="0.45">
      <c r="A393" t="s">
        <v>90</v>
      </c>
      <c r="B393" t="s">
        <v>4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2" x14ac:dyDescent="0.45">
      <c r="A394" t="s">
        <v>90</v>
      </c>
      <c r="B394" t="s">
        <v>4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2020</v>
      </c>
      <c r="J394">
        <v>2.0344000000000002</v>
      </c>
      <c r="K394" t="s">
        <v>33</v>
      </c>
    </row>
    <row r="395" spans="1:12" x14ac:dyDescent="0.45">
      <c r="A395" t="s">
        <v>90</v>
      </c>
      <c r="B395" t="s">
        <v>4</v>
      </c>
      <c r="C395" t="s">
        <v>84</v>
      </c>
      <c r="D395" t="s">
        <v>35</v>
      </c>
      <c r="E395" t="s">
        <v>30</v>
      </c>
      <c r="F395" t="s">
        <v>35</v>
      </c>
      <c r="G395" t="s">
        <v>31</v>
      </c>
      <c r="H395" t="s">
        <v>36</v>
      </c>
      <c r="I395">
        <v>2020</v>
      </c>
      <c r="J395">
        <v>3.9710999999999999</v>
      </c>
      <c r="K395" t="s">
        <v>35</v>
      </c>
    </row>
    <row r="396" spans="1:12" x14ac:dyDescent="0.45">
      <c r="A396" t="s">
        <v>90</v>
      </c>
      <c r="B396" t="s">
        <v>4</v>
      </c>
      <c r="C396" t="s">
        <v>84</v>
      </c>
      <c r="D396" t="s">
        <v>37</v>
      </c>
      <c r="E396" t="s">
        <v>30</v>
      </c>
      <c r="F396" t="s">
        <v>37</v>
      </c>
      <c r="G396" t="s">
        <v>31</v>
      </c>
      <c r="H396" t="s">
        <v>38</v>
      </c>
      <c r="I396">
        <v>2020</v>
      </c>
      <c r="J396">
        <v>81.473500000000001</v>
      </c>
      <c r="K396" t="s">
        <v>37</v>
      </c>
    </row>
    <row r="397" spans="1:12" x14ac:dyDescent="0.45">
      <c r="A397" t="s">
        <v>90</v>
      </c>
      <c r="B397" t="s">
        <v>4</v>
      </c>
      <c r="C397" t="s">
        <v>84</v>
      </c>
      <c r="D397" t="s">
        <v>52</v>
      </c>
      <c r="E397" t="s">
        <v>25</v>
      </c>
      <c r="F397" t="s">
        <v>52</v>
      </c>
      <c r="G397" t="s">
        <v>71</v>
      </c>
      <c r="H397" t="s">
        <v>89</v>
      </c>
      <c r="I397">
        <v>2020</v>
      </c>
      <c r="J397">
        <v>3.0137</v>
      </c>
      <c r="K397" t="s">
        <v>52</v>
      </c>
      <c r="L397">
        <v>94</v>
      </c>
    </row>
    <row r="398" spans="1:12" x14ac:dyDescent="0.45">
      <c r="A398" t="s">
        <v>90</v>
      </c>
      <c r="B398" t="s">
        <v>4</v>
      </c>
      <c r="C398" t="s">
        <v>84</v>
      </c>
      <c r="D398" t="s">
        <v>53</v>
      </c>
      <c r="E398" t="s">
        <v>25</v>
      </c>
      <c r="F398" t="s">
        <v>53</v>
      </c>
      <c r="G398" t="s">
        <v>71</v>
      </c>
      <c r="H398" t="s">
        <v>89</v>
      </c>
      <c r="I398">
        <v>2020</v>
      </c>
      <c r="J398">
        <v>7.1176000000000004</v>
      </c>
      <c r="K398" t="s">
        <v>53</v>
      </c>
      <c r="L398">
        <v>55</v>
      </c>
    </row>
    <row r="399" spans="1:12" x14ac:dyDescent="0.45">
      <c r="A399" t="s">
        <v>90</v>
      </c>
      <c r="B399" t="s">
        <v>4</v>
      </c>
      <c r="C399" t="s">
        <v>84</v>
      </c>
      <c r="D399" t="s">
        <v>54</v>
      </c>
      <c r="E399" t="s">
        <v>25</v>
      </c>
      <c r="F399" t="s">
        <v>54</v>
      </c>
      <c r="G399" t="s">
        <v>71</v>
      </c>
      <c r="H399" t="s">
        <v>89</v>
      </c>
      <c r="I399">
        <v>2020</v>
      </c>
      <c r="J399">
        <v>0.128</v>
      </c>
      <c r="K399" t="s">
        <v>54</v>
      </c>
      <c r="L399">
        <v>70</v>
      </c>
    </row>
    <row r="400" spans="1:12" x14ac:dyDescent="0.45">
      <c r="A400" t="s">
        <v>90</v>
      </c>
      <c r="B400" t="s">
        <v>4</v>
      </c>
      <c r="C400" t="s">
        <v>84</v>
      </c>
      <c r="D400" t="s">
        <v>85</v>
      </c>
      <c r="E400" t="s">
        <v>25</v>
      </c>
      <c r="F400" t="s">
        <v>85</v>
      </c>
      <c r="G400" t="s">
        <v>26</v>
      </c>
      <c r="H400" t="s">
        <v>82</v>
      </c>
      <c r="I400">
        <v>2020</v>
      </c>
      <c r="J400">
        <v>0.1113</v>
      </c>
      <c r="K400" t="s">
        <v>85</v>
      </c>
    </row>
    <row r="401" spans="1:12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2025</v>
      </c>
      <c r="J401">
        <v>21.057200000000002</v>
      </c>
      <c r="K401" t="s">
        <v>45</v>
      </c>
    </row>
    <row r="402" spans="1:12" x14ac:dyDescent="0.45">
      <c r="A402" t="s">
        <v>90</v>
      </c>
      <c r="B402" t="s">
        <v>4</v>
      </c>
      <c r="C402" t="s">
        <v>84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2025</v>
      </c>
      <c r="J402">
        <v>3328.6814999999997</v>
      </c>
      <c r="K402" t="s">
        <v>48</v>
      </c>
    </row>
    <row r="403" spans="1:12" x14ac:dyDescent="0.45">
      <c r="A403" t="s">
        <v>90</v>
      </c>
      <c r="B403" t="s">
        <v>4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2025</v>
      </c>
      <c r="J403">
        <v>4032.451</v>
      </c>
      <c r="K403" t="s">
        <v>51</v>
      </c>
    </row>
    <row r="404" spans="1:12" x14ac:dyDescent="0.45">
      <c r="A404" t="s">
        <v>90</v>
      </c>
      <c r="B404" t="s">
        <v>4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2025</v>
      </c>
      <c r="J404">
        <v>3.1617999999999999</v>
      </c>
      <c r="K404" t="s">
        <v>24</v>
      </c>
    </row>
    <row r="405" spans="1:12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10.597850000000001</v>
      </c>
      <c r="K405" t="s">
        <v>28</v>
      </c>
    </row>
    <row r="406" spans="1:12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2025</v>
      </c>
      <c r="J406">
        <v>0.68564999999999998</v>
      </c>
      <c r="K406" t="s">
        <v>27</v>
      </c>
    </row>
    <row r="407" spans="1:12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2025</v>
      </c>
      <c r="J407">
        <v>5.7637999999999998</v>
      </c>
      <c r="K407" t="s">
        <v>29</v>
      </c>
    </row>
    <row r="408" spans="1:12" x14ac:dyDescent="0.45">
      <c r="A408" t="s">
        <v>90</v>
      </c>
      <c r="B408" t="s">
        <v>4</v>
      </c>
      <c r="C408" t="s">
        <v>84</v>
      </c>
      <c r="D408" t="s">
        <v>33</v>
      </c>
      <c r="E408" t="s">
        <v>30</v>
      </c>
      <c r="F408" t="s">
        <v>33</v>
      </c>
      <c r="G408" t="s">
        <v>31</v>
      </c>
      <c r="H408" t="s">
        <v>34</v>
      </c>
      <c r="I408">
        <v>2025</v>
      </c>
      <c r="J408">
        <v>2.2243500000000003</v>
      </c>
      <c r="K408" t="s">
        <v>33</v>
      </c>
    </row>
    <row r="409" spans="1:12" x14ac:dyDescent="0.45">
      <c r="A409" t="s">
        <v>90</v>
      </c>
      <c r="B409" t="s">
        <v>4</v>
      </c>
      <c r="C409" t="s">
        <v>84</v>
      </c>
      <c r="D409" t="s">
        <v>35</v>
      </c>
      <c r="E409" t="s">
        <v>30</v>
      </c>
      <c r="F409" t="s">
        <v>35</v>
      </c>
      <c r="G409" t="s">
        <v>31</v>
      </c>
      <c r="H409" t="s">
        <v>36</v>
      </c>
      <c r="I409">
        <v>2025</v>
      </c>
      <c r="J409">
        <v>4.6684000000000001</v>
      </c>
      <c r="K409" t="s">
        <v>35</v>
      </c>
    </row>
    <row r="410" spans="1:12" x14ac:dyDescent="0.45">
      <c r="A410" t="s">
        <v>90</v>
      </c>
      <c r="B410" t="s">
        <v>4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2025</v>
      </c>
      <c r="J410">
        <v>96.299599999999998</v>
      </c>
      <c r="K410" t="s">
        <v>37</v>
      </c>
    </row>
    <row r="411" spans="1:12" x14ac:dyDescent="0.45">
      <c r="A411" t="s">
        <v>90</v>
      </c>
      <c r="B411" t="s">
        <v>4</v>
      </c>
      <c r="C411" t="s">
        <v>84</v>
      </c>
      <c r="D411" t="s">
        <v>52</v>
      </c>
      <c r="E411" t="s">
        <v>25</v>
      </c>
      <c r="F411" t="s">
        <v>52</v>
      </c>
      <c r="G411" t="s">
        <v>71</v>
      </c>
      <c r="H411" t="s">
        <v>89</v>
      </c>
      <c r="I411">
        <v>2025</v>
      </c>
      <c r="J411">
        <v>1.2363999999999999</v>
      </c>
      <c r="K411" t="s">
        <v>52</v>
      </c>
      <c r="L411">
        <v>94</v>
      </c>
    </row>
    <row r="412" spans="1:12" x14ac:dyDescent="0.45">
      <c r="A412" t="s">
        <v>90</v>
      </c>
      <c r="B412" t="s">
        <v>4</v>
      </c>
      <c r="C412" t="s">
        <v>84</v>
      </c>
      <c r="D412" t="s">
        <v>53</v>
      </c>
      <c r="E412" t="s">
        <v>25</v>
      </c>
      <c r="F412" t="s">
        <v>53</v>
      </c>
      <c r="G412" t="s">
        <v>71</v>
      </c>
      <c r="H412" t="s">
        <v>89</v>
      </c>
      <c r="I412">
        <v>2025</v>
      </c>
      <c r="J412">
        <v>7.3855000000000004</v>
      </c>
      <c r="K412" t="s">
        <v>53</v>
      </c>
      <c r="L412">
        <v>55</v>
      </c>
    </row>
    <row r="413" spans="1:12" x14ac:dyDescent="0.45">
      <c r="A413" t="s">
        <v>90</v>
      </c>
      <c r="B413" t="s">
        <v>4</v>
      </c>
      <c r="C413" t="s">
        <v>84</v>
      </c>
      <c r="D413" t="s">
        <v>54</v>
      </c>
      <c r="E413" t="s">
        <v>25</v>
      </c>
      <c r="F413" t="s">
        <v>54</v>
      </c>
      <c r="G413" t="s">
        <v>71</v>
      </c>
      <c r="H413" t="s">
        <v>89</v>
      </c>
      <c r="I413">
        <v>2025</v>
      </c>
      <c r="J413">
        <v>7.9000000000000001E-2</v>
      </c>
      <c r="K413" t="s">
        <v>54</v>
      </c>
      <c r="L413">
        <v>70</v>
      </c>
    </row>
    <row r="414" spans="1:12" x14ac:dyDescent="0.45">
      <c r="A414" t="s">
        <v>90</v>
      </c>
      <c r="B414" t="s">
        <v>4</v>
      </c>
      <c r="C414" t="s">
        <v>84</v>
      </c>
      <c r="D414" t="s">
        <v>85</v>
      </c>
      <c r="E414" t="s">
        <v>25</v>
      </c>
      <c r="F414" t="s">
        <v>85</v>
      </c>
      <c r="G414" t="s">
        <v>26</v>
      </c>
      <c r="H414" t="s">
        <v>82</v>
      </c>
      <c r="I414">
        <v>2025</v>
      </c>
      <c r="J414">
        <v>0.49419999999999997</v>
      </c>
      <c r="K414" t="s">
        <v>85</v>
      </c>
    </row>
    <row r="415" spans="1:12" x14ac:dyDescent="0.45">
      <c r="A415" t="s">
        <v>90</v>
      </c>
      <c r="B415" t="s">
        <v>4</v>
      </c>
      <c r="C415" t="s">
        <v>84</v>
      </c>
      <c r="D415" t="s">
        <v>45</v>
      </c>
      <c r="E415" t="s">
        <v>46</v>
      </c>
      <c r="F415" t="s">
        <v>45</v>
      </c>
      <c r="G415" t="s">
        <v>47</v>
      </c>
      <c r="H415" t="s">
        <v>89</v>
      </c>
      <c r="I415">
        <v>2030</v>
      </c>
      <c r="J415">
        <v>41.073750000000004</v>
      </c>
      <c r="K415" t="s">
        <v>45</v>
      </c>
    </row>
    <row r="416" spans="1:12" x14ac:dyDescent="0.45">
      <c r="A416" t="s">
        <v>90</v>
      </c>
      <c r="B416" t="s">
        <v>4</v>
      </c>
      <c r="C416" t="s">
        <v>84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2030</v>
      </c>
      <c r="J416">
        <v>2914.9965999999999</v>
      </c>
      <c r="K416" t="s">
        <v>48</v>
      </c>
    </row>
    <row r="417" spans="1:12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2030</v>
      </c>
      <c r="J417">
        <v>3632.3980499999998</v>
      </c>
      <c r="K417" t="s">
        <v>51</v>
      </c>
    </row>
    <row r="418" spans="1:12" x14ac:dyDescent="0.45">
      <c r="A418" t="s">
        <v>90</v>
      </c>
      <c r="B418" t="s">
        <v>4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2030</v>
      </c>
      <c r="J418">
        <v>3.6275500000000003</v>
      </c>
      <c r="K418" t="s">
        <v>24</v>
      </c>
    </row>
    <row r="419" spans="1:12" x14ac:dyDescent="0.45">
      <c r="A419" t="s">
        <v>90</v>
      </c>
      <c r="B419" t="s">
        <v>4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2030</v>
      </c>
      <c r="J419">
        <v>11.264849999999999</v>
      </c>
      <c r="K419" t="s">
        <v>28</v>
      </c>
    </row>
    <row r="420" spans="1:12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2030</v>
      </c>
      <c r="J420">
        <v>1.4014</v>
      </c>
      <c r="K420" t="s">
        <v>27</v>
      </c>
    </row>
    <row r="421" spans="1:12" x14ac:dyDescent="0.45">
      <c r="A421" t="s">
        <v>90</v>
      </c>
      <c r="B421" t="s">
        <v>4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2030</v>
      </c>
      <c r="J421">
        <v>5.5946499999999997</v>
      </c>
      <c r="K421" t="s">
        <v>29</v>
      </c>
    </row>
    <row r="422" spans="1:12" x14ac:dyDescent="0.45">
      <c r="A422" t="s">
        <v>90</v>
      </c>
      <c r="B422" t="s">
        <v>4</v>
      </c>
      <c r="C422" t="s">
        <v>84</v>
      </c>
      <c r="D422" t="s">
        <v>33</v>
      </c>
      <c r="E422" t="s">
        <v>30</v>
      </c>
      <c r="F422" t="s">
        <v>33</v>
      </c>
      <c r="G422" t="s">
        <v>31</v>
      </c>
      <c r="H422" t="s">
        <v>34</v>
      </c>
      <c r="I422">
        <v>2030</v>
      </c>
      <c r="J422">
        <v>2.2640500000000001</v>
      </c>
      <c r="K422" t="s">
        <v>33</v>
      </c>
    </row>
    <row r="423" spans="1:12" x14ac:dyDescent="0.45">
      <c r="A423" t="s">
        <v>90</v>
      </c>
      <c r="B423" t="s">
        <v>4</v>
      </c>
      <c r="C423" t="s">
        <v>84</v>
      </c>
      <c r="D423" t="s">
        <v>35</v>
      </c>
      <c r="E423" t="s">
        <v>30</v>
      </c>
      <c r="F423" t="s">
        <v>35</v>
      </c>
      <c r="G423" t="s">
        <v>31</v>
      </c>
      <c r="H423" t="s">
        <v>36</v>
      </c>
      <c r="I423">
        <v>2030</v>
      </c>
      <c r="J423">
        <v>4.6098499999999998</v>
      </c>
      <c r="K423" t="s">
        <v>35</v>
      </c>
    </row>
    <row r="424" spans="1:12" x14ac:dyDescent="0.45">
      <c r="A424" t="s">
        <v>90</v>
      </c>
      <c r="B424" t="s">
        <v>4</v>
      </c>
      <c r="C424" t="s">
        <v>84</v>
      </c>
      <c r="D424" t="s">
        <v>37</v>
      </c>
      <c r="E424" t="s">
        <v>30</v>
      </c>
      <c r="F424" t="s">
        <v>37</v>
      </c>
      <c r="G424" t="s">
        <v>31</v>
      </c>
      <c r="H424" t="s">
        <v>38</v>
      </c>
      <c r="I424">
        <v>2030</v>
      </c>
      <c r="J424">
        <v>96.438600000000008</v>
      </c>
      <c r="K424" t="s">
        <v>37</v>
      </c>
    </row>
    <row r="425" spans="1:12" x14ac:dyDescent="0.45">
      <c r="A425" t="s">
        <v>90</v>
      </c>
      <c r="B425" t="s">
        <v>4</v>
      </c>
      <c r="C425" t="s">
        <v>84</v>
      </c>
      <c r="D425" t="s">
        <v>52</v>
      </c>
      <c r="E425" t="s">
        <v>25</v>
      </c>
      <c r="F425" t="s">
        <v>52</v>
      </c>
      <c r="G425" t="s">
        <v>71</v>
      </c>
      <c r="H425" t="s">
        <v>89</v>
      </c>
      <c r="I425">
        <v>2030</v>
      </c>
      <c r="J425">
        <v>0.96730000000000005</v>
      </c>
      <c r="K425" t="s">
        <v>52</v>
      </c>
      <c r="L425">
        <v>94</v>
      </c>
    </row>
    <row r="426" spans="1:12" x14ac:dyDescent="0.45">
      <c r="A426" t="s">
        <v>90</v>
      </c>
      <c r="B426" t="s">
        <v>4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6.8080999999999996</v>
      </c>
      <c r="K426" t="s">
        <v>53</v>
      </c>
      <c r="L426">
        <v>55</v>
      </c>
    </row>
    <row r="427" spans="1:12" x14ac:dyDescent="0.45">
      <c r="A427" t="s">
        <v>90</v>
      </c>
      <c r="B427" t="s">
        <v>4</v>
      </c>
      <c r="C427" t="s">
        <v>84</v>
      </c>
      <c r="D427" t="s">
        <v>54</v>
      </c>
      <c r="E427" t="s">
        <v>25</v>
      </c>
      <c r="F427" t="s">
        <v>54</v>
      </c>
      <c r="G427" t="s">
        <v>71</v>
      </c>
      <c r="H427" t="s">
        <v>89</v>
      </c>
      <c r="I427">
        <v>2030</v>
      </c>
      <c r="J427">
        <v>2.7E-2</v>
      </c>
      <c r="K427" t="s">
        <v>54</v>
      </c>
      <c r="L427">
        <v>70</v>
      </c>
    </row>
    <row r="428" spans="1:12" x14ac:dyDescent="0.45">
      <c r="A428" t="s">
        <v>90</v>
      </c>
      <c r="B428" t="s">
        <v>4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2030</v>
      </c>
      <c r="J428">
        <v>0.84894999999999998</v>
      </c>
      <c r="K428" t="s">
        <v>85</v>
      </c>
    </row>
    <row r="429" spans="1:12" x14ac:dyDescent="0.45">
      <c r="A429" t="s">
        <v>90</v>
      </c>
      <c r="B429" t="s">
        <v>4</v>
      </c>
      <c r="C429" t="s">
        <v>84</v>
      </c>
      <c r="D429" t="s">
        <v>45</v>
      </c>
      <c r="E429" t="s">
        <v>46</v>
      </c>
      <c r="F429" t="s">
        <v>45</v>
      </c>
      <c r="G429" t="s">
        <v>47</v>
      </c>
      <c r="H429" t="s">
        <v>89</v>
      </c>
      <c r="I429">
        <v>2035</v>
      </c>
      <c r="J429">
        <v>41.905550000000005</v>
      </c>
      <c r="K429" t="s">
        <v>45</v>
      </c>
    </row>
    <row r="430" spans="1:12" x14ac:dyDescent="0.45">
      <c r="A430" t="s">
        <v>90</v>
      </c>
      <c r="B430" t="s">
        <v>4</v>
      </c>
      <c r="C430" t="s">
        <v>84</v>
      </c>
      <c r="D430" t="s">
        <v>48</v>
      </c>
      <c r="E430" t="s">
        <v>46</v>
      </c>
      <c r="F430" t="s">
        <v>48</v>
      </c>
      <c r="G430" t="s">
        <v>49</v>
      </c>
      <c r="H430" t="s">
        <v>50</v>
      </c>
      <c r="I430">
        <v>2035</v>
      </c>
      <c r="J430">
        <v>2373.4708000000001</v>
      </c>
      <c r="K430" t="s">
        <v>48</v>
      </c>
    </row>
    <row r="431" spans="1:12" x14ac:dyDescent="0.45">
      <c r="A431" t="s">
        <v>90</v>
      </c>
      <c r="B431" t="s">
        <v>4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2035</v>
      </c>
      <c r="J431">
        <v>3104.0267999999996</v>
      </c>
      <c r="K431" t="s">
        <v>51</v>
      </c>
    </row>
    <row r="432" spans="1:12" x14ac:dyDescent="0.45">
      <c r="A432" t="s">
        <v>90</v>
      </c>
      <c r="B432" t="s">
        <v>4</v>
      </c>
      <c r="C432" t="s">
        <v>84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2035</v>
      </c>
      <c r="J432">
        <v>3.9077500000000001</v>
      </c>
      <c r="K432" t="s">
        <v>24</v>
      </c>
    </row>
    <row r="433" spans="1:12" x14ac:dyDescent="0.45">
      <c r="A433" t="s">
        <v>90</v>
      </c>
      <c r="B433" t="s">
        <v>4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2035</v>
      </c>
      <c r="J433">
        <v>11.6105</v>
      </c>
      <c r="K433" t="s">
        <v>28</v>
      </c>
    </row>
    <row r="434" spans="1:12" x14ac:dyDescent="0.45">
      <c r="A434" t="s">
        <v>90</v>
      </c>
      <c r="B434" t="s">
        <v>4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2035</v>
      </c>
      <c r="J434">
        <v>2.2556000000000003</v>
      </c>
      <c r="K434" t="s">
        <v>27</v>
      </c>
    </row>
    <row r="435" spans="1:12" x14ac:dyDescent="0.45">
      <c r="A435" t="s">
        <v>90</v>
      </c>
      <c r="B435" t="s">
        <v>4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2035</v>
      </c>
      <c r="J435">
        <v>4.5601500000000001</v>
      </c>
      <c r="K435" t="s">
        <v>29</v>
      </c>
    </row>
    <row r="436" spans="1:12" x14ac:dyDescent="0.45">
      <c r="A436" t="s">
        <v>90</v>
      </c>
      <c r="B436" t="s">
        <v>4</v>
      </c>
      <c r="C436" t="s">
        <v>84</v>
      </c>
      <c r="D436" t="s">
        <v>33</v>
      </c>
      <c r="E436" t="s">
        <v>30</v>
      </c>
      <c r="F436" t="s">
        <v>33</v>
      </c>
      <c r="G436" t="s">
        <v>31</v>
      </c>
      <c r="H436" t="s">
        <v>34</v>
      </c>
      <c r="I436">
        <v>2035</v>
      </c>
      <c r="J436">
        <v>2.3101000000000003</v>
      </c>
      <c r="K436" t="s">
        <v>33</v>
      </c>
    </row>
    <row r="437" spans="1:12" x14ac:dyDescent="0.45">
      <c r="A437" t="s">
        <v>90</v>
      </c>
      <c r="B437" t="s">
        <v>4</v>
      </c>
      <c r="C437" t="s">
        <v>84</v>
      </c>
      <c r="D437" t="s">
        <v>35</v>
      </c>
      <c r="E437" t="s">
        <v>30</v>
      </c>
      <c r="F437" t="s">
        <v>35</v>
      </c>
      <c r="G437" t="s">
        <v>31</v>
      </c>
      <c r="H437" t="s">
        <v>36</v>
      </c>
      <c r="I437">
        <v>2035</v>
      </c>
      <c r="J437">
        <v>4.9910999999999994</v>
      </c>
      <c r="K437" t="s">
        <v>35</v>
      </c>
    </row>
    <row r="438" spans="1:12" x14ac:dyDescent="0.45">
      <c r="A438" t="s">
        <v>90</v>
      </c>
      <c r="B438" t="s">
        <v>4</v>
      </c>
      <c r="C438" t="s">
        <v>84</v>
      </c>
      <c r="D438" t="s">
        <v>37</v>
      </c>
      <c r="E438" t="s">
        <v>30</v>
      </c>
      <c r="F438" t="s">
        <v>37</v>
      </c>
      <c r="G438" t="s">
        <v>31</v>
      </c>
      <c r="H438" t="s">
        <v>38</v>
      </c>
      <c r="I438">
        <v>2035</v>
      </c>
      <c r="J438">
        <v>79.112249999999989</v>
      </c>
      <c r="K438" t="s">
        <v>37</v>
      </c>
    </row>
    <row r="439" spans="1:12" x14ac:dyDescent="0.45">
      <c r="A439" t="s">
        <v>90</v>
      </c>
      <c r="B439" t="s">
        <v>4</v>
      </c>
      <c r="C439" t="s">
        <v>84</v>
      </c>
      <c r="D439" t="s">
        <v>52</v>
      </c>
      <c r="E439" t="s">
        <v>25</v>
      </c>
      <c r="F439" t="s">
        <v>52</v>
      </c>
      <c r="G439" t="s">
        <v>71</v>
      </c>
      <c r="H439" t="s">
        <v>89</v>
      </c>
      <c r="I439">
        <v>2035</v>
      </c>
      <c r="J439">
        <v>0.73819999999999997</v>
      </c>
      <c r="K439" t="s">
        <v>52</v>
      </c>
      <c r="L439">
        <v>94</v>
      </c>
    </row>
    <row r="440" spans="1:12" x14ac:dyDescent="0.45">
      <c r="A440" t="s">
        <v>90</v>
      </c>
      <c r="B440" t="s">
        <v>4</v>
      </c>
      <c r="C440" t="s">
        <v>84</v>
      </c>
      <c r="D440" t="s">
        <v>53</v>
      </c>
      <c r="E440" t="s">
        <v>25</v>
      </c>
      <c r="F440" t="s">
        <v>53</v>
      </c>
      <c r="G440" t="s">
        <v>71</v>
      </c>
      <c r="H440" t="s">
        <v>89</v>
      </c>
      <c r="I440">
        <v>2035</v>
      </c>
      <c r="J440">
        <v>5.4237000000000002</v>
      </c>
      <c r="K440" t="s">
        <v>53</v>
      </c>
      <c r="L440">
        <v>55</v>
      </c>
    </row>
    <row r="441" spans="1:12" x14ac:dyDescent="0.45">
      <c r="A441" t="s">
        <v>90</v>
      </c>
      <c r="B441" t="s">
        <v>4</v>
      </c>
      <c r="C441" t="s">
        <v>84</v>
      </c>
      <c r="D441" t="s">
        <v>54</v>
      </c>
      <c r="E441" t="s">
        <v>25</v>
      </c>
      <c r="F441" t="s">
        <v>54</v>
      </c>
      <c r="G441" t="s">
        <v>71</v>
      </c>
      <c r="H441" t="s">
        <v>89</v>
      </c>
      <c r="I441">
        <v>2035</v>
      </c>
      <c r="J441">
        <v>0</v>
      </c>
      <c r="K441" t="s">
        <v>54</v>
      </c>
      <c r="L441">
        <v>70</v>
      </c>
    </row>
    <row r="442" spans="1:12" x14ac:dyDescent="0.45">
      <c r="A442" t="s">
        <v>90</v>
      </c>
      <c r="B442" t="s">
        <v>4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2035</v>
      </c>
      <c r="J442">
        <v>1.1212</v>
      </c>
      <c r="K442" t="s">
        <v>85</v>
      </c>
    </row>
    <row r="443" spans="1:12" x14ac:dyDescent="0.45">
      <c r="A443" t="s">
        <v>90</v>
      </c>
      <c r="B443" t="s">
        <v>4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2040</v>
      </c>
      <c r="J443">
        <v>41.634100000000004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48</v>
      </c>
      <c r="E444" t="s">
        <v>46</v>
      </c>
      <c r="F444" t="s">
        <v>48</v>
      </c>
      <c r="G444" t="s">
        <v>49</v>
      </c>
      <c r="H444" t="s">
        <v>50</v>
      </c>
      <c r="I444">
        <v>2040</v>
      </c>
      <c r="J444">
        <v>1789.1857</v>
      </c>
      <c r="K444" t="s">
        <v>48</v>
      </c>
    </row>
    <row r="445" spans="1:12" x14ac:dyDescent="0.45">
      <c r="A445" t="s">
        <v>90</v>
      </c>
      <c r="B445" t="s">
        <v>4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2040</v>
      </c>
      <c r="J445">
        <v>2532.93995</v>
      </c>
      <c r="K445" t="s">
        <v>51</v>
      </c>
    </row>
    <row r="446" spans="1:12" x14ac:dyDescent="0.45">
      <c r="A446" t="s">
        <v>90</v>
      </c>
      <c r="B446" t="s">
        <v>4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2040</v>
      </c>
      <c r="J446">
        <v>4.0379500000000004</v>
      </c>
      <c r="K446" t="s">
        <v>24</v>
      </c>
    </row>
    <row r="447" spans="1:12" x14ac:dyDescent="0.45">
      <c r="A447" t="s">
        <v>90</v>
      </c>
      <c r="B447" t="s">
        <v>4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2040</v>
      </c>
      <c r="J447">
        <v>11.545850000000002</v>
      </c>
      <c r="K447" t="s">
        <v>28</v>
      </c>
    </row>
    <row r="448" spans="1:12" x14ac:dyDescent="0.45">
      <c r="A448" t="s">
        <v>90</v>
      </c>
      <c r="B448" t="s">
        <v>4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2040</v>
      </c>
      <c r="J448">
        <v>2.9039000000000001</v>
      </c>
      <c r="K448" t="s">
        <v>27</v>
      </c>
    </row>
    <row r="449" spans="1:12" x14ac:dyDescent="0.45">
      <c r="A449" t="s">
        <v>90</v>
      </c>
      <c r="B449" t="s">
        <v>4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2040</v>
      </c>
      <c r="J449">
        <v>2.1816000000000004</v>
      </c>
      <c r="K449" t="s">
        <v>29</v>
      </c>
    </row>
    <row r="450" spans="1:12" x14ac:dyDescent="0.45">
      <c r="A450" t="s">
        <v>90</v>
      </c>
      <c r="B450" t="s">
        <v>4</v>
      </c>
      <c r="C450" t="s">
        <v>84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2040</v>
      </c>
      <c r="J450">
        <v>2.37805</v>
      </c>
      <c r="K450" t="s">
        <v>33</v>
      </c>
    </row>
    <row r="451" spans="1:12" x14ac:dyDescent="0.45">
      <c r="A451" t="s">
        <v>90</v>
      </c>
      <c r="B451" t="s">
        <v>4</v>
      </c>
      <c r="C451" t="s">
        <v>84</v>
      </c>
      <c r="D451" t="s">
        <v>35</v>
      </c>
      <c r="E451" t="s">
        <v>30</v>
      </c>
      <c r="F451" t="s">
        <v>35</v>
      </c>
      <c r="G451" t="s">
        <v>31</v>
      </c>
      <c r="H451" t="s">
        <v>36</v>
      </c>
      <c r="I451">
        <v>2040</v>
      </c>
      <c r="J451">
        <v>5.2395999999999994</v>
      </c>
      <c r="K451" t="s">
        <v>35</v>
      </c>
    </row>
    <row r="452" spans="1:12" x14ac:dyDescent="0.45">
      <c r="A452" t="s">
        <v>90</v>
      </c>
      <c r="B452" t="s">
        <v>4</v>
      </c>
      <c r="C452" t="s">
        <v>84</v>
      </c>
      <c r="D452" t="s">
        <v>37</v>
      </c>
      <c r="E452" t="s">
        <v>30</v>
      </c>
      <c r="F452" t="s">
        <v>37</v>
      </c>
      <c r="G452" t="s">
        <v>31</v>
      </c>
      <c r="H452" t="s">
        <v>38</v>
      </c>
      <c r="I452">
        <v>2040</v>
      </c>
      <c r="J452">
        <v>100.39179999999999</v>
      </c>
      <c r="K452" t="s">
        <v>37</v>
      </c>
    </row>
    <row r="453" spans="1:12" x14ac:dyDescent="0.45">
      <c r="A453" t="s">
        <v>90</v>
      </c>
      <c r="B453" t="s">
        <v>4</v>
      </c>
      <c r="C453" t="s">
        <v>84</v>
      </c>
      <c r="D453" t="s">
        <v>52</v>
      </c>
      <c r="E453" t="s">
        <v>25</v>
      </c>
      <c r="F453" t="s">
        <v>52</v>
      </c>
      <c r="G453" t="s">
        <v>71</v>
      </c>
      <c r="H453" t="s">
        <v>89</v>
      </c>
      <c r="I453">
        <v>2040</v>
      </c>
      <c r="J453">
        <v>8.1600000000000006E-2</v>
      </c>
      <c r="K453" t="s">
        <v>52</v>
      </c>
      <c r="L453">
        <v>94</v>
      </c>
    </row>
    <row r="454" spans="1:12" x14ac:dyDescent="0.45">
      <c r="A454" t="s">
        <v>90</v>
      </c>
      <c r="B454" t="s">
        <v>4</v>
      </c>
      <c r="C454" t="s">
        <v>84</v>
      </c>
      <c r="D454" t="s">
        <v>53</v>
      </c>
      <c r="E454" t="s">
        <v>25</v>
      </c>
      <c r="F454" t="s">
        <v>53</v>
      </c>
      <c r="G454" t="s">
        <v>71</v>
      </c>
      <c r="H454" t="s">
        <v>89</v>
      </c>
      <c r="I454">
        <v>2040</v>
      </c>
      <c r="J454">
        <v>4.05</v>
      </c>
      <c r="K454" t="s">
        <v>53</v>
      </c>
      <c r="L454">
        <v>55</v>
      </c>
    </row>
    <row r="455" spans="1:12" x14ac:dyDescent="0.45">
      <c r="A455" t="s">
        <v>90</v>
      </c>
      <c r="B455" t="s">
        <v>4</v>
      </c>
      <c r="C455" t="s">
        <v>84</v>
      </c>
      <c r="D455" t="s">
        <v>54</v>
      </c>
      <c r="E455" t="s">
        <v>25</v>
      </c>
      <c r="F455" t="s">
        <v>54</v>
      </c>
      <c r="G455" t="s">
        <v>71</v>
      </c>
      <c r="H455" t="s">
        <v>89</v>
      </c>
      <c r="I455">
        <v>2040</v>
      </c>
      <c r="J455">
        <v>0</v>
      </c>
      <c r="K455" t="s">
        <v>54</v>
      </c>
      <c r="L455">
        <v>70</v>
      </c>
    </row>
    <row r="456" spans="1:12" x14ac:dyDescent="0.45">
      <c r="A456" t="s">
        <v>90</v>
      </c>
      <c r="B456" t="s">
        <v>4</v>
      </c>
      <c r="C456" t="s">
        <v>84</v>
      </c>
      <c r="D456" t="s">
        <v>85</v>
      </c>
      <c r="E456" t="s">
        <v>25</v>
      </c>
      <c r="F456" t="s">
        <v>85</v>
      </c>
      <c r="G456" t="s">
        <v>26</v>
      </c>
      <c r="H456" t="s">
        <v>82</v>
      </c>
      <c r="I456">
        <v>2040</v>
      </c>
      <c r="J456">
        <v>1.2922500000000001</v>
      </c>
      <c r="K456" t="s">
        <v>85</v>
      </c>
    </row>
    <row r="457" spans="1:12" x14ac:dyDescent="0.45">
      <c r="A457" t="s">
        <v>90</v>
      </c>
      <c r="B457" t="s">
        <v>4</v>
      </c>
      <c r="C457" t="s">
        <v>84</v>
      </c>
      <c r="D457" t="s">
        <v>45</v>
      </c>
      <c r="E457" t="s">
        <v>46</v>
      </c>
      <c r="F457" t="s">
        <v>45</v>
      </c>
      <c r="G457" t="s">
        <v>47</v>
      </c>
      <c r="H457" t="s">
        <v>89</v>
      </c>
      <c r="I457">
        <v>2045</v>
      </c>
      <c r="J457">
        <v>40.929249999999996</v>
      </c>
      <c r="K457" t="s">
        <v>45</v>
      </c>
    </row>
    <row r="458" spans="1:12" x14ac:dyDescent="0.45">
      <c r="A458" t="s">
        <v>90</v>
      </c>
      <c r="B458" t="s">
        <v>4</v>
      </c>
      <c r="C458" t="s">
        <v>84</v>
      </c>
      <c r="D458" t="s">
        <v>48</v>
      </c>
      <c r="E458" t="s">
        <v>46</v>
      </c>
      <c r="F458" t="s">
        <v>48</v>
      </c>
      <c r="G458" t="s">
        <v>49</v>
      </c>
      <c r="H458" t="s">
        <v>50</v>
      </c>
      <c r="I458">
        <v>2045</v>
      </c>
      <c r="J458">
        <v>1399.5437999999999</v>
      </c>
      <c r="K458" t="s">
        <v>48</v>
      </c>
    </row>
    <row r="459" spans="1:12" x14ac:dyDescent="0.45">
      <c r="A459" t="s">
        <v>90</v>
      </c>
      <c r="B459" t="s">
        <v>4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2045</v>
      </c>
      <c r="J459">
        <v>2157.2194500000001</v>
      </c>
      <c r="K459" t="s">
        <v>51</v>
      </c>
    </row>
    <row r="460" spans="1:12" x14ac:dyDescent="0.45">
      <c r="A460" t="s">
        <v>90</v>
      </c>
      <c r="B460" t="s">
        <v>4</v>
      </c>
      <c r="C460" t="s">
        <v>84</v>
      </c>
      <c r="D460" t="s">
        <v>24</v>
      </c>
      <c r="E460" t="s">
        <v>25</v>
      </c>
      <c r="F460" t="s">
        <v>24</v>
      </c>
      <c r="G460" t="s">
        <v>26</v>
      </c>
      <c r="H460" t="s">
        <v>13</v>
      </c>
      <c r="I460">
        <v>2045</v>
      </c>
      <c r="J460">
        <v>4.1091999999999995</v>
      </c>
      <c r="K460" t="s">
        <v>24</v>
      </c>
    </row>
    <row r="461" spans="1:12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2045</v>
      </c>
      <c r="J461">
        <v>11.321149999999999</v>
      </c>
      <c r="K461" t="s">
        <v>28</v>
      </c>
    </row>
    <row r="462" spans="1:12" x14ac:dyDescent="0.45">
      <c r="A462" t="s">
        <v>90</v>
      </c>
      <c r="B462" t="s">
        <v>4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2045</v>
      </c>
      <c r="J462">
        <v>3.20465</v>
      </c>
      <c r="K462" t="s">
        <v>27</v>
      </c>
    </row>
    <row r="463" spans="1:12" x14ac:dyDescent="0.45">
      <c r="A463" t="s">
        <v>90</v>
      </c>
      <c r="B463" t="s">
        <v>4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2045</v>
      </c>
      <c r="J463">
        <v>2.3449</v>
      </c>
      <c r="K463" t="s">
        <v>29</v>
      </c>
    </row>
    <row r="464" spans="1:12" x14ac:dyDescent="0.45">
      <c r="A464" t="s">
        <v>90</v>
      </c>
      <c r="B464" t="s">
        <v>4</v>
      </c>
      <c r="C464" t="s">
        <v>84</v>
      </c>
      <c r="D464" t="s">
        <v>33</v>
      </c>
      <c r="E464" t="s">
        <v>30</v>
      </c>
      <c r="F464" t="s">
        <v>33</v>
      </c>
      <c r="G464" t="s">
        <v>31</v>
      </c>
      <c r="H464" t="s">
        <v>34</v>
      </c>
      <c r="I464">
        <v>2045</v>
      </c>
      <c r="J464">
        <v>2.49315</v>
      </c>
      <c r="K464" t="s">
        <v>33</v>
      </c>
    </row>
    <row r="465" spans="1:12" x14ac:dyDescent="0.45">
      <c r="A465" t="s">
        <v>90</v>
      </c>
      <c r="B465" t="s">
        <v>4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2045</v>
      </c>
      <c r="J465">
        <v>5.4906499999999996</v>
      </c>
      <c r="K465" t="s">
        <v>35</v>
      </c>
    </row>
    <row r="466" spans="1:12" x14ac:dyDescent="0.45">
      <c r="A466" t="s">
        <v>90</v>
      </c>
      <c r="B466" t="s">
        <v>4</v>
      </c>
      <c r="C466" t="s">
        <v>84</v>
      </c>
      <c r="D466" t="s">
        <v>37</v>
      </c>
      <c r="E466" t="s">
        <v>30</v>
      </c>
      <c r="F466" t="s">
        <v>37</v>
      </c>
      <c r="G466" t="s">
        <v>31</v>
      </c>
      <c r="H466" t="s">
        <v>38</v>
      </c>
      <c r="I466">
        <v>2045</v>
      </c>
      <c r="J466">
        <v>103.7486</v>
      </c>
      <c r="K466" t="s">
        <v>37</v>
      </c>
    </row>
    <row r="467" spans="1:12" x14ac:dyDescent="0.45">
      <c r="A467" t="s">
        <v>90</v>
      </c>
      <c r="B467" t="s">
        <v>4</v>
      </c>
      <c r="C467" t="s">
        <v>84</v>
      </c>
      <c r="D467" t="s">
        <v>52</v>
      </c>
      <c r="E467" t="s">
        <v>25</v>
      </c>
      <c r="F467" t="s">
        <v>52</v>
      </c>
      <c r="G467" t="s">
        <v>71</v>
      </c>
      <c r="H467" t="s">
        <v>89</v>
      </c>
      <c r="I467">
        <v>2045</v>
      </c>
      <c r="J467">
        <v>7.1999999999999998E-3</v>
      </c>
      <c r="K467" t="s">
        <v>52</v>
      </c>
      <c r="L467">
        <v>94</v>
      </c>
    </row>
    <row r="468" spans="1:12" x14ac:dyDescent="0.45">
      <c r="A468" t="s">
        <v>90</v>
      </c>
      <c r="B468" t="s">
        <v>4</v>
      </c>
      <c r="C468" t="s">
        <v>84</v>
      </c>
      <c r="D468" t="s">
        <v>53</v>
      </c>
      <c r="E468" t="s">
        <v>25</v>
      </c>
      <c r="F468" t="s">
        <v>53</v>
      </c>
      <c r="G468" t="s">
        <v>71</v>
      </c>
      <c r="H468" t="s">
        <v>89</v>
      </c>
      <c r="I468">
        <v>2045</v>
      </c>
      <c r="J468">
        <v>2.2517</v>
      </c>
      <c r="K468" t="s">
        <v>53</v>
      </c>
      <c r="L468">
        <v>55</v>
      </c>
    </row>
    <row r="469" spans="1:12" x14ac:dyDescent="0.45">
      <c r="A469" t="s">
        <v>90</v>
      </c>
      <c r="B469" t="s">
        <v>4</v>
      </c>
      <c r="C469" t="s">
        <v>84</v>
      </c>
      <c r="D469" t="s">
        <v>54</v>
      </c>
      <c r="E469" t="s">
        <v>25</v>
      </c>
      <c r="F469" t="s">
        <v>54</v>
      </c>
      <c r="G469" t="s">
        <v>71</v>
      </c>
      <c r="H469" t="s">
        <v>89</v>
      </c>
      <c r="I469">
        <v>2045</v>
      </c>
      <c r="J469">
        <v>0</v>
      </c>
      <c r="K469" t="s">
        <v>54</v>
      </c>
      <c r="L469">
        <v>70</v>
      </c>
    </row>
    <row r="470" spans="1:12" x14ac:dyDescent="0.45">
      <c r="A470" t="s">
        <v>90</v>
      </c>
      <c r="B470" t="s">
        <v>4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2045</v>
      </c>
      <c r="J470">
        <v>1.4058999999999999</v>
      </c>
      <c r="K470" t="s">
        <v>85</v>
      </c>
    </row>
    <row r="471" spans="1:12" x14ac:dyDescent="0.45">
      <c r="A471" t="s">
        <v>90</v>
      </c>
      <c r="B471" t="s">
        <v>4</v>
      </c>
      <c r="C471" t="s">
        <v>84</v>
      </c>
      <c r="D471" t="s">
        <v>45</v>
      </c>
      <c r="E471" t="s">
        <v>46</v>
      </c>
      <c r="F471" t="s">
        <v>45</v>
      </c>
      <c r="G471" t="s">
        <v>47</v>
      </c>
      <c r="H471" t="s">
        <v>89</v>
      </c>
      <c r="I471">
        <v>2050</v>
      </c>
      <c r="J471">
        <v>39.454799999999999</v>
      </c>
      <c r="K471" t="s">
        <v>45</v>
      </c>
    </row>
    <row r="472" spans="1:12" x14ac:dyDescent="0.45">
      <c r="A472" t="s">
        <v>90</v>
      </c>
      <c r="B472" t="s">
        <v>4</v>
      </c>
      <c r="C472" t="s">
        <v>84</v>
      </c>
      <c r="D472" t="s">
        <v>48</v>
      </c>
      <c r="E472" t="s">
        <v>46</v>
      </c>
      <c r="F472" t="s">
        <v>48</v>
      </c>
      <c r="G472" t="s">
        <v>49</v>
      </c>
      <c r="H472" t="s">
        <v>50</v>
      </c>
      <c r="I472">
        <v>2050</v>
      </c>
      <c r="J472">
        <v>1210.7779</v>
      </c>
      <c r="K472" t="s">
        <v>48</v>
      </c>
    </row>
    <row r="473" spans="1:12" x14ac:dyDescent="0.45">
      <c r="A473" t="s">
        <v>90</v>
      </c>
      <c r="B473" t="s">
        <v>4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2050</v>
      </c>
      <c r="J473">
        <v>1982.8693000000001</v>
      </c>
      <c r="K473" t="s">
        <v>51</v>
      </c>
    </row>
    <row r="474" spans="1:12" x14ac:dyDescent="0.45">
      <c r="A474" t="s">
        <v>90</v>
      </c>
      <c r="B474" t="s">
        <v>4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2050</v>
      </c>
      <c r="J474">
        <v>4.1444999999999999</v>
      </c>
      <c r="K474" t="s">
        <v>24</v>
      </c>
    </row>
    <row r="475" spans="1:12" x14ac:dyDescent="0.45">
      <c r="A475" t="s">
        <v>90</v>
      </c>
      <c r="B475" t="s">
        <v>4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2050</v>
      </c>
      <c r="J475">
        <v>11.282</v>
      </c>
      <c r="K475" t="s">
        <v>28</v>
      </c>
    </row>
    <row r="476" spans="1:12" x14ac:dyDescent="0.45">
      <c r="A476" t="s">
        <v>90</v>
      </c>
      <c r="B476" t="s">
        <v>4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2050</v>
      </c>
      <c r="J476">
        <v>3.4223499999999998</v>
      </c>
      <c r="K476" t="s">
        <v>27</v>
      </c>
    </row>
    <row r="477" spans="1:12" x14ac:dyDescent="0.45">
      <c r="A477" t="s">
        <v>90</v>
      </c>
      <c r="B477" t="s">
        <v>4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2050</v>
      </c>
      <c r="J477">
        <v>3.8373499999999998</v>
      </c>
      <c r="K477" t="s">
        <v>29</v>
      </c>
    </row>
    <row r="478" spans="1:12" x14ac:dyDescent="0.45">
      <c r="A478" t="s">
        <v>90</v>
      </c>
      <c r="B478" t="s">
        <v>4</v>
      </c>
      <c r="C478" t="s">
        <v>84</v>
      </c>
      <c r="D478" t="s">
        <v>33</v>
      </c>
      <c r="E478" t="s">
        <v>30</v>
      </c>
      <c r="F478" t="s">
        <v>33</v>
      </c>
      <c r="G478" t="s">
        <v>31</v>
      </c>
      <c r="H478" t="s">
        <v>34</v>
      </c>
      <c r="I478">
        <v>2050</v>
      </c>
      <c r="J478">
        <v>2.7322500000000001</v>
      </c>
      <c r="K478" t="s">
        <v>33</v>
      </c>
    </row>
    <row r="479" spans="1:12" x14ac:dyDescent="0.45">
      <c r="A479" t="s">
        <v>90</v>
      </c>
      <c r="B479" t="s">
        <v>4</v>
      </c>
      <c r="C479" t="s">
        <v>84</v>
      </c>
      <c r="D479" t="s">
        <v>35</v>
      </c>
      <c r="E479" t="s">
        <v>30</v>
      </c>
      <c r="F479" t="s">
        <v>35</v>
      </c>
      <c r="G479" t="s">
        <v>31</v>
      </c>
      <c r="H479" t="s">
        <v>36</v>
      </c>
      <c r="I479">
        <v>2050</v>
      </c>
      <c r="J479">
        <v>5.6541999999999994</v>
      </c>
      <c r="K479" t="s">
        <v>35</v>
      </c>
    </row>
    <row r="480" spans="1:12" x14ac:dyDescent="0.45">
      <c r="A480" t="s">
        <v>90</v>
      </c>
      <c r="B480" t="s">
        <v>4</v>
      </c>
      <c r="C480" t="s">
        <v>84</v>
      </c>
      <c r="D480" t="s">
        <v>37</v>
      </c>
      <c r="E480" t="s">
        <v>30</v>
      </c>
      <c r="F480" t="s">
        <v>37</v>
      </c>
      <c r="G480" t="s">
        <v>31</v>
      </c>
      <c r="H480" t="s">
        <v>38</v>
      </c>
      <c r="I480">
        <v>2050</v>
      </c>
      <c r="J480">
        <v>112.1673</v>
      </c>
      <c r="K480" t="s">
        <v>37</v>
      </c>
    </row>
    <row r="481" spans="1:12" x14ac:dyDescent="0.45">
      <c r="A481" t="s">
        <v>90</v>
      </c>
      <c r="B481" t="s">
        <v>4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2050</v>
      </c>
      <c r="J481">
        <v>5.7000000000000002E-3</v>
      </c>
      <c r="K481" t="s">
        <v>52</v>
      </c>
      <c r="L481">
        <v>94</v>
      </c>
    </row>
    <row r="482" spans="1:12" x14ac:dyDescent="0.45">
      <c r="A482" t="s">
        <v>90</v>
      </c>
      <c r="B482" t="s">
        <v>4</v>
      </c>
      <c r="C482" t="s">
        <v>84</v>
      </c>
      <c r="D482" t="s">
        <v>53</v>
      </c>
      <c r="E482" t="s">
        <v>25</v>
      </c>
      <c r="F482" t="s">
        <v>53</v>
      </c>
      <c r="G482" t="s">
        <v>71</v>
      </c>
      <c r="H482" t="s">
        <v>89</v>
      </c>
      <c r="I482">
        <v>2050</v>
      </c>
      <c r="J482">
        <v>1.3666</v>
      </c>
      <c r="K482" t="s">
        <v>53</v>
      </c>
      <c r="L482">
        <v>55</v>
      </c>
    </row>
    <row r="483" spans="1:12" x14ac:dyDescent="0.45">
      <c r="A483" t="s">
        <v>90</v>
      </c>
      <c r="B483" t="s">
        <v>4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2050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4</v>
      </c>
      <c r="C484" t="s">
        <v>84</v>
      </c>
      <c r="D484" t="s">
        <v>85</v>
      </c>
      <c r="E484" t="s">
        <v>25</v>
      </c>
      <c r="F484" t="s">
        <v>85</v>
      </c>
      <c r="G484" t="s">
        <v>26</v>
      </c>
      <c r="H484" t="s">
        <v>82</v>
      </c>
      <c r="I484">
        <v>2050</v>
      </c>
      <c r="J484">
        <v>1.63395</v>
      </c>
      <c r="K484" t="s">
        <v>85</v>
      </c>
    </row>
    <row r="485" spans="1:12" x14ac:dyDescent="0.45">
      <c r="A485" t="s">
        <v>90</v>
      </c>
      <c r="B485" t="s">
        <v>4</v>
      </c>
      <c r="C485" t="s">
        <v>84</v>
      </c>
      <c r="D485" t="s">
        <v>45</v>
      </c>
      <c r="E485" t="s">
        <v>46</v>
      </c>
      <c r="F485" t="s">
        <v>45</v>
      </c>
      <c r="G485" t="s">
        <v>47</v>
      </c>
      <c r="H485" t="s">
        <v>89</v>
      </c>
      <c r="I485">
        <v>2055</v>
      </c>
      <c r="J485">
        <v>36.78895</v>
      </c>
      <c r="K485" t="s">
        <v>45</v>
      </c>
    </row>
    <row r="486" spans="1:12" x14ac:dyDescent="0.45">
      <c r="A486" t="s">
        <v>90</v>
      </c>
      <c r="B486" t="s">
        <v>4</v>
      </c>
      <c r="C486" t="s">
        <v>84</v>
      </c>
      <c r="D486" t="s">
        <v>48</v>
      </c>
      <c r="E486" t="s">
        <v>46</v>
      </c>
      <c r="F486" t="s">
        <v>48</v>
      </c>
      <c r="G486" t="s">
        <v>49</v>
      </c>
      <c r="H486" t="s">
        <v>50</v>
      </c>
      <c r="I486">
        <v>2055</v>
      </c>
      <c r="J486">
        <v>946.78364999999997</v>
      </c>
      <c r="K486" t="s">
        <v>48</v>
      </c>
    </row>
    <row r="487" spans="1:12" x14ac:dyDescent="0.45">
      <c r="A487" t="s">
        <v>90</v>
      </c>
      <c r="B487" t="s">
        <v>4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2055</v>
      </c>
      <c r="J487">
        <v>1721.3561500000001</v>
      </c>
      <c r="K487" t="s">
        <v>51</v>
      </c>
    </row>
    <row r="488" spans="1:12" x14ac:dyDescent="0.45">
      <c r="A488" t="s">
        <v>90</v>
      </c>
      <c r="B488" t="s">
        <v>4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2055</v>
      </c>
      <c r="J488">
        <v>3.89255</v>
      </c>
      <c r="K488" t="s">
        <v>24</v>
      </c>
    </row>
    <row r="489" spans="1:12" x14ac:dyDescent="0.45">
      <c r="A489" t="s">
        <v>90</v>
      </c>
      <c r="B489" t="s">
        <v>4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2055</v>
      </c>
      <c r="J489">
        <v>10.641</v>
      </c>
      <c r="K489" t="s">
        <v>28</v>
      </c>
    </row>
    <row r="490" spans="1:12" x14ac:dyDescent="0.45">
      <c r="A490" t="s">
        <v>90</v>
      </c>
      <c r="B490" t="s">
        <v>4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2055</v>
      </c>
      <c r="J490">
        <v>3.5962999999999998</v>
      </c>
      <c r="K490" t="s">
        <v>27</v>
      </c>
    </row>
    <row r="491" spans="1:12" x14ac:dyDescent="0.45">
      <c r="A491" t="s">
        <v>90</v>
      </c>
      <c r="B491" t="s">
        <v>4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2055</v>
      </c>
      <c r="J491">
        <v>4.1312499999999996</v>
      </c>
      <c r="K491" t="s">
        <v>29</v>
      </c>
    </row>
    <row r="492" spans="1:12" x14ac:dyDescent="0.45">
      <c r="A492" t="s">
        <v>90</v>
      </c>
      <c r="B492" t="s">
        <v>4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2055</v>
      </c>
      <c r="J492">
        <v>2.6589499999999999</v>
      </c>
      <c r="K492" t="s">
        <v>33</v>
      </c>
    </row>
    <row r="493" spans="1:12" x14ac:dyDescent="0.45">
      <c r="A493" t="s">
        <v>90</v>
      </c>
      <c r="B493" t="s">
        <v>4</v>
      </c>
      <c r="C493" t="s">
        <v>84</v>
      </c>
      <c r="D493" t="s">
        <v>35</v>
      </c>
      <c r="E493" t="s">
        <v>30</v>
      </c>
      <c r="F493" t="s">
        <v>35</v>
      </c>
      <c r="G493" t="s">
        <v>31</v>
      </c>
      <c r="H493" t="s">
        <v>36</v>
      </c>
      <c r="I493">
        <v>2055</v>
      </c>
      <c r="J493">
        <v>5.6654</v>
      </c>
      <c r="K493" t="s">
        <v>35</v>
      </c>
    </row>
    <row r="494" spans="1:12" x14ac:dyDescent="0.45">
      <c r="A494" t="s">
        <v>90</v>
      </c>
      <c r="B494" t="s">
        <v>4</v>
      </c>
      <c r="C494" t="s">
        <v>84</v>
      </c>
      <c r="D494" t="s">
        <v>37</v>
      </c>
      <c r="E494" t="s">
        <v>30</v>
      </c>
      <c r="F494" t="s">
        <v>37</v>
      </c>
      <c r="G494" t="s">
        <v>31</v>
      </c>
      <c r="H494" t="s">
        <v>38</v>
      </c>
      <c r="I494">
        <v>2055</v>
      </c>
      <c r="J494">
        <v>120.0831</v>
      </c>
      <c r="K494" t="s">
        <v>37</v>
      </c>
    </row>
    <row r="495" spans="1:12" x14ac:dyDescent="0.45">
      <c r="A495" t="s">
        <v>90</v>
      </c>
      <c r="B495" t="s">
        <v>4</v>
      </c>
      <c r="C495" t="s">
        <v>84</v>
      </c>
      <c r="D495" t="s">
        <v>52</v>
      </c>
      <c r="E495" t="s">
        <v>25</v>
      </c>
      <c r="F495" t="s">
        <v>52</v>
      </c>
      <c r="G495" t="s">
        <v>71</v>
      </c>
      <c r="H495" t="s">
        <v>89</v>
      </c>
      <c r="I495">
        <v>2055</v>
      </c>
      <c r="J495">
        <v>2.085E-2</v>
      </c>
      <c r="K495" t="s">
        <v>52</v>
      </c>
      <c r="L495">
        <v>94</v>
      </c>
    </row>
    <row r="496" spans="1:12" x14ac:dyDescent="0.45">
      <c r="A496" t="s">
        <v>90</v>
      </c>
      <c r="B496" t="s">
        <v>4</v>
      </c>
      <c r="C496" t="s">
        <v>84</v>
      </c>
      <c r="D496" t="s">
        <v>53</v>
      </c>
      <c r="E496" t="s">
        <v>25</v>
      </c>
      <c r="F496" t="s">
        <v>53</v>
      </c>
      <c r="G496" t="s">
        <v>71</v>
      </c>
      <c r="H496" t="s">
        <v>89</v>
      </c>
      <c r="I496">
        <v>2055</v>
      </c>
      <c r="J496">
        <v>0.56725000000000003</v>
      </c>
      <c r="K496" t="s">
        <v>53</v>
      </c>
      <c r="L496">
        <v>55</v>
      </c>
    </row>
    <row r="497" spans="1:12" x14ac:dyDescent="0.45">
      <c r="A497" t="s">
        <v>90</v>
      </c>
      <c r="B497" t="s">
        <v>4</v>
      </c>
      <c r="C497" t="s">
        <v>84</v>
      </c>
      <c r="D497" t="s">
        <v>54</v>
      </c>
      <c r="E497" t="s">
        <v>25</v>
      </c>
      <c r="F497" t="s">
        <v>54</v>
      </c>
      <c r="G497" t="s">
        <v>71</v>
      </c>
      <c r="H497" t="s">
        <v>89</v>
      </c>
      <c r="I497">
        <v>2055</v>
      </c>
      <c r="J497">
        <v>0</v>
      </c>
      <c r="K497" t="s">
        <v>54</v>
      </c>
      <c r="L497">
        <v>70</v>
      </c>
    </row>
    <row r="498" spans="1:12" x14ac:dyDescent="0.45">
      <c r="A498" t="s">
        <v>90</v>
      </c>
      <c r="B498" t="s">
        <v>4</v>
      </c>
      <c r="C498" t="s">
        <v>84</v>
      </c>
      <c r="D498" t="s">
        <v>85</v>
      </c>
      <c r="E498" t="s">
        <v>25</v>
      </c>
      <c r="F498" t="s">
        <v>85</v>
      </c>
      <c r="G498" t="s">
        <v>26</v>
      </c>
      <c r="H498" t="s">
        <v>82</v>
      </c>
      <c r="I498">
        <v>2055</v>
      </c>
      <c r="J498">
        <v>1.6122000000000001</v>
      </c>
      <c r="K498" t="s">
        <v>85</v>
      </c>
    </row>
    <row r="499" spans="1:12" x14ac:dyDescent="0.45">
      <c r="A499" t="s">
        <v>90</v>
      </c>
      <c r="B499" t="s">
        <v>4</v>
      </c>
      <c r="C499" t="s">
        <v>84</v>
      </c>
      <c r="D499" t="s">
        <v>45</v>
      </c>
      <c r="E499" t="s">
        <v>46</v>
      </c>
      <c r="F499" t="s">
        <v>45</v>
      </c>
      <c r="G499" t="s">
        <v>47</v>
      </c>
      <c r="H499" t="s">
        <v>89</v>
      </c>
      <c r="I499">
        <v>2060</v>
      </c>
      <c r="J499">
        <v>32.365749999999998</v>
      </c>
      <c r="K499" t="s">
        <v>45</v>
      </c>
    </row>
    <row r="500" spans="1:12" x14ac:dyDescent="0.45">
      <c r="A500" t="s">
        <v>90</v>
      </c>
      <c r="B500" t="s">
        <v>4</v>
      </c>
      <c r="C500" t="s">
        <v>84</v>
      </c>
      <c r="D500" t="s">
        <v>48</v>
      </c>
      <c r="E500" t="s">
        <v>46</v>
      </c>
      <c r="F500" t="s">
        <v>48</v>
      </c>
      <c r="G500" t="s">
        <v>49</v>
      </c>
      <c r="H500" t="s">
        <v>50</v>
      </c>
      <c r="I500">
        <v>2060</v>
      </c>
      <c r="J500">
        <v>765.62689999999998</v>
      </c>
      <c r="K500" t="s">
        <v>48</v>
      </c>
    </row>
    <row r="501" spans="1:12" x14ac:dyDescent="0.45">
      <c r="A501" t="s">
        <v>90</v>
      </c>
      <c r="B501" t="s">
        <v>4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2060</v>
      </c>
      <c r="J501">
        <v>1541.57665</v>
      </c>
      <c r="K501" t="s">
        <v>51</v>
      </c>
    </row>
    <row r="502" spans="1:12" x14ac:dyDescent="0.45">
      <c r="A502" t="s">
        <v>90</v>
      </c>
      <c r="B502" t="s">
        <v>4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2060</v>
      </c>
      <c r="J502">
        <v>3.6504500000000002</v>
      </c>
      <c r="K502" t="s">
        <v>24</v>
      </c>
    </row>
    <row r="503" spans="1:12" x14ac:dyDescent="0.45">
      <c r="A503" t="s">
        <v>90</v>
      </c>
      <c r="B503" t="s">
        <v>4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2060</v>
      </c>
      <c r="J503">
        <v>10.72425</v>
      </c>
      <c r="K503" t="s">
        <v>28</v>
      </c>
    </row>
    <row r="504" spans="1:12" x14ac:dyDescent="0.45">
      <c r="A504" t="s">
        <v>90</v>
      </c>
      <c r="B504" t="s">
        <v>4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2060</v>
      </c>
      <c r="J504">
        <v>3.7658500000000004</v>
      </c>
      <c r="K504" t="s">
        <v>27</v>
      </c>
    </row>
    <row r="505" spans="1:12" x14ac:dyDescent="0.45">
      <c r="A505" t="s">
        <v>90</v>
      </c>
      <c r="B505" t="s">
        <v>4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2060</v>
      </c>
      <c r="J505">
        <v>5.2963500000000003</v>
      </c>
      <c r="K505" t="s">
        <v>29</v>
      </c>
    </row>
    <row r="506" spans="1:12" x14ac:dyDescent="0.45">
      <c r="A506" t="s">
        <v>90</v>
      </c>
      <c r="B506" t="s">
        <v>4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2060</v>
      </c>
      <c r="J506">
        <v>3.4098000000000002</v>
      </c>
      <c r="K506" t="s">
        <v>33</v>
      </c>
    </row>
    <row r="507" spans="1:12" x14ac:dyDescent="0.45">
      <c r="A507" t="s">
        <v>90</v>
      </c>
      <c r="B507" t="s">
        <v>4</v>
      </c>
      <c r="C507" t="s">
        <v>84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2060</v>
      </c>
      <c r="J507">
        <v>6.6663999999999994</v>
      </c>
      <c r="K507" t="s">
        <v>35</v>
      </c>
    </row>
    <row r="508" spans="1:12" x14ac:dyDescent="0.45">
      <c r="A508" t="s">
        <v>90</v>
      </c>
      <c r="B508" t="s">
        <v>4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2060</v>
      </c>
      <c r="J508">
        <v>180.93989999999999</v>
      </c>
      <c r="K508" t="s">
        <v>37</v>
      </c>
    </row>
    <row r="509" spans="1:12" x14ac:dyDescent="0.45">
      <c r="A509" t="s">
        <v>90</v>
      </c>
      <c r="B509" t="s">
        <v>4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2060</v>
      </c>
      <c r="J509">
        <v>9.1749999999999998E-2</v>
      </c>
      <c r="K509" t="s">
        <v>52</v>
      </c>
      <c r="L509">
        <v>94</v>
      </c>
    </row>
    <row r="510" spans="1:12" x14ac:dyDescent="0.45">
      <c r="A510" t="s">
        <v>90</v>
      </c>
      <c r="B510" t="s">
        <v>4</v>
      </c>
      <c r="C510" t="s">
        <v>84</v>
      </c>
      <c r="D510" t="s">
        <v>53</v>
      </c>
      <c r="E510" t="s">
        <v>25</v>
      </c>
      <c r="F510" t="s">
        <v>53</v>
      </c>
      <c r="G510" t="s">
        <v>71</v>
      </c>
      <c r="H510" t="s">
        <v>89</v>
      </c>
      <c r="I510">
        <v>2060</v>
      </c>
      <c r="J510">
        <v>0.22839999999999999</v>
      </c>
      <c r="K510" t="s">
        <v>53</v>
      </c>
      <c r="L510">
        <v>55</v>
      </c>
    </row>
    <row r="511" spans="1:12" x14ac:dyDescent="0.45">
      <c r="A511" t="s">
        <v>90</v>
      </c>
      <c r="B511" t="s">
        <v>4</v>
      </c>
      <c r="C511" t="s">
        <v>84</v>
      </c>
      <c r="D511" t="s">
        <v>54</v>
      </c>
      <c r="E511" t="s">
        <v>25</v>
      </c>
      <c r="F511" t="s">
        <v>54</v>
      </c>
      <c r="G511" t="s">
        <v>71</v>
      </c>
      <c r="H511" t="s">
        <v>89</v>
      </c>
      <c r="I511">
        <v>2060</v>
      </c>
      <c r="J511">
        <v>0</v>
      </c>
      <c r="K511" t="s">
        <v>54</v>
      </c>
      <c r="L511">
        <v>70</v>
      </c>
    </row>
    <row r="512" spans="1:12" x14ac:dyDescent="0.45">
      <c r="A512" t="s">
        <v>90</v>
      </c>
      <c r="B512" t="s">
        <v>4</v>
      </c>
      <c r="C512" t="s">
        <v>84</v>
      </c>
      <c r="D512" t="s">
        <v>85</v>
      </c>
      <c r="E512" t="s">
        <v>25</v>
      </c>
      <c r="F512" t="s">
        <v>85</v>
      </c>
      <c r="G512" t="s">
        <v>26</v>
      </c>
      <c r="H512" t="s">
        <v>82</v>
      </c>
      <c r="I512">
        <v>2060</v>
      </c>
      <c r="J512">
        <v>2.4160000000000004</v>
      </c>
      <c r="K512" t="s">
        <v>85</v>
      </c>
    </row>
    <row r="513" spans="1:12" x14ac:dyDescent="0.45">
      <c r="A513" t="s">
        <v>90</v>
      </c>
      <c r="B513" t="s">
        <v>4</v>
      </c>
      <c r="C513" t="s">
        <v>84</v>
      </c>
      <c r="D513" t="s">
        <v>45</v>
      </c>
      <c r="E513" t="s">
        <v>46</v>
      </c>
      <c r="F513" t="s">
        <v>45</v>
      </c>
      <c r="G513" t="s">
        <v>47</v>
      </c>
      <c r="H513" t="s">
        <v>89</v>
      </c>
      <c r="I513">
        <v>2065</v>
      </c>
      <c r="J513">
        <v>24.141300000000001</v>
      </c>
      <c r="K513" t="s">
        <v>45</v>
      </c>
    </row>
    <row r="514" spans="1:12" x14ac:dyDescent="0.45">
      <c r="A514" t="s">
        <v>90</v>
      </c>
      <c r="B514" t="s">
        <v>4</v>
      </c>
      <c r="C514" t="s">
        <v>84</v>
      </c>
      <c r="D514" t="s">
        <v>48</v>
      </c>
      <c r="E514" t="s">
        <v>46</v>
      </c>
      <c r="F514" t="s">
        <v>48</v>
      </c>
      <c r="G514" t="s">
        <v>49</v>
      </c>
      <c r="H514" t="s">
        <v>50</v>
      </c>
      <c r="I514">
        <v>2065</v>
      </c>
      <c r="J514">
        <v>653.75465000000008</v>
      </c>
      <c r="K514" t="s">
        <v>48</v>
      </c>
    </row>
    <row r="515" spans="1:12" x14ac:dyDescent="0.45">
      <c r="A515" t="s">
        <v>90</v>
      </c>
      <c r="B515" t="s">
        <v>4</v>
      </c>
      <c r="C515" t="s">
        <v>84</v>
      </c>
      <c r="D515" t="s">
        <v>51</v>
      </c>
      <c r="E515" t="s">
        <v>46</v>
      </c>
      <c r="F515" t="s">
        <v>51</v>
      </c>
      <c r="G515" t="s">
        <v>49</v>
      </c>
      <c r="H515" t="s">
        <v>50</v>
      </c>
      <c r="I515">
        <v>2065</v>
      </c>
      <c r="J515">
        <v>1430.248</v>
      </c>
      <c r="K515" t="s">
        <v>51</v>
      </c>
    </row>
    <row r="516" spans="1:12" x14ac:dyDescent="0.45">
      <c r="A516" t="s">
        <v>90</v>
      </c>
      <c r="B516" t="s">
        <v>4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2065</v>
      </c>
      <c r="J516">
        <v>3.5335000000000001</v>
      </c>
      <c r="K516" t="s">
        <v>24</v>
      </c>
    </row>
    <row r="517" spans="1:12" x14ac:dyDescent="0.45">
      <c r="A517" t="s">
        <v>90</v>
      </c>
      <c r="B517" t="s">
        <v>4</v>
      </c>
      <c r="C517" t="s">
        <v>84</v>
      </c>
      <c r="D517" t="s">
        <v>28</v>
      </c>
      <c r="E517" t="s">
        <v>25</v>
      </c>
      <c r="F517" t="s">
        <v>28</v>
      </c>
      <c r="G517" t="s">
        <v>26</v>
      </c>
      <c r="H517" t="s">
        <v>12</v>
      </c>
      <c r="I517">
        <v>2065</v>
      </c>
      <c r="J517">
        <v>10.70035</v>
      </c>
      <c r="K517" t="s">
        <v>28</v>
      </c>
    </row>
    <row r="518" spans="1:12" x14ac:dyDescent="0.45">
      <c r="A518" t="s">
        <v>90</v>
      </c>
      <c r="B518" t="s">
        <v>4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2065</v>
      </c>
      <c r="J518">
        <v>3.8737499999999998</v>
      </c>
      <c r="K518" t="s">
        <v>27</v>
      </c>
    </row>
    <row r="519" spans="1:12" x14ac:dyDescent="0.45">
      <c r="A519" t="s">
        <v>90</v>
      </c>
      <c r="B519" t="s">
        <v>4</v>
      </c>
      <c r="C519" t="s">
        <v>84</v>
      </c>
      <c r="D519" t="s">
        <v>29</v>
      </c>
      <c r="E519" t="s">
        <v>30</v>
      </c>
      <c r="F519" t="s">
        <v>29</v>
      </c>
      <c r="G519" t="s">
        <v>31</v>
      </c>
      <c r="H519" t="s">
        <v>32</v>
      </c>
      <c r="I519">
        <v>2065</v>
      </c>
      <c r="J519">
        <v>6.2115499999999999</v>
      </c>
      <c r="K519" t="s">
        <v>29</v>
      </c>
    </row>
    <row r="520" spans="1:12" x14ac:dyDescent="0.45">
      <c r="A520" t="s">
        <v>90</v>
      </c>
      <c r="B520" t="s">
        <v>4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2065</v>
      </c>
      <c r="J520">
        <v>3.5568999999999997</v>
      </c>
      <c r="K520" t="s">
        <v>33</v>
      </c>
    </row>
    <row r="521" spans="1:12" x14ac:dyDescent="0.45">
      <c r="A521" t="s">
        <v>90</v>
      </c>
      <c r="B521" t="s">
        <v>4</v>
      </c>
      <c r="C521" t="s">
        <v>84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2065</v>
      </c>
      <c r="J521">
        <v>6.5385</v>
      </c>
      <c r="K521" t="s">
        <v>35</v>
      </c>
    </row>
    <row r="522" spans="1:12" x14ac:dyDescent="0.45">
      <c r="A522" t="s">
        <v>90</v>
      </c>
      <c r="B522" t="s">
        <v>4</v>
      </c>
      <c r="C522" t="s">
        <v>84</v>
      </c>
      <c r="D522" t="s">
        <v>37</v>
      </c>
      <c r="E522" t="s">
        <v>30</v>
      </c>
      <c r="F522" t="s">
        <v>37</v>
      </c>
      <c r="G522" t="s">
        <v>31</v>
      </c>
      <c r="H522" t="s">
        <v>38</v>
      </c>
      <c r="I522">
        <v>2065</v>
      </c>
      <c r="J522">
        <v>222.8562</v>
      </c>
      <c r="K522" t="s">
        <v>37</v>
      </c>
    </row>
    <row r="523" spans="1:12" x14ac:dyDescent="0.45">
      <c r="A523" t="s">
        <v>90</v>
      </c>
      <c r="B523" t="s">
        <v>4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2065</v>
      </c>
      <c r="J523">
        <v>0.26469999999999999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2065</v>
      </c>
      <c r="J524">
        <v>0.24174999999999999</v>
      </c>
      <c r="K524" t="s">
        <v>53</v>
      </c>
      <c r="L524">
        <v>55</v>
      </c>
    </row>
    <row r="525" spans="1:12" x14ac:dyDescent="0.45">
      <c r="A525" t="s">
        <v>90</v>
      </c>
      <c r="B525" t="s">
        <v>4</v>
      </c>
      <c r="C525" t="s">
        <v>84</v>
      </c>
      <c r="D525" t="s">
        <v>54</v>
      </c>
      <c r="E525" t="s">
        <v>25</v>
      </c>
      <c r="F525" t="s">
        <v>54</v>
      </c>
      <c r="G525" t="s">
        <v>71</v>
      </c>
      <c r="H525" t="s">
        <v>89</v>
      </c>
      <c r="I525">
        <v>2065</v>
      </c>
      <c r="J525">
        <v>0</v>
      </c>
      <c r="K525" t="s">
        <v>54</v>
      </c>
      <c r="L525">
        <v>70</v>
      </c>
    </row>
    <row r="526" spans="1:12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2065</v>
      </c>
      <c r="J526">
        <v>3.6513</v>
      </c>
      <c r="K526" t="s">
        <v>85</v>
      </c>
    </row>
    <row r="527" spans="1:12" x14ac:dyDescent="0.45">
      <c r="A527" t="s">
        <v>90</v>
      </c>
      <c r="B527" t="s">
        <v>4</v>
      </c>
      <c r="C527" t="s">
        <v>84</v>
      </c>
      <c r="D527" t="s">
        <v>45</v>
      </c>
      <c r="E527" t="s">
        <v>46</v>
      </c>
      <c r="F527" t="s">
        <v>45</v>
      </c>
      <c r="G527" t="s">
        <v>47</v>
      </c>
      <c r="H527" t="s">
        <v>89</v>
      </c>
      <c r="I527">
        <v>2070</v>
      </c>
      <c r="J527">
        <v>15.91695</v>
      </c>
      <c r="K527" t="s">
        <v>45</v>
      </c>
    </row>
    <row r="528" spans="1:12" x14ac:dyDescent="0.45">
      <c r="A528" t="s">
        <v>90</v>
      </c>
      <c r="B528" t="s">
        <v>4</v>
      </c>
      <c r="C528" t="s">
        <v>84</v>
      </c>
      <c r="D528" t="s">
        <v>48</v>
      </c>
      <c r="E528" t="s">
        <v>46</v>
      </c>
      <c r="F528" t="s">
        <v>48</v>
      </c>
      <c r="G528" t="s">
        <v>49</v>
      </c>
      <c r="H528" t="s">
        <v>50</v>
      </c>
      <c r="I528">
        <v>2070</v>
      </c>
      <c r="J528">
        <v>541.88239999999996</v>
      </c>
      <c r="K528" t="s">
        <v>48</v>
      </c>
    </row>
    <row r="529" spans="1:12" x14ac:dyDescent="0.45">
      <c r="A529" t="s">
        <v>90</v>
      </c>
      <c r="B529" t="s">
        <v>4</v>
      </c>
      <c r="C529" t="s">
        <v>84</v>
      </c>
      <c r="D529" t="s">
        <v>51</v>
      </c>
      <c r="E529" t="s">
        <v>46</v>
      </c>
      <c r="F529" t="s">
        <v>51</v>
      </c>
      <c r="G529" t="s">
        <v>49</v>
      </c>
      <c r="H529" t="s">
        <v>50</v>
      </c>
      <c r="I529">
        <v>2070</v>
      </c>
      <c r="J529">
        <v>1318.9194</v>
      </c>
      <c r="K529" t="s">
        <v>51</v>
      </c>
    </row>
    <row r="530" spans="1:12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2070</v>
      </c>
      <c r="J530">
        <v>3.41655</v>
      </c>
      <c r="K530" t="s">
        <v>24</v>
      </c>
    </row>
    <row r="531" spans="1:12" x14ac:dyDescent="0.45">
      <c r="A531" t="s">
        <v>90</v>
      </c>
      <c r="B531" t="s">
        <v>4</v>
      </c>
      <c r="C531" t="s">
        <v>84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2070</v>
      </c>
      <c r="J531">
        <v>10.676400000000001</v>
      </c>
      <c r="K531" t="s">
        <v>28</v>
      </c>
    </row>
    <row r="532" spans="1:12" x14ac:dyDescent="0.45">
      <c r="A532" t="s">
        <v>90</v>
      </c>
      <c r="B532" t="s">
        <v>4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2070</v>
      </c>
      <c r="J532">
        <v>3.9817499999999999</v>
      </c>
      <c r="K532" t="s">
        <v>27</v>
      </c>
    </row>
    <row r="533" spans="1:12" x14ac:dyDescent="0.45">
      <c r="A533" t="s">
        <v>90</v>
      </c>
      <c r="B533" t="s">
        <v>4</v>
      </c>
      <c r="C533" t="s">
        <v>84</v>
      </c>
      <c r="D533" t="s">
        <v>29</v>
      </c>
      <c r="E533" t="s">
        <v>30</v>
      </c>
      <c r="F533" t="s">
        <v>29</v>
      </c>
      <c r="G533" t="s">
        <v>31</v>
      </c>
      <c r="H533" t="s">
        <v>32</v>
      </c>
      <c r="I533">
        <v>2070</v>
      </c>
      <c r="J533">
        <v>7.1266999999999996</v>
      </c>
      <c r="K533" t="s">
        <v>29</v>
      </c>
    </row>
    <row r="534" spans="1:12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2070</v>
      </c>
      <c r="J534">
        <v>3.7039</v>
      </c>
      <c r="K534" t="s">
        <v>33</v>
      </c>
    </row>
    <row r="535" spans="1:12" x14ac:dyDescent="0.45">
      <c r="A535" t="s">
        <v>90</v>
      </c>
      <c r="B535" t="s">
        <v>4</v>
      </c>
      <c r="C535" t="s">
        <v>84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2070</v>
      </c>
      <c r="J535">
        <v>6.4105500000000006</v>
      </c>
      <c r="K535" t="s">
        <v>35</v>
      </c>
    </row>
    <row r="536" spans="1:12" x14ac:dyDescent="0.45">
      <c r="A536" t="s">
        <v>90</v>
      </c>
      <c r="B536" t="s">
        <v>4</v>
      </c>
      <c r="C536" t="s">
        <v>84</v>
      </c>
      <c r="D536" t="s">
        <v>37</v>
      </c>
      <c r="E536" t="s">
        <v>30</v>
      </c>
      <c r="F536" t="s">
        <v>37</v>
      </c>
      <c r="G536" t="s">
        <v>31</v>
      </c>
      <c r="H536" t="s">
        <v>38</v>
      </c>
      <c r="I536">
        <v>2070</v>
      </c>
      <c r="J536">
        <v>264.77250000000004</v>
      </c>
      <c r="K536" t="s">
        <v>37</v>
      </c>
    </row>
    <row r="537" spans="1:12" x14ac:dyDescent="0.45">
      <c r="A537" t="s">
        <v>90</v>
      </c>
      <c r="B537" t="s">
        <v>4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2070</v>
      </c>
      <c r="J537">
        <v>0.43769999999999998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84</v>
      </c>
      <c r="D538" t="s">
        <v>53</v>
      </c>
      <c r="E538" t="s">
        <v>25</v>
      </c>
      <c r="F538" t="s">
        <v>53</v>
      </c>
      <c r="G538" t="s">
        <v>71</v>
      </c>
      <c r="H538" t="s">
        <v>89</v>
      </c>
      <c r="I538">
        <v>2070</v>
      </c>
      <c r="J538">
        <v>0.25514999999999999</v>
      </c>
      <c r="K538" t="s">
        <v>53</v>
      </c>
      <c r="L538">
        <v>55</v>
      </c>
    </row>
    <row r="539" spans="1:12" x14ac:dyDescent="0.45">
      <c r="A539" t="s">
        <v>90</v>
      </c>
      <c r="B539" t="s">
        <v>4</v>
      </c>
      <c r="C539" t="s">
        <v>84</v>
      </c>
      <c r="D539" t="s">
        <v>54</v>
      </c>
      <c r="E539" t="s">
        <v>25</v>
      </c>
      <c r="F539" t="s">
        <v>54</v>
      </c>
      <c r="G539" t="s">
        <v>71</v>
      </c>
      <c r="H539" t="s">
        <v>89</v>
      </c>
      <c r="I539">
        <v>2070</v>
      </c>
      <c r="J539">
        <v>0</v>
      </c>
      <c r="K539" t="s">
        <v>54</v>
      </c>
      <c r="L539">
        <v>70</v>
      </c>
    </row>
    <row r="540" spans="1:12" x14ac:dyDescent="0.45">
      <c r="A540" t="s">
        <v>90</v>
      </c>
      <c r="B540" t="s">
        <v>4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2070</v>
      </c>
      <c r="J540">
        <v>4.8865999999999996</v>
      </c>
      <c r="K540" t="s">
        <v>85</v>
      </c>
    </row>
    <row r="541" spans="1:12" x14ac:dyDescent="0.45">
      <c r="A541" t="s">
        <v>90</v>
      </c>
      <c r="B541" t="s">
        <v>4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2075</v>
      </c>
      <c r="J541">
        <v>8.0740999999999996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48</v>
      </c>
      <c r="E542" t="s">
        <v>46</v>
      </c>
      <c r="F542" t="s">
        <v>48</v>
      </c>
      <c r="G542" t="s">
        <v>49</v>
      </c>
      <c r="H542" t="s">
        <v>50</v>
      </c>
      <c r="I542">
        <v>2075</v>
      </c>
      <c r="J542">
        <v>454.54</v>
      </c>
      <c r="K542" t="s">
        <v>48</v>
      </c>
    </row>
    <row r="543" spans="1:12" x14ac:dyDescent="0.45">
      <c r="A543" t="s">
        <v>90</v>
      </c>
      <c r="B543" t="s">
        <v>4</v>
      </c>
      <c r="C543" t="s">
        <v>84</v>
      </c>
      <c r="D543" t="s">
        <v>51</v>
      </c>
      <c r="E543" t="s">
        <v>46</v>
      </c>
      <c r="F543" t="s">
        <v>51</v>
      </c>
      <c r="G543" t="s">
        <v>49</v>
      </c>
      <c r="H543" t="s">
        <v>50</v>
      </c>
      <c r="I543">
        <v>2075</v>
      </c>
      <c r="J543">
        <v>1231.7662500000001</v>
      </c>
      <c r="K543" t="s">
        <v>51</v>
      </c>
    </row>
    <row r="544" spans="1:12" x14ac:dyDescent="0.45">
      <c r="A544" t="s">
        <v>90</v>
      </c>
      <c r="B544" t="s">
        <v>4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2075</v>
      </c>
      <c r="J544">
        <v>3.2712500000000002</v>
      </c>
      <c r="K544" t="s">
        <v>24</v>
      </c>
    </row>
    <row r="545" spans="1:12" x14ac:dyDescent="0.45">
      <c r="A545" t="s">
        <v>90</v>
      </c>
      <c r="B545" t="s">
        <v>4</v>
      </c>
      <c r="C545" t="s">
        <v>84</v>
      </c>
      <c r="D545" t="s">
        <v>28</v>
      </c>
      <c r="E545" t="s">
        <v>25</v>
      </c>
      <c r="F545" t="s">
        <v>28</v>
      </c>
      <c r="G545" t="s">
        <v>26</v>
      </c>
      <c r="H545" t="s">
        <v>12</v>
      </c>
      <c r="I545">
        <v>2075</v>
      </c>
      <c r="J545">
        <v>10.90165</v>
      </c>
      <c r="K545" t="s">
        <v>28</v>
      </c>
    </row>
    <row r="546" spans="1:12" x14ac:dyDescent="0.45">
      <c r="A546" t="s">
        <v>90</v>
      </c>
      <c r="B546" t="s">
        <v>4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2075</v>
      </c>
      <c r="J546">
        <v>4.0880000000000001</v>
      </c>
      <c r="K546" t="s">
        <v>27</v>
      </c>
    </row>
    <row r="547" spans="1:12" x14ac:dyDescent="0.45">
      <c r="A547" t="s">
        <v>90</v>
      </c>
      <c r="B547" t="s">
        <v>4</v>
      </c>
      <c r="C547" t="s">
        <v>84</v>
      </c>
      <c r="D547" t="s">
        <v>29</v>
      </c>
      <c r="E547" t="s">
        <v>30</v>
      </c>
      <c r="F547" t="s">
        <v>29</v>
      </c>
      <c r="G547" t="s">
        <v>31</v>
      </c>
      <c r="H547" t="s">
        <v>32</v>
      </c>
      <c r="I547">
        <v>2075</v>
      </c>
      <c r="J547">
        <v>7.1797500000000003</v>
      </c>
      <c r="K547" t="s">
        <v>29</v>
      </c>
    </row>
    <row r="548" spans="1:12" x14ac:dyDescent="0.45">
      <c r="A548" t="s">
        <v>90</v>
      </c>
      <c r="B548" t="s">
        <v>4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2075</v>
      </c>
      <c r="J548">
        <v>3.8219000000000003</v>
      </c>
      <c r="K548" t="s">
        <v>33</v>
      </c>
    </row>
    <row r="549" spans="1:12" x14ac:dyDescent="0.45">
      <c r="A549" t="s">
        <v>90</v>
      </c>
      <c r="B549" t="s">
        <v>4</v>
      </c>
      <c r="C549" t="s">
        <v>84</v>
      </c>
      <c r="D549" t="s">
        <v>35</v>
      </c>
      <c r="E549" t="s">
        <v>30</v>
      </c>
      <c r="F549" t="s">
        <v>35</v>
      </c>
      <c r="G549" t="s">
        <v>31</v>
      </c>
      <c r="H549" t="s">
        <v>36</v>
      </c>
      <c r="I549">
        <v>2075</v>
      </c>
      <c r="J549">
        <v>6.6208</v>
      </c>
      <c r="K549" t="s">
        <v>35</v>
      </c>
    </row>
    <row r="550" spans="1:12" x14ac:dyDescent="0.45">
      <c r="A550" t="s">
        <v>90</v>
      </c>
      <c r="B550" t="s">
        <v>4</v>
      </c>
      <c r="C550" t="s">
        <v>84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2075</v>
      </c>
      <c r="J550">
        <v>263.81110000000001</v>
      </c>
      <c r="K550" t="s">
        <v>37</v>
      </c>
    </row>
    <row r="551" spans="1:12" x14ac:dyDescent="0.45">
      <c r="A551" t="s">
        <v>90</v>
      </c>
      <c r="B551" t="s">
        <v>4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0.72365000000000002</v>
      </c>
      <c r="K551" t="s">
        <v>52</v>
      </c>
      <c r="L551">
        <v>94</v>
      </c>
    </row>
    <row r="552" spans="1:12" x14ac:dyDescent="0.45">
      <c r="A552" t="s">
        <v>90</v>
      </c>
      <c r="B552" t="s">
        <v>4</v>
      </c>
      <c r="C552" t="s">
        <v>84</v>
      </c>
      <c r="D552" t="s">
        <v>53</v>
      </c>
      <c r="E552" t="s">
        <v>25</v>
      </c>
      <c r="F552" t="s">
        <v>53</v>
      </c>
      <c r="G552" t="s">
        <v>71</v>
      </c>
      <c r="H552" t="s">
        <v>89</v>
      </c>
      <c r="I552">
        <v>2075</v>
      </c>
      <c r="J552">
        <v>0.28860000000000002</v>
      </c>
      <c r="K552" t="s">
        <v>53</v>
      </c>
      <c r="L552">
        <v>55</v>
      </c>
    </row>
    <row r="553" spans="1:12" x14ac:dyDescent="0.45">
      <c r="A553" t="s">
        <v>90</v>
      </c>
      <c r="B553" t="s">
        <v>4</v>
      </c>
      <c r="C553" t="s">
        <v>84</v>
      </c>
      <c r="D553" t="s">
        <v>54</v>
      </c>
      <c r="E553" t="s">
        <v>25</v>
      </c>
      <c r="F553" t="s">
        <v>54</v>
      </c>
      <c r="G553" t="s">
        <v>71</v>
      </c>
      <c r="H553" t="s">
        <v>89</v>
      </c>
      <c r="I553">
        <v>2075</v>
      </c>
      <c r="J553">
        <v>0</v>
      </c>
      <c r="K553" t="s">
        <v>54</v>
      </c>
      <c r="L553">
        <v>70</v>
      </c>
    </row>
    <row r="554" spans="1:12" x14ac:dyDescent="0.45">
      <c r="A554" t="s">
        <v>90</v>
      </c>
      <c r="B554" t="s">
        <v>4</v>
      </c>
      <c r="C554" t="s">
        <v>84</v>
      </c>
      <c r="D554" t="s">
        <v>85</v>
      </c>
      <c r="E554" t="s">
        <v>25</v>
      </c>
      <c r="F554" t="s">
        <v>85</v>
      </c>
      <c r="G554" t="s">
        <v>26</v>
      </c>
      <c r="H554" t="s">
        <v>82</v>
      </c>
      <c r="I554">
        <v>2075</v>
      </c>
      <c r="J554">
        <v>6.9611000000000001</v>
      </c>
      <c r="K554" t="s">
        <v>85</v>
      </c>
    </row>
    <row r="555" spans="1:12" x14ac:dyDescent="0.45">
      <c r="A555" t="s">
        <v>90</v>
      </c>
      <c r="B555" t="s">
        <v>4</v>
      </c>
      <c r="C555" t="s">
        <v>84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2080</v>
      </c>
      <c r="J555">
        <v>0.23120000000000002</v>
      </c>
      <c r="K555" t="s">
        <v>45</v>
      </c>
    </row>
    <row r="556" spans="1:12" x14ac:dyDescent="0.45">
      <c r="A556" t="s">
        <v>90</v>
      </c>
      <c r="B556" t="s">
        <v>4</v>
      </c>
      <c r="C556" t="s">
        <v>84</v>
      </c>
      <c r="D556" t="s">
        <v>48</v>
      </c>
      <c r="E556" t="s">
        <v>46</v>
      </c>
      <c r="F556" t="s">
        <v>48</v>
      </c>
      <c r="G556" t="s">
        <v>49</v>
      </c>
      <c r="H556" t="s">
        <v>50</v>
      </c>
      <c r="I556">
        <v>2080</v>
      </c>
      <c r="J556">
        <v>367.19765000000001</v>
      </c>
      <c r="K556" t="s">
        <v>48</v>
      </c>
    </row>
    <row r="557" spans="1:12" x14ac:dyDescent="0.45">
      <c r="A557" t="s">
        <v>90</v>
      </c>
      <c r="B557" t="s">
        <v>4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2080</v>
      </c>
      <c r="J557">
        <v>1144.6132</v>
      </c>
      <c r="K557" t="s">
        <v>51</v>
      </c>
    </row>
    <row r="558" spans="1:12" x14ac:dyDescent="0.45">
      <c r="A558" t="s">
        <v>90</v>
      </c>
      <c r="B558" t="s">
        <v>4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2080</v>
      </c>
      <c r="J558">
        <v>3.1260000000000003</v>
      </c>
      <c r="K558" t="s">
        <v>24</v>
      </c>
    </row>
    <row r="559" spans="1:12" x14ac:dyDescent="0.45">
      <c r="A559" t="s">
        <v>90</v>
      </c>
      <c r="B559" t="s">
        <v>4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2080</v>
      </c>
      <c r="J559">
        <v>11.126850000000001</v>
      </c>
      <c r="K559" t="s">
        <v>28</v>
      </c>
    </row>
    <row r="560" spans="1:12" x14ac:dyDescent="0.45">
      <c r="A560" t="s">
        <v>90</v>
      </c>
      <c r="B560" t="s">
        <v>4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2080</v>
      </c>
      <c r="J560">
        <v>4.1942000000000004</v>
      </c>
      <c r="K560" t="s">
        <v>27</v>
      </c>
    </row>
    <row r="561" spans="1:12" x14ac:dyDescent="0.45">
      <c r="A561" t="s">
        <v>90</v>
      </c>
      <c r="B561" t="s">
        <v>4</v>
      </c>
      <c r="C561" t="s">
        <v>84</v>
      </c>
      <c r="D561" t="s">
        <v>29</v>
      </c>
      <c r="E561" t="s">
        <v>30</v>
      </c>
      <c r="F561" t="s">
        <v>29</v>
      </c>
      <c r="G561" t="s">
        <v>31</v>
      </c>
      <c r="H561" t="s">
        <v>32</v>
      </c>
      <c r="I561">
        <v>2080</v>
      </c>
      <c r="J561">
        <v>7.2326999999999995</v>
      </c>
      <c r="K561" t="s">
        <v>29</v>
      </c>
    </row>
    <row r="562" spans="1:12" x14ac:dyDescent="0.45">
      <c r="A562" t="s">
        <v>90</v>
      </c>
      <c r="B562" t="s">
        <v>4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2080</v>
      </c>
      <c r="J562">
        <v>3.9399000000000002</v>
      </c>
      <c r="K562" t="s">
        <v>33</v>
      </c>
    </row>
    <row r="563" spans="1:12" x14ac:dyDescent="0.45">
      <c r="A563" t="s">
        <v>90</v>
      </c>
      <c r="B563" t="s">
        <v>4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2080</v>
      </c>
      <c r="J563">
        <v>6.8310500000000003</v>
      </c>
      <c r="K563" t="s">
        <v>35</v>
      </c>
    </row>
    <row r="564" spans="1:12" x14ac:dyDescent="0.45">
      <c r="A564" t="s">
        <v>90</v>
      </c>
      <c r="B564" t="s">
        <v>4</v>
      </c>
      <c r="C564" t="s">
        <v>84</v>
      </c>
      <c r="D564" t="s">
        <v>37</v>
      </c>
      <c r="E564" t="s">
        <v>30</v>
      </c>
      <c r="F564" t="s">
        <v>37</v>
      </c>
      <c r="G564" t="s">
        <v>31</v>
      </c>
      <c r="H564" t="s">
        <v>38</v>
      </c>
      <c r="I564">
        <v>2080</v>
      </c>
      <c r="J564">
        <v>262.84969999999998</v>
      </c>
      <c r="K564" t="s">
        <v>37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2080</v>
      </c>
      <c r="J565">
        <v>1.0097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53</v>
      </c>
      <c r="E566" t="s">
        <v>25</v>
      </c>
      <c r="F566" t="s">
        <v>53</v>
      </c>
      <c r="G566" t="s">
        <v>71</v>
      </c>
      <c r="H566" t="s">
        <v>89</v>
      </c>
      <c r="I566">
        <v>2080</v>
      </c>
      <c r="J566">
        <v>0.32205</v>
      </c>
      <c r="K566" t="s">
        <v>53</v>
      </c>
      <c r="L566">
        <v>55</v>
      </c>
    </row>
    <row r="567" spans="1:12" x14ac:dyDescent="0.45">
      <c r="A567" t="s">
        <v>90</v>
      </c>
      <c r="B567" t="s">
        <v>4</v>
      </c>
      <c r="C567" t="s">
        <v>84</v>
      </c>
      <c r="D567" t="s">
        <v>54</v>
      </c>
      <c r="E567" t="s">
        <v>25</v>
      </c>
      <c r="F567" t="s">
        <v>54</v>
      </c>
      <c r="G567" t="s">
        <v>71</v>
      </c>
      <c r="H567" t="s">
        <v>89</v>
      </c>
      <c r="I567">
        <v>2080</v>
      </c>
      <c r="J567">
        <v>0</v>
      </c>
      <c r="K567" t="s">
        <v>54</v>
      </c>
      <c r="L567">
        <v>70</v>
      </c>
    </row>
    <row r="568" spans="1:12" x14ac:dyDescent="0.45">
      <c r="A568" t="s">
        <v>90</v>
      </c>
      <c r="B568" t="s">
        <v>4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2080</v>
      </c>
      <c r="J568">
        <v>9.0356000000000005</v>
      </c>
      <c r="K568" t="s">
        <v>85</v>
      </c>
    </row>
    <row r="569" spans="1:12" x14ac:dyDescent="0.45">
      <c r="A569" t="s">
        <v>90</v>
      </c>
      <c r="B569" t="s">
        <v>4</v>
      </c>
      <c r="C569" t="s">
        <v>84</v>
      </c>
      <c r="D569" t="s">
        <v>45</v>
      </c>
      <c r="E569" t="s">
        <v>46</v>
      </c>
      <c r="F569" t="s">
        <v>45</v>
      </c>
      <c r="G569" t="s">
        <v>47</v>
      </c>
      <c r="H569" t="s">
        <v>89</v>
      </c>
      <c r="I569">
        <v>2085</v>
      </c>
      <c r="J569">
        <v>0.11560000000000001</v>
      </c>
      <c r="K569" t="s">
        <v>45</v>
      </c>
    </row>
    <row r="570" spans="1:12" x14ac:dyDescent="0.45">
      <c r="A570" t="s">
        <v>90</v>
      </c>
      <c r="B570" t="s">
        <v>4</v>
      </c>
      <c r="C570" t="s">
        <v>84</v>
      </c>
      <c r="D570" t="s">
        <v>48</v>
      </c>
      <c r="E570" t="s">
        <v>46</v>
      </c>
      <c r="F570" t="s">
        <v>48</v>
      </c>
      <c r="G570" t="s">
        <v>49</v>
      </c>
      <c r="H570" t="s">
        <v>50</v>
      </c>
      <c r="I570">
        <v>2085</v>
      </c>
      <c r="J570">
        <v>313.90109999999999</v>
      </c>
      <c r="K570" t="s">
        <v>48</v>
      </c>
    </row>
    <row r="571" spans="1:12" x14ac:dyDescent="0.45">
      <c r="A571" t="s">
        <v>90</v>
      </c>
      <c r="B571" t="s">
        <v>4</v>
      </c>
      <c r="C571" t="s">
        <v>84</v>
      </c>
      <c r="D571" t="s">
        <v>51</v>
      </c>
      <c r="E571" t="s">
        <v>46</v>
      </c>
      <c r="F571" t="s">
        <v>51</v>
      </c>
      <c r="G571" t="s">
        <v>49</v>
      </c>
      <c r="H571" t="s">
        <v>50</v>
      </c>
      <c r="I571">
        <v>2085</v>
      </c>
      <c r="J571">
        <v>1090.9312500000001</v>
      </c>
      <c r="K571" t="s">
        <v>51</v>
      </c>
    </row>
    <row r="572" spans="1:12" x14ac:dyDescent="0.45">
      <c r="A572" t="s">
        <v>90</v>
      </c>
      <c r="B572" t="s">
        <v>4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2085</v>
      </c>
      <c r="J572">
        <v>2.9741</v>
      </c>
      <c r="K572" t="s">
        <v>24</v>
      </c>
    </row>
    <row r="573" spans="1:12" x14ac:dyDescent="0.45">
      <c r="A573" t="s">
        <v>90</v>
      </c>
      <c r="B573" t="s">
        <v>4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2085</v>
      </c>
      <c r="J573">
        <v>11.305900000000001</v>
      </c>
      <c r="K573" t="s">
        <v>28</v>
      </c>
    </row>
    <row r="574" spans="1:12" x14ac:dyDescent="0.45">
      <c r="A574" t="s">
        <v>90</v>
      </c>
      <c r="B574" t="s">
        <v>4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2085</v>
      </c>
      <c r="J574">
        <v>4.2860499999999995</v>
      </c>
      <c r="K574" t="s">
        <v>27</v>
      </c>
    </row>
    <row r="575" spans="1:12" x14ac:dyDescent="0.45">
      <c r="A575" t="s">
        <v>90</v>
      </c>
      <c r="B575" t="s">
        <v>4</v>
      </c>
      <c r="C575" t="s">
        <v>84</v>
      </c>
      <c r="D575" t="s">
        <v>29</v>
      </c>
      <c r="E575" t="s">
        <v>30</v>
      </c>
      <c r="F575" t="s">
        <v>29</v>
      </c>
      <c r="G575" t="s">
        <v>31</v>
      </c>
      <c r="H575" t="s">
        <v>32</v>
      </c>
      <c r="I575">
        <v>2085</v>
      </c>
      <c r="J575">
        <v>7.1741000000000001</v>
      </c>
      <c r="K575" t="s">
        <v>29</v>
      </c>
    </row>
    <row r="576" spans="1:12" x14ac:dyDescent="0.45">
      <c r="A576" t="s">
        <v>90</v>
      </c>
      <c r="B576" t="s">
        <v>4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2085</v>
      </c>
      <c r="J576">
        <v>4.0999499999999998</v>
      </c>
      <c r="K576" t="s">
        <v>33</v>
      </c>
    </row>
    <row r="577" spans="1:12" x14ac:dyDescent="0.45">
      <c r="A577" t="s">
        <v>90</v>
      </c>
      <c r="B577" t="s">
        <v>4</v>
      </c>
      <c r="C577" t="s">
        <v>84</v>
      </c>
      <c r="D577" t="s">
        <v>35</v>
      </c>
      <c r="E577" t="s">
        <v>30</v>
      </c>
      <c r="F577" t="s">
        <v>35</v>
      </c>
      <c r="G577" t="s">
        <v>31</v>
      </c>
      <c r="H577" t="s">
        <v>36</v>
      </c>
      <c r="I577">
        <v>2085</v>
      </c>
      <c r="J577">
        <v>7.0742500000000001</v>
      </c>
      <c r="K577" t="s">
        <v>35</v>
      </c>
    </row>
    <row r="578" spans="1:12" x14ac:dyDescent="0.45">
      <c r="A578" t="s">
        <v>90</v>
      </c>
      <c r="B578" t="s">
        <v>4</v>
      </c>
      <c r="C578" t="s">
        <v>84</v>
      </c>
      <c r="D578" t="s">
        <v>37</v>
      </c>
      <c r="E578" t="s">
        <v>30</v>
      </c>
      <c r="F578" t="s">
        <v>37</v>
      </c>
      <c r="G578" t="s">
        <v>31</v>
      </c>
      <c r="H578" t="s">
        <v>38</v>
      </c>
      <c r="I578">
        <v>2085</v>
      </c>
      <c r="J578">
        <v>259.07730000000004</v>
      </c>
      <c r="K578" t="s">
        <v>37</v>
      </c>
    </row>
    <row r="579" spans="1:12" x14ac:dyDescent="0.45">
      <c r="A579" t="s">
        <v>90</v>
      </c>
      <c r="B579" t="s">
        <v>4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2085</v>
      </c>
      <c r="J579">
        <v>1.3045</v>
      </c>
      <c r="K579" t="s">
        <v>52</v>
      </c>
      <c r="L579">
        <v>94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2085</v>
      </c>
      <c r="J580">
        <v>0.34975000000000001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2085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4</v>
      </c>
      <c r="C582" t="s">
        <v>84</v>
      </c>
      <c r="D582" t="s">
        <v>85</v>
      </c>
      <c r="E582" t="s">
        <v>25</v>
      </c>
      <c r="F582" t="s">
        <v>85</v>
      </c>
      <c r="G582" t="s">
        <v>26</v>
      </c>
      <c r="H582" t="s">
        <v>82</v>
      </c>
      <c r="I582">
        <v>2085</v>
      </c>
      <c r="J582">
        <v>10.8324</v>
      </c>
      <c r="K582" t="s">
        <v>85</v>
      </c>
    </row>
    <row r="583" spans="1:12" x14ac:dyDescent="0.45">
      <c r="A583" t="s">
        <v>90</v>
      </c>
      <c r="B583" t="s">
        <v>4</v>
      </c>
      <c r="C583" t="s">
        <v>84</v>
      </c>
      <c r="D583" t="s">
        <v>45</v>
      </c>
      <c r="E583" t="s">
        <v>46</v>
      </c>
      <c r="F583" t="s">
        <v>45</v>
      </c>
      <c r="G583" t="s">
        <v>47</v>
      </c>
      <c r="H583" t="s">
        <v>89</v>
      </c>
      <c r="I583">
        <v>2090</v>
      </c>
      <c r="J583">
        <v>0</v>
      </c>
      <c r="K583" t="s">
        <v>45</v>
      </c>
    </row>
    <row r="584" spans="1:12" x14ac:dyDescent="0.45">
      <c r="A584" t="s">
        <v>90</v>
      </c>
      <c r="B584" t="s">
        <v>4</v>
      </c>
      <c r="C584" t="s">
        <v>84</v>
      </c>
      <c r="D584" t="s">
        <v>48</v>
      </c>
      <c r="E584" t="s">
        <v>46</v>
      </c>
      <c r="F584" t="s">
        <v>48</v>
      </c>
      <c r="G584" t="s">
        <v>49</v>
      </c>
      <c r="H584" t="s">
        <v>50</v>
      </c>
      <c r="I584">
        <v>2090</v>
      </c>
      <c r="J584">
        <v>260.6046</v>
      </c>
      <c r="K584" t="s">
        <v>48</v>
      </c>
    </row>
    <row r="585" spans="1:12" x14ac:dyDescent="0.45">
      <c r="A585" t="s">
        <v>90</v>
      </c>
      <c r="B585" t="s">
        <v>4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2090</v>
      </c>
      <c r="J585">
        <v>1037.24935</v>
      </c>
      <c r="K585" t="s">
        <v>51</v>
      </c>
    </row>
    <row r="586" spans="1:12" x14ac:dyDescent="0.45">
      <c r="A586" t="s">
        <v>90</v>
      </c>
      <c r="B586" t="s">
        <v>4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2090</v>
      </c>
      <c r="J586">
        <v>2.8221499999999997</v>
      </c>
      <c r="K586" t="s">
        <v>24</v>
      </c>
    </row>
    <row r="587" spans="1:12" x14ac:dyDescent="0.45">
      <c r="A587" t="s">
        <v>90</v>
      </c>
      <c r="B587" t="s">
        <v>4</v>
      </c>
      <c r="C587" t="s">
        <v>84</v>
      </c>
      <c r="D587" t="s">
        <v>28</v>
      </c>
      <c r="E587" t="s">
        <v>25</v>
      </c>
      <c r="F587" t="s">
        <v>28</v>
      </c>
      <c r="G587" t="s">
        <v>26</v>
      </c>
      <c r="H587" t="s">
        <v>12</v>
      </c>
      <c r="I587">
        <v>2090</v>
      </c>
      <c r="J587">
        <v>11.4849</v>
      </c>
      <c r="K587" t="s">
        <v>28</v>
      </c>
    </row>
    <row r="588" spans="1:12" x14ac:dyDescent="0.45">
      <c r="A588" t="s">
        <v>90</v>
      </c>
      <c r="B588" t="s">
        <v>4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4.3779000000000003</v>
      </c>
      <c r="K588" t="s">
        <v>27</v>
      </c>
    </row>
    <row r="589" spans="1:12" x14ac:dyDescent="0.45">
      <c r="A589" t="s">
        <v>90</v>
      </c>
      <c r="B589" t="s">
        <v>4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2090</v>
      </c>
      <c r="J589">
        <v>7.1154500000000001</v>
      </c>
      <c r="K589" t="s">
        <v>29</v>
      </c>
    </row>
    <row r="590" spans="1:12" x14ac:dyDescent="0.45">
      <c r="A590" t="s">
        <v>90</v>
      </c>
      <c r="B590" t="s">
        <v>4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2090</v>
      </c>
      <c r="J590">
        <v>4.2600999999999996</v>
      </c>
      <c r="K590" t="s">
        <v>33</v>
      </c>
    </row>
    <row r="591" spans="1:12" x14ac:dyDescent="0.45">
      <c r="A591" t="s">
        <v>90</v>
      </c>
      <c r="B591" t="s">
        <v>4</v>
      </c>
      <c r="C591" t="s">
        <v>84</v>
      </c>
      <c r="D591" t="s">
        <v>35</v>
      </c>
      <c r="E591" t="s">
        <v>30</v>
      </c>
      <c r="F591" t="s">
        <v>35</v>
      </c>
      <c r="G591" t="s">
        <v>31</v>
      </c>
      <c r="H591" t="s">
        <v>36</v>
      </c>
      <c r="I591">
        <v>2090</v>
      </c>
      <c r="J591">
        <v>7.31745</v>
      </c>
      <c r="K591" t="s">
        <v>35</v>
      </c>
    </row>
    <row r="592" spans="1:12" x14ac:dyDescent="0.45">
      <c r="A592" t="s">
        <v>90</v>
      </c>
      <c r="B592" t="s">
        <v>4</v>
      </c>
      <c r="C592" t="s">
        <v>84</v>
      </c>
      <c r="D592" t="s">
        <v>37</v>
      </c>
      <c r="E592" t="s">
        <v>30</v>
      </c>
      <c r="F592" t="s">
        <v>37</v>
      </c>
      <c r="G592" t="s">
        <v>31</v>
      </c>
      <c r="H592" t="s">
        <v>38</v>
      </c>
      <c r="I592">
        <v>2090</v>
      </c>
      <c r="J592">
        <v>255.3048</v>
      </c>
      <c r="K592" t="s">
        <v>37</v>
      </c>
    </row>
    <row r="593" spans="1:12" x14ac:dyDescent="0.45">
      <c r="A593" t="s">
        <v>90</v>
      </c>
      <c r="B593" t="s">
        <v>4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2090</v>
      </c>
      <c r="J593">
        <v>1.5992500000000001</v>
      </c>
      <c r="K593" t="s">
        <v>52</v>
      </c>
      <c r="L593">
        <v>94</v>
      </c>
    </row>
    <row r="594" spans="1:12" x14ac:dyDescent="0.45">
      <c r="A594" t="s">
        <v>90</v>
      </c>
      <c r="B594" t="s">
        <v>4</v>
      </c>
      <c r="C594" t="s">
        <v>84</v>
      </c>
      <c r="D594" t="s">
        <v>53</v>
      </c>
      <c r="E594" t="s">
        <v>25</v>
      </c>
      <c r="F594" t="s">
        <v>53</v>
      </c>
      <c r="G594" t="s">
        <v>71</v>
      </c>
      <c r="H594" t="s">
        <v>89</v>
      </c>
      <c r="I594">
        <v>2090</v>
      </c>
      <c r="J594">
        <v>0.3775</v>
      </c>
      <c r="K594" t="s">
        <v>53</v>
      </c>
      <c r="L594">
        <v>55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2090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85</v>
      </c>
      <c r="E596" t="s">
        <v>25</v>
      </c>
      <c r="F596" t="s">
        <v>85</v>
      </c>
      <c r="G596" t="s">
        <v>26</v>
      </c>
      <c r="H596" t="s">
        <v>82</v>
      </c>
      <c r="I596">
        <v>2090</v>
      </c>
      <c r="J596">
        <v>12.629200000000001</v>
      </c>
      <c r="K596" t="s">
        <v>85</v>
      </c>
    </row>
    <row r="597" spans="1:12" x14ac:dyDescent="0.45">
      <c r="A597" t="s">
        <v>90</v>
      </c>
      <c r="B597" t="s">
        <v>4</v>
      </c>
      <c r="C597" t="s">
        <v>84</v>
      </c>
      <c r="D597" t="s">
        <v>45</v>
      </c>
      <c r="E597" t="s">
        <v>46</v>
      </c>
      <c r="F597" t="s">
        <v>45</v>
      </c>
      <c r="G597" t="s">
        <v>47</v>
      </c>
      <c r="H597" t="s">
        <v>89</v>
      </c>
      <c r="I597">
        <v>2095</v>
      </c>
      <c r="J597">
        <v>0</v>
      </c>
      <c r="K597" t="s">
        <v>45</v>
      </c>
    </row>
    <row r="598" spans="1:12" x14ac:dyDescent="0.45">
      <c r="A598" t="s">
        <v>90</v>
      </c>
      <c r="B598" t="s">
        <v>4</v>
      </c>
      <c r="C598" t="s">
        <v>84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2095</v>
      </c>
      <c r="J598">
        <v>219.46594999999999</v>
      </c>
      <c r="K598" t="s">
        <v>48</v>
      </c>
    </row>
    <row r="599" spans="1:12" x14ac:dyDescent="0.45">
      <c r="A599" t="s">
        <v>90</v>
      </c>
      <c r="B599" t="s">
        <v>4</v>
      </c>
      <c r="C599" t="s">
        <v>84</v>
      </c>
      <c r="D599" t="s">
        <v>51</v>
      </c>
      <c r="E599" t="s">
        <v>46</v>
      </c>
      <c r="F599" t="s">
        <v>51</v>
      </c>
      <c r="G599" t="s">
        <v>49</v>
      </c>
      <c r="H599" t="s">
        <v>50</v>
      </c>
      <c r="I599">
        <v>2095</v>
      </c>
      <c r="J599">
        <v>996.96145000000001</v>
      </c>
      <c r="K599" t="s">
        <v>51</v>
      </c>
    </row>
    <row r="600" spans="1:12" x14ac:dyDescent="0.45">
      <c r="A600" t="s">
        <v>90</v>
      </c>
      <c r="B600" t="s">
        <v>4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2095</v>
      </c>
      <c r="J600">
        <v>2.6944999999999997</v>
      </c>
      <c r="K600" t="s">
        <v>24</v>
      </c>
    </row>
    <row r="601" spans="1:12" x14ac:dyDescent="0.45">
      <c r="A601" t="s">
        <v>90</v>
      </c>
      <c r="B601" t="s">
        <v>4</v>
      </c>
      <c r="C601" t="s">
        <v>84</v>
      </c>
      <c r="D601" t="s">
        <v>28</v>
      </c>
      <c r="E601" t="s">
        <v>25</v>
      </c>
      <c r="F601" t="s">
        <v>28</v>
      </c>
      <c r="G601" t="s">
        <v>26</v>
      </c>
      <c r="H601" t="s">
        <v>12</v>
      </c>
      <c r="I601">
        <v>2095</v>
      </c>
      <c r="J601">
        <v>11.6031</v>
      </c>
      <c r="K601" t="s">
        <v>28</v>
      </c>
    </row>
    <row r="602" spans="1:12" x14ac:dyDescent="0.45">
      <c r="A602" t="s">
        <v>90</v>
      </c>
      <c r="B602" t="s">
        <v>4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2095</v>
      </c>
      <c r="J602">
        <v>4.4697499999999994</v>
      </c>
      <c r="K602" t="s">
        <v>27</v>
      </c>
    </row>
    <row r="603" spans="1:12" x14ac:dyDescent="0.45">
      <c r="A603" t="s">
        <v>90</v>
      </c>
      <c r="B603" t="s">
        <v>4</v>
      </c>
      <c r="C603" t="s">
        <v>84</v>
      </c>
      <c r="D603" t="s">
        <v>29</v>
      </c>
      <c r="E603" t="s">
        <v>30</v>
      </c>
      <c r="F603" t="s">
        <v>29</v>
      </c>
      <c r="G603" t="s">
        <v>31</v>
      </c>
      <c r="H603" t="s">
        <v>32</v>
      </c>
      <c r="I603">
        <v>2095</v>
      </c>
      <c r="J603">
        <v>7.3076499999999998</v>
      </c>
      <c r="K603" t="s">
        <v>29</v>
      </c>
    </row>
    <row r="604" spans="1:12" x14ac:dyDescent="0.45">
      <c r="A604" t="s">
        <v>90</v>
      </c>
      <c r="B604" t="s">
        <v>4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2095</v>
      </c>
      <c r="J604">
        <v>4.2486499999999996</v>
      </c>
      <c r="K604" t="s">
        <v>33</v>
      </c>
    </row>
    <row r="605" spans="1:12" x14ac:dyDescent="0.45">
      <c r="A605" t="s">
        <v>90</v>
      </c>
      <c r="B605" t="s">
        <v>4</v>
      </c>
      <c r="C605" t="s">
        <v>84</v>
      </c>
      <c r="D605" t="s">
        <v>35</v>
      </c>
      <c r="E605" t="s">
        <v>30</v>
      </c>
      <c r="F605" t="s">
        <v>35</v>
      </c>
      <c r="G605" t="s">
        <v>31</v>
      </c>
      <c r="H605" t="s">
        <v>36</v>
      </c>
      <c r="I605">
        <v>2095</v>
      </c>
      <c r="J605">
        <v>7.4690499999999993</v>
      </c>
      <c r="K605" t="s">
        <v>35</v>
      </c>
    </row>
    <row r="606" spans="1:12" x14ac:dyDescent="0.45">
      <c r="A606" t="s">
        <v>90</v>
      </c>
      <c r="B606" t="s">
        <v>4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2095</v>
      </c>
      <c r="J606">
        <v>253.88220000000001</v>
      </c>
      <c r="K606" t="s">
        <v>37</v>
      </c>
    </row>
    <row r="607" spans="1:12" x14ac:dyDescent="0.45">
      <c r="A607" t="s">
        <v>90</v>
      </c>
      <c r="B607" t="s">
        <v>4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2095</v>
      </c>
      <c r="J607">
        <v>1.67225</v>
      </c>
      <c r="K607" t="s">
        <v>52</v>
      </c>
      <c r="L607">
        <v>94</v>
      </c>
    </row>
    <row r="608" spans="1:12" x14ac:dyDescent="0.45">
      <c r="A608" t="s">
        <v>90</v>
      </c>
      <c r="B608" t="s">
        <v>4</v>
      </c>
      <c r="C608" t="s">
        <v>84</v>
      </c>
      <c r="D608" t="s">
        <v>53</v>
      </c>
      <c r="E608" t="s">
        <v>25</v>
      </c>
      <c r="F608" t="s">
        <v>53</v>
      </c>
      <c r="G608" t="s">
        <v>71</v>
      </c>
      <c r="H608" t="s">
        <v>89</v>
      </c>
      <c r="I608">
        <v>2095</v>
      </c>
      <c r="J608">
        <v>0.38419999999999999</v>
      </c>
      <c r="K608" t="s">
        <v>53</v>
      </c>
      <c r="L608">
        <v>55</v>
      </c>
    </row>
    <row r="609" spans="1:12" x14ac:dyDescent="0.45">
      <c r="A609" t="s">
        <v>90</v>
      </c>
      <c r="B609" t="s">
        <v>4</v>
      </c>
      <c r="C609" t="s">
        <v>84</v>
      </c>
      <c r="D609" t="s">
        <v>54</v>
      </c>
      <c r="E609" t="s">
        <v>25</v>
      </c>
      <c r="F609" t="s">
        <v>54</v>
      </c>
      <c r="G609" t="s">
        <v>71</v>
      </c>
      <c r="H609" t="s">
        <v>89</v>
      </c>
      <c r="I609">
        <v>2095</v>
      </c>
      <c r="J609">
        <v>0</v>
      </c>
      <c r="K609" t="s">
        <v>54</v>
      </c>
      <c r="L609">
        <v>70</v>
      </c>
    </row>
    <row r="610" spans="1:12" x14ac:dyDescent="0.45">
      <c r="A610" t="s">
        <v>90</v>
      </c>
      <c r="B610" t="s">
        <v>4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2095</v>
      </c>
      <c r="J610">
        <v>13.066649999999999</v>
      </c>
      <c r="K610" t="s">
        <v>85</v>
      </c>
    </row>
    <row r="611" spans="1:12" x14ac:dyDescent="0.45">
      <c r="A611" t="s">
        <v>90</v>
      </c>
      <c r="B611" t="s">
        <v>4</v>
      </c>
      <c r="C611" t="s">
        <v>84</v>
      </c>
      <c r="D611" t="s">
        <v>45</v>
      </c>
      <c r="E611" t="s">
        <v>46</v>
      </c>
      <c r="F611" t="s">
        <v>45</v>
      </c>
      <c r="G611" t="s">
        <v>47</v>
      </c>
      <c r="H611" t="s">
        <v>89</v>
      </c>
      <c r="I611">
        <v>2100</v>
      </c>
      <c r="J611">
        <v>0</v>
      </c>
      <c r="K611" t="s">
        <v>45</v>
      </c>
    </row>
    <row r="612" spans="1:12" x14ac:dyDescent="0.45">
      <c r="A612" t="s">
        <v>90</v>
      </c>
      <c r="B612" t="s">
        <v>4</v>
      </c>
      <c r="C612" t="s">
        <v>84</v>
      </c>
      <c r="D612" t="s">
        <v>48</v>
      </c>
      <c r="E612" t="s">
        <v>46</v>
      </c>
      <c r="F612" t="s">
        <v>48</v>
      </c>
      <c r="G612" t="s">
        <v>49</v>
      </c>
      <c r="H612" t="s">
        <v>50</v>
      </c>
      <c r="I612">
        <v>2100</v>
      </c>
      <c r="J612">
        <v>178.3272</v>
      </c>
      <c r="K612" t="s">
        <v>48</v>
      </c>
    </row>
    <row r="613" spans="1:12" x14ac:dyDescent="0.45">
      <c r="A613" t="s">
        <v>90</v>
      </c>
      <c r="B613" t="s">
        <v>4</v>
      </c>
      <c r="C613" t="s">
        <v>84</v>
      </c>
      <c r="D613" t="s">
        <v>51</v>
      </c>
      <c r="E613" t="s">
        <v>46</v>
      </c>
      <c r="F613" t="s">
        <v>51</v>
      </c>
      <c r="G613" t="s">
        <v>49</v>
      </c>
      <c r="H613" t="s">
        <v>50</v>
      </c>
      <c r="I613">
        <v>2100</v>
      </c>
      <c r="J613">
        <v>956.67359999999996</v>
      </c>
      <c r="K613" t="s">
        <v>51</v>
      </c>
    </row>
    <row r="614" spans="1:12" x14ac:dyDescent="0.45">
      <c r="A614" t="s">
        <v>90</v>
      </c>
      <c r="B614" t="s">
        <v>4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2100</v>
      </c>
      <c r="J614">
        <v>2.5669000000000004</v>
      </c>
      <c r="K614" t="s">
        <v>24</v>
      </c>
    </row>
    <row r="615" spans="1:12" x14ac:dyDescent="0.45">
      <c r="A615" t="s">
        <v>90</v>
      </c>
      <c r="B615" t="s">
        <v>4</v>
      </c>
      <c r="C615" t="s">
        <v>84</v>
      </c>
      <c r="D615" t="s">
        <v>28</v>
      </c>
      <c r="E615" t="s">
        <v>25</v>
      </c>
      <c r="F615" t="s">
        <v>28</v>
      </c>
      <c r="G615" t="s">
        <v>26</v>
      </c>
      <c r="H615" t="s">
        <v>12</v>
      </c>
      <c r="I615">
        <v>2100</v>
      </c>
      <c r="J615">
        <v>11.721350000000001</v>
      </c>
      <c r="K615" t="s">
        <v>28</v>
      </c>
    </row>
    <row r="616" spans="1:12" x14ac:dyDescent="0.45">
      <c r="A616" t="s">
        <v>90</v>
      </c>
      <c r="B616" t="s">
        <v>4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2100</v>
      </c>
      <c r="J616">
        <v>4.5616000000000003</v>
      </c>
      <c r="K616" t="s">
        <v>27</v>
      </c>
    </row>
    <row r="617" spans="1:12" x14ac:dyDescent="0.45">
      <c r="A617" t="s">
        <v>90</v>
      </c>
      <c r="B617" t="s">
        <v>4</v>
      </c>
      <c r="C617" t="s">
        <v>84</v>
      </c>
      <c r="D617" t="s">
        <v>29</v>
      </c>
      <c r="E617" t="s">
        <v>30</v>
      </c>
      <c r="F617" t="s">
        <v>29</v>
      </c>
      <c r="G617" t="s">
        <v>31</v>
      </c>
      <c r="H617" t="s">
        <v>32</v>
      </c>
      <c r="I617">
        <v>2100</v>
      </c>
      <c r="J617">
        <v>7.4998000000000005</v>
      </c>
      <c r="K617" t="s">
        <v>29</v>
      </c>
    </row>
    <row r="618" spans="1:12" x14ac:dyDescent="0.45">
      <c r="A618" t="s">
        <v>90</v>
      </c>
      <c r="B618" t="s">
        <v>4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4.2371499999999997</v>
      </c>
      <c r="K618" t="s">
        <v>33</v>
      </c>
    </row>
    <row r="619" spans="1:12" x14ac:dyDescent="0.45">
      <c r="A619" t="s">
        <v>90</v>
      </c>
      <c r="B619" t="s">
        <v>4</v>
      </c>
      <c r="C619" t="s">
        <v>84</v>
      </c>
      <c r="D619" t="s">
        <v>35</v>
      </c>
      <c r="E619" t="s">
        <v>30</v>
      </c>
      <c r="F619" t="s">
        <v>35</v>
      </c>
      <c r="G619" t="s">
        <v>31</v>
      </c>
      <c r="H619" t="s">
        <v>36</v>
      </c>
      <c r="I619">
        <v>2100</v>
      </c>
      <c r="J619">
        <v>7.6207000000000003</v>
      </c>
      <c r="K619" t="s">
        <v>35</v>
      </c>
    </row>
    <row r="620" spans="1:12" x14ac:dyDescent="0.45">
      <c r="A620" t="s">
        <v>90</v>
      </c>
      <c r="B620" t="s">
        <v>4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2100</v>
      </c>
      <c r="J620">
        <v>252.4597</v>
      </c>
      <c r="K620" t="s">
        <v>37</v>
      </c>
    </row>
    <row r="621" spans="1:12" x14ac:dyDescent="0.45">
      <c r="A621" t="s">
        <v>90</v>
      </c>
      <c r="B621" t="s">
        <v>4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2100</v>
      </c>
      <c r="J621">
        <v>1.74525</v>
      </c>
      <c r="K621" t="s">
        <v>52</v>
      </c>
      <c r="L621">
        <v>94</v>
      </c>
    </row>
    <row r="622" spans="1:12" x14ac:dyDescent="0.45">
      <c r="A622" t="s">
        <v>90</v>
      </c>
      <c r="B622" t="s">
        <v>4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2100</v>
      </c>
      <c r="J622">
        <v>0.39085000000000003</v>
      </c>
      <c r="K622" t="s">
        <v>53</v>
      </c>
      <c r="L622">
        <v>55</v>
      </c>
    </row>
    <row r="623" spans="1:12" x14ac:dyDescent="0.45">
      <c r="A623" t="s">
        <v>90</v>
      </c>
      <c r="B623" t="s">
        <v>4</v>
      </c>
      <c r="C623" t="s">
        <v>84</v>
      </c>
      <c r="D623" t="s">
        <v>54</v>
      </c>
      <c r="E623" t="s">
        <v>25</v>
      </c>
      <c r="F623" t="s">
        <v>54</v>
      </c>
      <c r="G623" t="s">
        <v>71</v>
      </c>
      <c r="H623" t="s">
        <v>89</v>
      </c>
      <c r="I623">
        <v>2100</v>
      </c>
      <c r="J623">
        <v>0</v>
      </c>
      <c r="K623" t="s">
        <v>54</v>
      </c>
      <c r="L623">
        <v>70</v>
      </c>
    </row>
    <row r="624" spans="1:12" x14ac:dyDescent="0.45">
      <c r="A624" t="s">
        <v>90</v>
      </c>
      <c r="B624" t="s">
        <v>4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13.504049999999999</v>
      </c>
      <c r="K624" t="s">
        <v>85</v>
      </c>
    </row>
    <row r="625" spans="1:12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2.2551000000000001</v>
      </c>
      <c r="K625" t="s">
        <v>45</v>
      </c>
    </row>
    <row r="626" spans="1:12" x14ac:dyDescent="0.45">
      <c r="A626" t="s">
        <v>90</v>
      </c>
      <c r="B626" t="s">
        <v>0</v>
      </c>
      <c r="C626" t="s">
        <v>84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2020</v>
      </c>
      <c r="J626">
        <v>4048.3285999999998</v>
      </c>
      <c r="K626" t="s">
        <v>48</v>
      </c>
    </row>
    <row r="627" spans="1:12" x14ac:dyDescent="0.45">
      <c r="A627" t="s">
        <v>90</v>
      </c>
      <c r="B627" t="s">
        <v>0</v>
      </c>
      <c r="C627" t="s">
        <v>84</v>
      </c>
      <c r="D627" t="s">
        <v>51</v>
      </c>
      <c r="E627" t="s">
        <v>46</v>
      </c>
      <c r="F627" t="s">
        <v>51</v>
      </c>
      <c r="G627" t="s">
        <v>49</v>
      </c>
      <c r="H627" t="s">
        <v>50</v>
      </c>
      <c r="I627">
        <v>2020</v>
      </c>
      <c r="J627">
        <v>4763.2656999999999</v>
      </c>
      <c r="K627" t="s">
        <v>51</v>
      </c>
    </row>
    <row r="628" spans="1:12" x14ac:dyDescent="0.45">
      <c r="A628" t="s">
        <v>90</v>
      </c>
      <c r="B628" t="s">
        <v>0</v>
      </c>
      <c r="C628" t="s">
        <v>84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2020</v>
      </c>
      <c r="J628">
        <v>3.1556000000000002</v>
      </c>
      <c r="K628" t="s">
        <v>24</v>
      </c>
    </row>
    <row r="629" spans="1:12" x14ac:dyDescent="0.45">
      <c r="A629" t="s">
        <v>90</v>
      </c>
      <c r="B629" t="s">
        <v>0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10.713200000000001</v>
      </c>
      <c r="K629" t="s">
        <v>28</v>
      </c>
    </row>
    <row r="630" spans="1:12" x14ac:dyDescent="0.45">
      <c r="A630" t="s">
        <v>90</v>
      </c>
      <c r="B630" t="s">
        <v>0</v>
      </c>
      <c r="C630" t="s">
        <v>84</v>
      </c>
      <c r="D630" t="s">
        <v>27</v>
      </c>
      <c r="E630" t="s">
        <v>25</v>
      </c>
      <c r="F630" t="s">
        <v>27</v>
      </c>
      <c r="G630" t="s">
        <v>26</v>
      </c>
      <c r="H630" t="s">
        <v>10</v>
      </c>
      <c r="I630">
        <v>2020</v>
      </c>
      <c r="J630">
        <v>0.27579999999999999</v>
      </c>
      <c r="K630" t="s">
        <v>27</v>
      </c>
    </row>
    <row r="631" spans="1:12" x14ac:dyDescent="0.45">
      <c r="A631" t="s">
        <v>90</v>
      </c>
      <c r="B631" t="s">
        <v>0</v>
      </c>
      <c r="C631" t="s">
        <v>84</v>
      </c>
      <c r="D631" t="s">
        <v>29</v>
      </c>
      <c r="E631" t="s">
        <v>30</v>
      </c>
      <c r="F631" t="s">
        <v>29</v>
      </c>
      <c r="G631" t="s">
        <v>31</v>
      </c>
      <c r="H631" t="s">
        <v>32</v>
      </c>
      <c r="I631">
        <v>2020</v>
      </c>
      <c r="J631">
        <v>5.3799000000000001</v>
      </c>
      <c r="K631" t="s">
        <v>29</v>
      </c>
    </row>
    <row r="632" spans="1:12" x14ac:dyDescent="0.45">
      <c r="A632" t="s">
        <v>90</v>
      </c>
      <c r="B632" t="s">
        <v>0</v>
      </c>
      <c r="C632" t="s">
        <v>84</v>
      </c>
      <c r="D632" t="s">
        <v>33</v>
      </c>
      <c r="E632" t="s">
        <v>30</v>
      </c>
      <c r="F632" t="s">
        <v>33</v>
      </c>
      <c r="G632" t="s">
        <v>31</v>
      </c>
      <c r="H632" t="s">
        <v>34</v>
      </c>
      <c r="I632">
        <v>2020</v>
      </c>
      <c r="J632">
        <v>2.0344000000000002</v>
      </c>
      <c r="K632" t="s">
        <v>33</v>
      </c>
    </row>
    <row r="633" spans="1:12" x14ac:dyDescent="0.45">
      <c r="A633" t="s">
        <v>90</v>
      </c>
      <c r="B633" t="s">
        <v>0</v>
      </c>
      <c r="C633" t="s">
        <v>84</v>
      </c>
      <c r="D633" t="s">
        <v>35</v>
      </c>
      <c r="E633" t="s">
        <v>30</v>
      </c>
      <c r="F633" t="s">
        <v>35</v>
      </c>
      <c r="G633" t="s">
        <v>31</v>
      </c>
      <c r="H633" t="s">
        <v>36</v>
      </c>
      <c r="I633">
        <v>2020</v>
      </c>
      <c r="J633">
        <v>3.9710999999999999</v>
      </c>
      <c r="K633" t="s">
        <v>35</v>
      </c>
    </row>
    <row r="634" spans="1:12" x14ac:dyDescent="0.45">
      <c r="A634" t="s">
        <v>90</v>
      </c>
      <c r="B634" t="s">
        <v>0</v>
      </c>
      <c r="C634" t="s">
        <v>84</v>
      </c>
      <c r="D634" t="s">
        <v>37</v>
      </c>
      <c r="E634" t="s">
        <v>30</v>
      </c>
      <c r="F634" t="s">
        <v>37</v>
      </c>
      <c r="G634" t="s">
        <v>31</v>
      </c>
      <c r="H634" t="s">
        <v>38</v>
      </c>
      <c r="I634">
        <v>2020</v>
      </c>
      <c r="J634">
        <v>81.473500000000001</v>
      </c>
      <c r="K634" t="s">
        <v>37</v>
      </c>
    </row>
    <row r="635" spans="1:12" x14ac:dyDescent="0.45">
      <c r="A635" t="s">
        <v>90</v>
      </c>
      <c r="B635" t="s">
        <v>0</v>
      </c>
      <c r="C635" t="s">
        <v>84</v>
      </c>
      <c r="D635" t="s">
        <v>52</v>
      </c>
      <c r="E635" t="s">
        <v>25</v>
      </c>
      <c r="F635" t="s">
        <v>52</v>
      </c>
      <c r="G635" t="s">
        <v>71</v>
      </c>
      <c r="H635" t="s">
        <v>89</v>
      </c>
      <c r="I635">
        <v>2020</v>
      </c>
      <c r="J635">
        <v>3.0137</v>
      </c>
      <c r="K635" t="s">
        <v>52</v>
      </c>
      <c r="L635">
        <v>94</v>
      </c>
    </row>
    <row r="636" spans="1:12" x14ac:dyDescent="0.45">
      <c r="A636" t="s">
        <v>90</v>
      </c>
      <c r="B636" t="s">
        <v>0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2020</v>
      </c>
      <c r="J636">
        <v>7.1176000000000004</v>
      </c>
      <c r="K636" t="s">
        <v>53</v>
      </c>
      <c r="L636">
        <v>55</v>
      </c>
    </row>
    <row r="637" spans="1:12" x14ac:dyDescent="0.45">
      <c r="A637" t="s">
        <v>90</v>
      </c>
      <c r="B637" t="s">
        <v>0</v>
      </c>
      <c r="C637" t="s">
        <v>84</v>
      </c>
      <c r="D637" t="s">
        <v>54</v>
      </c>
      <c r="E637" t="s">
        <v>25</v>
      </c>
      <c r="F637" t="s">
        <v>54</v>
      </c>
      <c r="G637" t="s">
        <v>71</v>
      </c>
      <c r="H637" t="s">
        <v>89</v>
      </c>
      <c r="I637">
        <v>2020</v>
      </c>
      <c r="J637">
        <v>0.128</v>
      </c>
      <c r="K637" t="s">
        <v>54</v>
      </c>
      <c r="L637">
        <v>70</v>
      </c>
    </row>
    <row r="638" spans="1:12" x14ac:dyDescent="0.45">
      <c r="A638" t="s">
        <v>90</v>
      </c>
      <c r="B638" t="s">
        <v>0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2020</v>
      </c>
      <c r="J638">
        <v>0.1113</v>
      </c>
      <c r="K638" t="s">
        <v>85</v>
      </c>
    </row>
    <row r="639" spans="1:12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2025</v>
      </c>
      <c r="J639">
        <v>21.057200000000002</v>
      </c>
      <c r="K639" t="s">
        <v>45</v>
      </c>
    </row>
    <row r="640" spans="1:12" x14ac:dyDescent="0.45">
      <c r="A640" t="s">
        <v>90</v>
      </c>
      <c r="B640" t="s">
        <v>0</v>
      </c>
      <c r="C640" t="s">
        <v>84</v>
      </c>
      <c r="D640" t="s">
        <v>48</v>
      </c>
      <c r="E640" t="s">
        <v>46</v>
      </c>
      <c r="F640" t="s">
        <v>48</v>
      </c>
      <c r="G640" t="s">
        <v>49</v>
      </c>
      <c r="H640" t="s">
        <v>50</v>
      </c>
      <c r="I640">
        <v>2025</v>
      </c>
      <c r="J640">
        <v>3328.6814999999997</v>
      </c>
      <c r="K640" t="s">
        <v>48</v>
      </c>
    </row>
    <row r="641" spans="1:12" x14ac:dyDescent="0.45">
      <c r="A641" t="s">
        <v>90</v>
      </c>
      <c r="B641" t="s">
        <v>0</v>
      </c>
      <c r="C641" t="s">
        <v>84</v>
      </c>
      <c r="D641" t="s">
        <v>51</v>
      </c>
      <c r="E641" t="s">
        <v>46</v>
      </c>
      <c r="F641" t="s">
        <v>51</v>
      </c>
      <c r="G641" t="s">
        <v>49</v>
      </c>
      <c r="H641" t="s">
        <v>50</v>
      </c>
      <c r="I641">
        <v>2025</v>
      </c>
      <c r="J641">
        <v>4032.451</v>
      </c>
      <c r="K641" t="s">
        <v>51</v>
      </c>
    </row>
    <row r="642" spans="1:12" x14ac:dyDescent="0.45">
      <c r="A642" t="s">
        <v>90</v>
      </c>
      <c r="B642" t="s">
        <v>0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2025</v>
      </c>
      <c r="J642">
        <v>3.1617999999999999</v>
      </c>
      <c r="K642" t="s">
        <v>24</v>
      </c>
    </row>
    <row r="643" spans="1:12" x14ac:dyDescent="0.45">
      <c r="A643" t="s">
        <v>90</v>
      </c>
      <c r="B643" t="s">
        <v>0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10.597850000000001</v>
      </c>
      <c r="K643" t="s">
        <v>28</v>
      </c>
    </row>
    <row r="644" spans="1:12" x14ac:dyDescent="0.45">
      <c r="A644" t="s">
        <v>90</v>
      </c>
      <c r="B644" t="s">
        <v>0</v>
      </c>
      <c r="C644" t="s">
        <v>84</v>
      </c>
      <c r="D644" t="s">
        <v>27</v>
      </c>
      <c r="E644" t="s">
        <v>25</v>
      </c>
      <c r="F644" t="s">
        <v>27</v>
      </c>
      <c r="G644" t="s">
        <v>26</v>
      </c>
      <c r="H644" t="s">
        <v>10</v>
      </c>
      <c r="I644">
        <v>2025</v>
      </c>
      <c r="J644">
        <v>0.68564999999999998</v>
      </c>
      <c r="K644" t="s">
        <v>27</v>
      </c>
    </row>
    <row r="645" spans="1:12" x14ac:dyDescent="0.45">
      <c r="A645" t="s">
        <v>90</v>
      </c>
      <c r="B645" t="s">
        <v>0</v>
      </c>
      <c r="C645" t="s">
        <v>84</v>
      </c>
      <c r="D645" t="s">
        <v>29</v>
      </c>
      <c r="E645" t="s">
        <v>30</v>
      </c>
      <c r="F645" t="s">
        <v>29</v>
      </c>
      <c r="G645" t="s">
        <v>31</v>
      </c>
      <c r="H645" t="s">
        <v>32</v>
      </c>
      <c r="I645">
        <v>2025</v>
      </c>
      <c r="J645">
        <v>5.7637999999999998</v>
      </c>
      <c r="K645" t="s">
        <v>29</v>
      </c>
    </row>
    <row r="646" spans="1:12" x14ac:dyDescent="0.45">
      <c r="A646" t="s">
        <v>90</v>
      </c>
      <c r="B646" t="s">
        <v>0</v>
      </c>
      <c r="C646" t="s">
        <v>84</v>
      </c>
      <c r="D646" t="s">
        <v>33</v>
      </c>
      <c r="E646" t="s">
        <v>30</v>
      </c>
      <c r="F646" t="s">
        <v>33</v>
      </c>
      <c r="G646" t="s">
        <v>31</v>
      </c>
      <c r="H646" t="s">
        <v>34</v>
      </c>
      <c r="I646">
        <v>2025</v>
      </c>
      <c r="J646">
        <v>2.2243500000000003</v>
      </c>
      <c r="K646" t="s">
        <v>33</v>
      </c>
    </row>
    <row r="647" spans="1:12" x14ac:dyDescent="0.45">
      <c r="A647" t="s">
        <v>90</v>
      </c>
      <c r="B647" t="s">
        <v>0</v>
      </c>
      <c r="C647" t="s">
        <v>84</v>
      </c>
      <c r="D647" t="s">
        <v>35</v>
      </c>
      <c r="E647" t="s">
        <v>30</v>
      </c>
      <c r="F647" t="s">
        <v>35</v>
      </c>
      <c r="G647" t="s">
        <v>31</v>
      </c>
      <c r="H647" t="s">
        <v>36</v>
      </c>
      <c r="I647">
        <v>2025</v>
      </c>
      <c r="J647">
        <v>4.6684000000000001</v>
      </c>
      <c r="K647" t="s">
        <v>35</v>
      </c>
    </row>
    <row r="648" spans="1:12" x14ac:dyDescent="0.45">
      <c r="A648" t="s">
        <v>90</v>
      </c>
      <c r="B648" t="s">
        <v>0</v>
      </c>
      <c r="C648" t="s">
        <v>84</v>
      </c>
      <c r="D648" t="s">
        <v>37</v>
      </c>
      <c r="E648" t="s">
        <v>30</v>
      </c>
      <c r="F648" t="s">
        <v>37</v>
      </c>
      <c r="G648" t="s">
        <v>31</v>
      </c>
      <c r="H648" t="s">
        <v>38</v>
      </c>
      <c r="I648">
        <v>2025</v>
      </c>
      <c r="J648">
        <v>96.299599999999998</v>
      </c>
      <c r="K648" t="s">
        <v>37</v>
      </c>
    </row>
    <row r="649" spans="1:12" x14ac:dyDescent="0.45">
      <c r="A649" t="s">
        <v>90</v>
      </c>
      <c r="B649" t="s">
        <v>0</v>
      </c>
      <c r="C649" t="s">
        <v>84</v>
      </c>
      <c r="D649" t="s">
        <v>52</v>
      </c>
      <c r="E649" t="s">
        <v>25</v>
      </c>
      <c r="F649" t="s">
        <v>52</v>
      </c>
      <c r="G649" t="s">
        <v>71</v>
      </c>
      <c r="H649" t="s">
        <v>89</v>
      </c>
      <c r="I649">
        <v>2025</v>
      </c>
      <c r="J649">
        <v>1.2363999999999999</v>
      </c>
      <c r="K649" t="s">
        <v>52</v>
      </c>
      <c r="L649">
        <v>94</v>
      </c>
    </row>
    <row r="650" spans="1:12" x14ac:dyDescent="0.45">
      <c r="A650" t="s">
        <v>90</v>
      </c>
      <c r="B650" t="s">
        <v>0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2025</v>
      </c>
      <c r="J650">
        <v>7.3855000000000004</v>
      </c>
      <c r="K650" t="s">
        <v>53</v>
      </c>
      <c r="L650">
        <v>55</v>
      </c>
    </row>
    <row r="651" spans="1:12" x14ac:dyDescent="0.45">
      <c r="A651" t="s">
        <v>90</v>
      </c>
      <c r="B651" t="s">
        <v>0</v>
      </c>
      <c r="C651" t="s">
        <v>84</v>
      </c>
      <c r="D651" t="s">
        <v>54</v>
      </c>
      <c r="E651" t="s">
        <v>25</v>
      </c>
      <c r="F651" t="s">
        <v>54</v>
      </c>
      <c r="G651" t="s">
        <v>71</v>
      </c>
      <c r="H651" t="s">
        <v>89</v>
      </c>
      <c r="I651">
        <v>2025</v>
      </c>
      <c r="J651">
        <v>7.9000000000000001E-2</v>
      </c>
      <c r="K651" t="s">
        <v>54</v>
      </c>
      <c r="L651">
        <v>70</v>
      </c>
    </row>
    <row r="652" spans="1:12" x14ac:dyDescent="0.45">
      <c r="A652" t="s">
        <v>90</v>
      </c>
      <c r="B652" t="s">
        <v>0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2025</v>
      </c>
      <c r="J652">
        <v>0.49419999999999997</v>
      </c>
      <c r="K652" t="s">
        <v>85</v>
      </c>
    </row>
    <row r="653" spans="1:12" x14ac:dyDescent="0.45">
      <c r="A653" t="s">
        <v>90</v>
      </c>
      <c r="B653" t="s">
        <v>0</v>
      </c>
      <c r="C653" t="s">
        <v>84</v>
      </c>
      <c r="D653" t="s">
        <v>45</v>
      </c>
      <c r="E653" t="s">
        <v>46</v>
      </c>
      <c r="F653" t="s">
        <v>45</v>
      </c>
      <c r="G653" t="s">
        <v>47</v>
      </c>
      <c r="H653" t="s">
        <v>89</v>
      </c>
      <c r="I653">
        <v>2030</v>
      </c>
      <c r="J653">
        <v>41.073750000000004</v>
      </c>
      <c r="K653" t="s">
        <v>45</v>
      </c>
    </row>
    <row r="654" spans="1:12" x14ac:dyDescent="0.45">
      <c r="A654" t="s">
        <v>90</v>
      </c>
      <c r="B654" t="s">
        <v>0</v>
      </c>
      <c r="C654" t="s">
        <v>84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2030</v>
      </c>
      <c r="J654">
        <v>2914.9965999999999</v>
      </c>
      <c r="K654" t="s">
        <v>48</v>
      </c>
    </row>
    <row r="655" spans="1:12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2030</v>
      </c>
      <c r="J655">
        <v>3632.3980499999998</v>
      </c>
      <c r="K655" t="s">
        <v>51</v>
      </c>
    </row>
    <row r="656" spans="1:12" x14ac:dyDescent="0.45">
      <c r="A656" t="s">
        <v>90</v>
      </c>
      <c r="B656" t="s">
        <v>0</v>
      </c>
      <c r="C656" t="s">
        <v>84</v>
      </c>
      <c r="D656" t="s">
        <v>24</v>
      </c>
      <c r="E656" t="s">
        <v>25</v>
      </c>
      <c r="F656" t="s">
        <v>24</v>
      </c>
      <c r="G656" t="s">
        <v>26</v>
      </c>
      <c r="H656" t="s">
        <v>13</v>
      </c>
      <c r="I656">
        <v>2030</v>
      </c>
      <c r="J656">
        <v>3.6275500000000003</v>
      </c>
      <c r="K656" t="s">
        <v>24</v>
      </c>
    </row>
    <row r="657" spans="1:12" x14ac:dyDescent="0.45">
      <c r="A657" t="s">
        <v>90</v>
      </c>
      <c r="B657" t="s">
        <v>0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2030</v>
      </c>
      <c r="J657">
        <v>11.264849999999999</v>
      </c>
      <c r="K657" t="s">
        <v>28</v>
      </c>
    </row>
    <row r="658" spans="1:12" x14ac:dyDescent="0.45">
      <c r="A658" t="s">
        <v>90</v>
      </c>
      <c r="B658" t="s">
        <v>0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2030</v>
      </c>
      <c r="J658">
        <v>1.4014</v>
      </c>
      <c r="K658" t="s">
        <v>27</v>
      </c>
    </row>
    <row r="659" spans="1:12" x14ac:dyDescent="0.45">
      <c r="A659" t="s">
        <v>90</v>
      </c>
      <c r="B659" t="s">
        <v>0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2030</v>
      </c>
      <c r="J659">
        <v>5.5946499999999997</v>
      </c>
      <c r="K659" t="s">
        <v>29</v>
      </c>
    </row>
    <row r="660" spans="1:12" x14ac:dyDescent="0.45">
      <c r="A660" t="s">
        <v>90</v>
      </c>
      <c r="B660" t="s">
        <v>0</v>
      </c>
      <c r="C660" t="s">
        <v>84</v>
      </c>
      <c r="D660" t="s">
        <v>33</v>
      </c>
      <c r="E660" t="s">
        <v>30</v>
      </c>
      <c r="F660" t="s">
        <v>33</v>
      </c>
      <c r="G660" t="s">
        <v>31</v>
      </c>
      <c r="H660" t="s">
        <v>34</v>
      </c>
      <c r="I660">
        <v>2030</v>
      </c>
      <c r="J660">
        <v>2.2640500000000001</v>
      </c>
      <c r="K660" t="s">
        <v>33</v>
      </c>
    </row>
    <row r="661" spans="1:12" x14ac:dyDescent="0.45">
      <c r="A661" t="s">
        <v>90</v>
      </c>
      <c r="B661" t="s">
        <v>0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2030</v>
      </c>
      <c r="J661">
        <v>4.6098499999999998</v>
      </c>
      <c r="K661" t="s">
        <v>35</v>
      </c>
    </row>
    <row r="662" spans="1:12" x14ac:dyDescent="0.45">
      <c r="A662" t="s">
        <v>90</v>
      </c>
      <c r="B662" t="s">
        <v>0</v>
      </c>
      <c r="C662" t="s">
        <v>84</v>
      </c>
      <c r="D662" t="s">
        <v>37</v>
      </c>
      <c r="E662" t="s">
        <v>30</v>
      </c>
      <c r="F662" t="s">
        <v>37</v>
      </c>
      <c r="G662" t="s">
        <v>31</v>
      </c>
      <c r="H662" t="s">
        <v>38</v>
      </c>
      <c r="I662">
        <v>2030</v>
      </c>
      <c r="J662">
        <v>96.438600000000008</v>
      </c>
      <c r="K662" t="s">
        <v>37</v>
      </c>
    </row>
    <row r="663" spans="1:12" x14ac:dyDescent="0.45">
      <c r="A663" t="s">
        <v>90</v>
      </c>
      <c r="B663" t="s">
        <v>0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2030</v>
      </c>
      <c r="J663">
        <v>0.96730000000000005</v>
      </c>
      <c r="K663" t="s">
        <v>52</v>
      </c>
      <c r="L663">
        <v>94</v>
      </c>
    </row>
    <row r="664" spans="1:12" x14ac:dyDescent="0.45">
      <c r="A664" t="s">
        <v>90</v>
      </c>
      <c r="B664" t="s">
        <v>0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2030</v>
      </c>
      <c r="J664">
        <v>6.8080999999999996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84</v>
      </c>
      <c r="D665" t="s">
        <v>54</v>
      </c>
      <c r="E665" t="s">
        <v>25</v>
      </c>
      <c r="F665" t="s">
        <v>54</v>
      </c>
      <c r="G665" t="s">
        <v>71</v>
      </c>
      <c r="H665" t="s">
        <v>89</v>
      </c>
      <c r="I665">
        <v>2030</v>
      </c>
      <c r="J665">
        <v>2.7E-2</v>
      </c>
      <c r="K665" t="s">
        <v>54</v>
      </c>
      <c r="L665">
        <v>70</v>
      </c>
    </row>
    <row r="666" spans="1:12" x14ac:dyDescent="0.45">
      <c r="A666" t="s">
        <v>90</v>
      </c>
      <c r="B666" t="s">
        <v>0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2030</v>
      </c>
      <c r="J666">
        <v>0.84894999999999998</v>
      </c>
      <c r="K666" t="s">
        <v>85</v>
      </c>
    </row>
    <row r="667" spans="1:12" x14ac:dyDescent="0.45">
      <c r="A667" t="s">
        <v>90</v>
      </c>
      <c r="B667" t="s">
        <v>0</v>
      </c>
      <c r="C667" t="s">
        <v>84</v>
      </c>
      <c r="D667" t="s">
        <v>45</v>
      </c>
      <c r="E667" t="s">
        <v>46</v>
      </c>
      <c r="F667" t="s">
        <v>45</v>
      </c>
      <c r="G667" t="s">
        <v>47</v>
      </c>
      <c r="H667" t="s">
        <v>89</v>
      </c>
      <c r="I667">
        <v>2035</v>
      </c>
      <c r="J667">
        <v>56.916499999999999</v>
      </c>
      <c r="K667" t="s">
        <v>45</v>
      </c>
    </row>
    <row r="668" spans="1:12" x14ac:dyDescent="0.45">
      <c r="A668" t="s">
        <v>90</v>
      </c>
      <c r="B668" t="s">
        <v>0</v>
      </c>
      <c r="C668" t="s">
        <v>84</v>
      </c>
      <c r="D668" t="s">
        <v>48</v>
      </c>
      <c r="E668" t="s">
        <v>46</v>
      </c>
      <c r="F668" t="s">
        <v>48</v>
      </c>
      <c r="G668" t="s">
        <v>49</v>
      </c>
      <c r="H668" t="s">
        <v>50</v>
      </c>
      <c r="I668">
        <v>2035</v>
      </c>
      <c r="J668">
        <v>2081.6940500000001</v>
      </c>
      <c r="K668" t="s">
        <v>48</v>
      </c>
    </row>
    <row r="669" spans="1:12" x14ac:dyDescent="0.45">
      <c r="A669" t="s">
        <v>90</v>
      </c>
      <c r="B669" t="s">
        <v>0</v>
      </c>
      <c r="C669" t="s">
        <v>84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2035</v>
      </c>
      <c r="J669">
        <v>2857.9033499999996</v>
      </c>
      <c r="K669" t="s">
        <v>51</v>
      </c>
    </row>
    <row r="670" spans="1:12" x14ac:dyDescent="0.45">
      <c r="A670" t="s">
        <v>90</v>
      </c>
      <c r="B670" t="s">
        <v>0</v>
      </c>
      <c r="C670" t="s">
        <v>84</v>
      </c>
      <c r="D670" t="s">
        <v>24</v>
      </c>
      <c r="E670" t="s">
        <v>25</v>
      </c>
      <c r="F670" t="s">
        <v>24</v>
      </c>
      <c r="G670" t="s">
        <v>26</v>
      </c>
      <c r="H670" t="s">
        <v>13</v>
      </c>
      <c r="I670">
        <v>2035</v>
      </c>
      <c r="J670">
        <v>4.0733999999999995</v>
      </c>
      <c r="K670" t="s">
        <v>24</v>
      </c>
    </row>
    <row r="671" spans="1:12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2035</v>
      </c>
      <c r="J671">
        <v>11.76285</v>
      </c>
      <c r="K671" t="s">
        <v>28</v>
      </c>
    </row>
    <row r="672" spans="1:12" x14ac:dyDescent="0.45">
      <c r="A672" t="s">
        <v>90</v>
      </c>
      <c r="B672" t="s">
        <v>0</v>
      </c>
      <c r="C672" t="s">
        <v>84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2035</v>
      </c>
      <c r="J672">
        <v>2.3236499999999998</v>
      </c>
      <c r="K672" t="s">
        <v>27</v>
      </c>
    </row>
    <row r="673" spans="1:12" x14ac:dyDescent="0.45">
      <c r="A673" t="s">
        <v>90</v>
      </c>
      <c r="B673" t="s">
        <v>0</v>
      </c>
      <c r="C673" t="s">
        <v>84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2035</v>
      </c>
      <c r="J673">
        <v>2.1764999999999999</v>
      </c>
      <c r="K673" t="s">
        <v>29</v>
      </c>
    </row>
    <row r="674" spans="1:12" x14ac:dyDescent="0.45">
      <c r="A674" t="s">
        <v>90</v>
      </c>
      <c r="B674" t="s">
        <v>0</v>
      </c>
      <c r="C674" t="s">
        <v>84</v>
      </c>
      <c r="D674" t="s">
        <v>33</v>
      </c>
      <c r="E674" t="s">
        <v>30</v>
      </c>
      <c r="F674" t="s">
        <v>33</v>
      </c>
      <c r="G674" t="s">
        <v>31</v>
      </c>
      <c r="H674" t="s">
        <v>34</v>
      </c>
      <c r="I674">
        <v>2035</v>
      </c>
      <c r="J674">
        <v>2.2969999999999997</v>
      </c>
      <c r="K674" t="s">
        <v>33</v>
      </c>
    </row>
    <row r="675" spans="1:12" x14ac:dyDescent="0.45">
      <c r="A675" t="s">
        <v>90</v>
      </c>
      <c r="B675" t="s">
        <v>0</v>
      </c>
      <c r="C675" t="s">
        <v>84</v>
      </c>
      <c r="D675" t="s">
        <v>35</v>
      </c>
      <c r="E675" t="s">
        <v>30</v>
      </c>
      <c r="F675" t="s">
        <v>35</v>
      </c>
      <c r="G675" t="s">
        <v>31</v>
      </c>
      <c r="H675" t="s">
        <v>36</v>
      </c>
      <c r="I675">
        <v>2035</v>
      </c>
      <c r="J675">
        <v>5.7273500000000004</v>
      </c>
      <c r="K675" t="s">
        <v>35</v>
      </c>
    </row>
    <row r="676" spans="1:12" x14ac:dyDescent="0.45">
      <c r="A676" t="s">
        <v>90</v>
      </c>
      <c r="B676" t="s">
        <v>0</v>
      </c>
      <c r="C676" t="s">
        <v>84</v>
      </c>
      <c r="D676" t="s">
        <v>37</v>
      </c>
      <c r="E676" t="s">
        <v>30</v>
      </c>
      <c r="F676" t="s">
        <v>37</v>
      </c>
      <c r="G676" t="s">
        <v>31</v>
      </c>
      <c r="H676" t="s">
        <v>38</v>
      </c>
      <c r="I676">
        <v>2035</v>
      </c>
      <c r="J676">
        <v>54.075850000000003</v>
      </c>
      <c r="K676" t="s">
        <v>37</v>
      </c>
    </row>
    <row r="677" spans="1:12" x14ac:dyDescent="0.45">
      <c r="A677" t="s">
        <v>90</v>
      </c>
      <c r="B677" t="s">
        <v>0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2035</v>
      </c>
      <c r="J677">
        <v>0.621</v>
      </c>
      <c r="K677" t="s">
        <v>52</v>
      </c>
      <c r="L677">
        <v>94</v>
      </c>
    </row>
    <row r="678" spans="1:12" x14ac:dyDescent="0.45">
      <c r="A678" t="s">
        <v>90</v>
      </c>
      <c r="B678" t="s">
        <v>0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2035</v>
      </c>
      <c r="J678">
        <v>4.8364000000000003</v>
      </c>
      <c r="K678" t="s">
        <v>53</v>
      </c>
      <c r="L678">
        <v>55</v>
      </c>
    </row>
    <row r="679" spans="1:12" x14ac:dyDescent="0.45">
      <c r="A679" t="s">
        <v>90</v>
      </c>
      <c r="B679" t="s">
        <v>0</v>
      </c>
      <c r="C679" t="s">
        <v>84</v>
      </c>
      <c r="D679" t="s">
        <v>54</v>
      </c>
      <c r="E679" t="s">
        <v>25</v>
      </c>
      <c r="F679" t="s">
        <v>54</v>
      </c>
      <c r="G679" t="s">
        <v>71</v>
      </c>
      <c r="H679" t="s">
        <v>89</v>
      </c>
      <c r="I679">
        <v>2035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0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2035</v>
      </c>
      <c r="J680">
        <v>1.1789499999999999</v>
      </c>
      <c r="K680" t="s">
        <v>85</v>
      </c>
    </row>
    <row r="681" spans="1:12" x14ac:dyDescent="0.45">
      <c r="A681" t="s">
        <v>90</v>
      </c>
      <c r="B681" t="s">
        <v>0</v>
      </c>
      <c r="C681" t="s">
        <v>84</v>
      </c>
      <c r="D681" t="s">
        <v>45</v>
      </c>
      <c r="E681" t="s">
        <v>46</v>
      </c>
      <c r="F681" t="s">
        <v>45</v>
      </c>
      <c r="G681" t="s">
        <v>47</v>
      </c>
      <c r="H681" t="s">
        <v>89</v>
      </c>
      <c r="I681">
        <v>2040</v>
      </c>
      <c r="J681">
        <v>340.44650000000001</v>
      </c>
      <c r="K681" t="s">
        <v>45</v>
      </c>
    </row>
    <row r="682" spans="1:12" x14ac:dyDescent="0.45">
      <c r="A682" t="s">
        <v>90</v>
      </c>
      <c r="B682" t="s">
        <v>0</v>
      </c>
      <c r="C682" t="s">
        <v>84</v>
      </c>
      <c r="D682" t="s">
        <v>48</v>
      </c>
      <c r="E682" t="s">
        <v>46</v>
      </c>
      <c r="F682" t="s">
        <v>48</v>
      </c>
      <c r="G682" t="s">
        <v>49</v>
      </c>
      <c r="H682" t="s">
        <v>50</v>
      </c>
      <c r="I682">
        <v>2040</v>
      </c>
      <c r="J682">
        <v>153.9117</v>
      </c>
      <c r="K682" t="s">
        <v>48</v>
      </c>
    </row>
    <row r="683" spans="1:12" x14ac:dyDescent="0.45">
      <c r="A683" t="s">
        <v>90</v>
      </c>
      <c r="B683" t="s">
        <v>0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2040</v>
      </c>
      <c r="J683">
        <v>993.83100000000002</v>
      </c>
      <c r="K683" t="s">
        <v>51</v>
      </c>
    </row>
    <row r="684" spans="1:12" x14ac:dyDescent="0.45">
      <c r="A684" t="s">
        <v>90</v>
      </c>
      <c r="B684" t="s">
        <v>0</v>
      </c>
      <c r="C684" t="s">
        <v>84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2040</v>
      </c>
      <c r="J684">
        <v>5.0272000000000006</v>
      </c>
      <c r="K684" t="s">
        <v>24</v>
      </c>
    </row>
    <row r="685" spans="1:12" x14ac:dyDescent="0.45">
      <c r="A685" t="s">
        <v>90</v>
      </c>
      <c r="B685" t="s">
        <v>0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2040</v>
      </c>
      <c r="J685">
        <v>11.977399999999999</v>
      </c>
      <c r="K685" t="s">
        <v>28</v>
      </c>
    </row>
    <row r="686" spans="1:12" x14ac:dyDescent="0.45">
      <c r="A686" t="s">
        <v>90</v>
      </c>
      <c r="B686" t="s">
        <v>0</v>
      </c>
      <c r="C686" t="s">
        <v>84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2040</v>
      </c>
      <c r="J686">
        <v>2.9717000000000002</v>
      </c>
      <c r="K686" t="s">
        <v>27</v>
      </c>
    </row>
    <row r="687" spans="1:12" x14ac:dyDescent="0.45">
      <c r="A687" t="s">
        <v>90</v>
      </c>
      <c r="B687" t="s">
        <v>0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2040</v>
      </c>
      <c r="J687">
        <v>5.5442</v>
      </c>
      <c r="K687" t="s">
        <v>29</v>
      </c>
    </row>
    <row r="688" spans="1:12" x14ac:dyDescent="0.45">
      <c r="A688" t="s">
        <v>90</v>
      </c>
      <c r="B688" t="s">
        <v>0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2040</v>
      </c>
      <c r="J688">
        <v>1.8371</v>
      </c>
      <c r="K688" t="s">
        <v>33</v>
      </c>
    </row>
    <row r="689" spans="1:12" x14ac:dyDescent="0.45">
      <c r="A689" t="s">
        <v>90</v>
      </c>
      <c r="B689" t="s">
        <v>0</v>
      </c>
      <c r="C689" t="s">
        <v>84</v>
      </c>
      <c r="D689" t="s">
        <v>35</v>
      </c>
      <c r="E689" t="s">
        <v>30</v>
      </c>
      <c r="F689" t="s">
        <v>35</v>
      </c>
      <c r="G689" t="s">
        <v>31</v>
      </c>
      <c r="H689" t="s">
        <v>36</v>
      </c>
      <c r="I689">
        <v>2040</v>
      </c>
      <c r="J689">
        <v>5.2990500000000003</v>
      </c>
      <c r="K689" t="s">
        <v>35</v>
      </c>
    </row>
    <row r="690" spans="1:12" x14ac:dyDescent="0.45">
      <c r="A690" t="s">
        <v>90</v>
      </c>
      <c r="B690" t="s">
        <v>0</v>
      </c>
      <c r="C690" t="s">
        <v>84</v>
      </c>
      <c r="D690" t="s">
        <v>37</v>
      </c>
      <c r="E690" t="s">
        <v>30</v>
      </c>
      <c r="F690" t="s">
        <v>37</v>
      </c>
      <c r="G690" t="s">
        <v>31</v>
      </c>
      <c r="H690" t="s">
        <v>38</v>
      </c>
      <c r="I690">
        <v>2040</v>
      </c>
      <c r="J690">
        <v>108.68989999999999</v>
      </c>
      <c r="K690" t="s">
        <v>37</v>
      </c>
    </row>
    <row r="691" spans="1:12" x14ac:dyDescent="0.45">
      <c r="A691" t="s">
        <v>90</v>
      </c>
      <c r="B691" t="s">
        <v>0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2040</v>
      </c>
      <c r="J691">
        <v>1.1000000000000001E-3</v>
      </c>
      <c r="K691" t="s">
        <v>52</v>
      </c>
      <c r="L691">
        <v>94</v>
      </c>
    </row>
    <row r="692" spans="1:12" x14ac:dyDescent="0.45">
      <c r="A692" t="s">
        <v>90</v>
      </c>
      <c r="B692" t="s">
        <v>0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2040</v>
      </c>
      <c r="J692">
        <v>1.8084</v>
      </c>
      <c r="K692" t="s">
        <v>53</v>
      </c>
      <c r="L692">
        <v>55</v>
      </c>
    </row>
    <row r="693" spans="1:12" x14ac:dyDescent="0.45">
      <c r="A693" t="s">
        <v>90</v>
      </c>
      <c r="B693" t="s">
        <v>0</v>
      </c>
      <c r="C693" t="s">
        <v>84</v>
      </c>
      <c r="D693" t="s">
        <v>54</v>
      </c>
      <c r="E693" t="s">
        <v>25</v>
      </c>
      <c r="F693" t="s">
        <v>54</v>
      </c>
      <c r="G693" t="s">
        <v>71</v>
      </c>
      <c r="H693" t="s">
        <v>89</v>
      </c>
      <c r="I693">
        <v>2040</v>
      </c>
      <c r="J693">
        <v>0</v>
      </c>
      <c r="K693" t="s">
        <v>54</v>
      </c>
      <c r="L693">
        <v>70</v>
      </c>
    </row>
    <row r="694" spans="1:12" x14ac:dyDescent="0.45">
      <c r="A694" t="s">
        <v>90</v>
      </c>
      <c r="B694" t="s">
        <v>0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2040</v>
      </c>
      <c r="J694">
        <v>2.0072000000000001</v>
      </c>
      <c r="K694" t="s">
        <v>85</v>
      </c>
    </row>
    <row r="695" spans="1:12" x14ac:dyDescent="0.45">
      <c r="A695" t="s">
        <v>90</v>
      </c>
      <c r="B695" t="s">
        <v>0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H695" t="s">
        <v>89</v>
      </c>
      <c r="I695">
        <v>2045</v>
      </c>
      <c r="J695">
        <v>608.04195000000004</v>
      </c>
      <c r="K695" t="s">
        <v>45</v>
      </c>
    </row>
    <row r="696" spans="1:12" x14ac:dyDescent="0.45">
      <c r="A696" t="s">
        <v>90</v>
      </c>
      <c r="B696" t="s">
        <v>0</v>
      </c>
      <c r="C696" t="s">
        <v>84</v>
      </c>
      <c r="D696" t="s">
        <v>48</v>
      </c>
      <c r="E696" t="s">
        <v>46</v>
      </c>
      <c r="F696" t="s">
        <v>48</v>
      </c>
      <c r="G696" t="s">
        <v>49</v>
      </c>
      <c r="H696" t="s">
        <v>50</v>
      </c>
      <c r="I696">
        <v>2045</v>
      </c>
      <c r="J696">
        <v>-890.71365000000003</v>
      </c>
      <c r="K696" t="s">
        <v>48</v>
      </c>
    </row>
    <row r="697" spans="1:12" x14ac:dyDescent="0.45">
      <c r="A697" t="s">
        <v>90</v>
      </c>
      <c r="B697" t="s">
        <v>0</v>
      </c>
      <c r="C697" t="s">
        <v>84</v>
      </c>
      <c r="D697" t="s">
        <v>51</v>
      </c>
      <c r="E697" t="s">
        <v>46</v>
      </c>
      <c r="F697" t="s">
        <v>51</v>
      </c>
      <c r="G697" t="s">
        <v>49</v>
      </c>
      <c r="H697" t="s">
        <v>50</v>
      </c>
      <c r="I697">
        <v>2045</v>
      </c>
      <c r="J697">
        <v>-5.3573500000000003</v>
      </c>
      <c r="K697" t="s">
        <v>51</v>
      </c>
    </row>
    <row r="698" spans="1:12" x14ac:dyDescent="0.45">
      <c r="A698" t="s">
        <v>90</v>
      </c>
      <c r="B698" t="s">
        <v>0</v>
      </c>
      <c r="C698" t="s">
        <v>84</v>
      </c>
      <c r="D698" t="s">
        <v>24</v>
      </c>
      <c r="E698" t="s">
        <v>25</v>
      </c>
      <c r="F698" t="s">
        <v>24</v>
      </c>
      <c r="G698" t="s">
        <v>26</v>
      </c>
      <c r="H698" t="s">
        <v>13</v>
      </c>
      <c r="I698">
        <v>2045</v>
      </c>
      <c r="J698">
        <v>5.0395500000000002</v>
      </c>
      <c r="K698" t="s">
        <v>24</v>
      </c>
    </row>
    <row r="699" spans="1:12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2045</v>
      </c>
      <c r="J699">
        <v>13.335049999999999</v>
      </c>
      <c r="K699" t="s">
        <v>28</v>
      </c>
    </row>
    <row r="700" spans="1:12" x14ac:dyDescent="0.45">
      <c r="A700" t="s">
        <v>90</v>
      </c>
      <c r="B700" t="s">
        <v>0</v>
      </c>
      <c r="C700" t="s">
        <v>84</v>
      </c>
      <c r="D700" t="s">
        <v>27</v>
      </c>
      <c r="E700" t="s">
        <v>25</v>
      </c>
      <c r="F700" t="s">
        <v>27</v>
      </c>
      <c r="G700" t="s">
        <v>26</v>
      </c>
      <c r="H700" t="s">
        <v>10</v>
      </c>
      <c r="I700">
        <v>2045</v>
      </c>
      <c r="J700">
        <v>3.3170500000000001</v>
      </c>
      <c r="K700" t="s">
        <v>27</v>
      </c>
    </row>
    <row r="701" spans="1:12" x14ac:dyDescent="0.45">
      <c r="A701" t="s">
        <v>90</v>
      </c>
      <c r="B701" t="s">
        <v>0</v>
      </c>
      <c r="C701" t="s">
        <v>84</v>
      </c>
      <c r="D701" t="s">
        <v>29</v>
      </c>
      <c r="E701" t="s">
        <v>30</v>
      </c>
      <c r="F701" t="s">
        <v>29</v>
      </c>
      <c r="G701" t="s">
        <v>31</v>
      </c>
      <c r="H701" t="s">
        <v>32</v>
      </c>
      <c r="I701">
        <v>2045</v>
      </c>
      <c r="J701">
        <v>9.3986999999999998</v>
      </c>
      <c r="K701" t="s">
        <v>29</v>
      </c>
    </row>
    <row r="702" spans="1:12" x14ac:dyDescent="0.45">
      <c r="A702" t="s">
        <v>90</v>
      </c>
      <c r="B702" t="s">
        <v>0</v>
      </c>
      <c r="C702" t="s">
        <v>84</v>
      </c>
      <c r="D702" t="s">
        <v>33</v>
      </c>
      <c r="E702" t="s">
        <v>30</v>
      </c>
      <c r="F702" t="s">
        <v>33</v>
      </c>
      <c r="G702" t="s">
        <v>31</v>
      </c>
      <c r="H702" t="s">
        <v>34</v>
      </c>
      <c r="I702">
        <v>2045</v>
      </c>
      <c r="J702">
        <v>1.4066000000000001</v>
      </c>
      <c r="K702" t="s">
        <v>33</v>
      </c>
    </row>
    <row r="703" spans="1:12" x14ac:dyDescent="0.45">
      <c r="A703" t="s">
        <v>90</v>
      </c>
      <c r="B703" t="s">
        <v>0</v>
      </c>
      <c r="C703" t="s">
        <v>84</v>
      </c>
      <c r="D703" t="s">
        <v>35</v>
      </c>
      <c r="E703" t="s">
        <v>30</v>
      </c>
      <c r="F703" t="s">
        <v>35</v>
      </c>
      <c r="G703" t="s">
        <v>31</v>
      </c>
      <c r="H703" t="s">
        <v>36</v>
      </c>
      <c r="I703">
        <v>2045</v>
      </c>
      <c r="J703">
        <v>4.7379999999999995</v>
      </c>
      <c r="K703" t="s">
        <v>35</v>
      </c>
    </row>
    <row r="704" spans="1:12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132.29650000000001</v>
      </c>
      <c r="K704" t="s">
        <v>37</v>
      </c>
    </row>
    <row r="705" spans="1:12" x14ac:dyDescent="0.45">
      <c r="A705" t="s">
        <v>90</v>
      </c>
      <c r="B705" t="s">
        <v>0</v>
      </c>
      <c r="C705" t="s">
        <v>84</v>
      </c>
      <c r="D705" t="s">
        <v>52</v>
      </c>
      <c r="E705" t="s">
        <v>25</v>
      </c>
      <c r="F705" t="s">
        <v>52</v>
      </c>
      <c r="G705" t="s">
        <v>71</v>
      </c>
      <c r="H705" t="s">
        <v>89</v>
      </c>
      <c r="I705">
        <v>2045</v>
      </c>
      <c r="J705">
        <v>5.0000000000000001E-4</v>
      </c>
      <c r="K705" t="s">
        <v>52</v>
      </c>
      <c r="L705">
        <v>94</v>
      </c>
    </row>
    <row r="706" spans="1:12" x14ac:dyDescent="0.45">
      <c r="A706" t="s">
        <v>90</v>
      </c>
      <c r="B706" t="s">
        <v>0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2045</v>
      </c>
      <c r="J706">
        <v>4.7800000000000002E-2</v>
      </c>
      <c r="K706" t="s">
        <v>53</v>
      </c>
      <c r="L706">
        <v>55</v>
      </c>
    </row>
    <row r="707" spans="1:12" x14ac:dyDescent="0.45">
      <c r="A707" t="s">
        <v>90</v>
      </c>
      <c r="B707" t="s">
        <v>0</v>
      </c>
      <c r="C707" t="s">
        <v>84</v>
      </c>
      <c r="D707" t="s">
        <v>54</v>
      </c>
      <c r="E707" t="s">
        <v>25</v>
      </c>
      <c r="F707" t="s">
        <v>54</v>
      </c>
      <c r="G707" t="s">
        <v>71</v>
      </c>
      <c r="H707" t="s">
        <v>89</v>
      </c>
      <c r="I707">
        <v>2045</v>
      </c>
      <c r="J707">
        <v>0</v>
      </c>
      <c r="K707" t="s">
        <v>54</v>
      </c>
      <c r="L707">
        <v>70</v>
      </c>
    </row>
    <row r="708" spans="1:12" x14ac:dyDescent="0.45">
      <c r="A708" t="s">
        <v>90</v>
      </c>
      <c r="B708" t="s">
        <v>0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2045</v>
      </c>
      <c r="J708">
        <v>3.9919000000000002</v>
      </c>
      <c r="K708" t="s">
        <v>85</v>
      </c>
    </row>
    <row r="709" spans="1:12" x14ac:dyDescent="0.45">
      <c r="A709" t="s">
        <v>90</v>
      </c>
      <c r="B709" t="s">
        <v>0</v>
      </c>
      <c r="C709" t="s">
        <v>84</v>
      </c>
      <c r="D709" t="s">
        <v>45</v>
      </c>
      <c r="E709" t="s">
        <v>46</v>
      </c>
      <c r="F709" t="s">
        <v>45</v>
      </c>
      <c r="G709" t="s">
        <v>47</v>
      </c>
      <c r="H709" t="s">
        <v>89</v>
      </c>
      <c r="I709">
        <v>2050</v>
      </c>
      <c r="J709">
        <v>700.66560000000004</v>
      </c>
      <c r="K709" t="s">
        <v>45</v>
      </c>
    </row>
    <row r="710" spans="1:12" x14ac:dyDescent="0.45">
      <c r="A710" t="s">
        <v>90</v>
      </c>
      <c r="B710" t="s">
        <v>0</v>
      </c>
      <c r="C710" t="s">
        <v>84</v>
      </c>
      <c r="D710" t="s">
        <v>48</v>
      </c>
      <c r="E710" t="s">
        <v>46</v>
      </c>
      <c r="F710" t="s">
        <v>48</v>
      </c>
      <c r="G710" t="s">
        <v>49</v>
      </c>
      <c r="H710" t="s">
        <v>50</v>
      </c>
      <c r="I710">
        <v>2050</v>
      </c>
      <c r="J710">
        <v>-1253.4927</v>
      </c>
      <c r="K710" t="s">
        <v>48</v>
      </c>
    </row>
    <row r="711" spans="1:12" x14ac:dyDescent="0.45">
      <c r="A711" t="s">
        <v>90</v>
      </c>
      <c r="B711" t="s">
        <v>0</v>
      </c>
      <c r="C711" t="s">
        <v>84</v>
      </c>
      <c r="D711" t="s">
        <v>51</v>
      </c>
      <c r="E711" t="s">
        <v>46</v>
      </c>
      <c r="F711" t="s">
        <v>51</v>
      </c>
      <c r="G711" t="s">
        <v>49</v>
      </c>
      <c r="H711" t="s">
        <v>50</v>
      </c>
      <c r="I711">
        <v>2050</v>
      </c>
      <c r="J711">
        <v>-341.93754999999999</v>
      </c>
      <c r="K711" t="s">
        <v>51</v>
      </c>
    </row>
    <row r="712" spans="1:12" x14ac:dyDescent="0.45">
      <c r="A712" t="s">
        <v>90</v>
      </c>
      <c r="B712" t="s">
        <v>0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2050</v>
      </c>
      <c r="J712">
        <v>4.8654999999999999</v>
      </c>
      <c r="K712" t="s">
        <v>24</v>
      </c>
    </row>
    <row r="713" spans="1:12" x14ac:dyDescent="0.45">
      <c r="A713" t="s">
        <v>90</v>
      </c>
      <c r="B713" t="s">
        <v>0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2050</v>
      </c>
      <c r="J713">
        <v>13.812650000000001</v>
      </c>
      <c r="K713" t="s">
        <v>28</v>
      </c>
    </row>
    <row r="714" spans="1:12" x14ac:dyDescent="0.45">
      <c r="A714" t="s">
        <v>90</v>
      </c>
      <c r="B714" t="s">
        <v>0</v>
      </c>
      <c r="C714" t="s">
        <v>84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2050</v>
      </c>
      <c r="J714">
        <v>3.5781499999999999</v>
      </c>
      <c r="K714" t="s">
        <v>27</v>
      </c>
    </row>
    <row r="715" spans="1:12" x14ac:dyDescent="0.45">
      <c r="A715" t="s">
        <v>90</v>
      </c>
      <c r="B715" t="s">
        <v>0</v>
      </c>
      <c r="C715" t="s">
        <v>84</v>
      </c>
      <c r="D715" t="s">
        <v>29</v>
      </c>
      <c r="E715" t="s">
        <v>30</v>
      </c>
      <c r="F715" t="s">
        <v>29</v>
      </c>
      <c r="G715" t="s">
        <v>31</v>
      </c>
      <c r="H715" t="s">
        <v>32</v>
      </c>
      <c r="I715">
        <v>2050</v>
      </c>
      <c r="J715">
        <v>17.657350000000001</v>
      </c>
      <c r="K715" t="s">
        <v>29</v>
      </c>
    </row>
    <row r="716" spans="1:12" x14ac:dyDescent="0.45">
      <c r="A716" t="s">
        <v>90</v>
      </c>
      <c r="B716" t="s">
        <v>0</v>
      </c>
      <c r="C716" t="s">
        <v>84</v>
      </c>
      <c r="D716" t="s">
        <v>33</v>
      </c>
      <c r="E716" t="s">
        <v>30</v>
      </c>
      <c r="F716" t="s">
        <v>33</v>
      </c>
      <c r="G716" t="s">
        <v>31</v>
      </c>
      <c r="H716" t="s">
        <v>34</v>
      </c>
      <c r="I716">
        <v>2050</v>
      </c>
      <c r="J716">
        <v>1.53165</v>
      </c>
      <c r="K716" t="s">
        <v>33</v>
      </c>
    </row>
    <row r="717" spans="1:12" x14ac:dyDescent="0.45">
      <c r="A717" t="s">
        <v>90</v>
      </c>
      <c r="B717" t="s">
        <v>0</v>
      </c>
      <c r="C717" t="s">
        <v>84</v>
      </c>
      <c r="D717" t="s">
        <v>35</v>
      </c>
      <c r="E717" t="s">
        <v>30</v>
      </c>
      <c r="F717" t="s">
        <v>35</v>
      </c>
      <c r="G717" t="s">
        <v>31</v>
      </c>
      <c r="H717" t="s">
        <v>36</v>
      </c>
      <c r="I717">
        <v>2050</v>
      </c>
      <c r="J717">
        <v>4.1950500000000002</v>
      </c>
      <c r="K717" t="s">
        <v>35</v>
      </c>
    </row>
    <row r="718" spans="1:12" x14ac:dyDescent="0.45">
      <c r="A718" t="s">
        <v>90</v>
      </c>
      <c r="B718" t="s">
        <v>0</v>
      </c>
      <c r="C718" t="s">
        <v>84</v>
      </c>
      <c r="D718" t="s">
        <v>37</v>
      </c>
      <c r="E718" t="s">
        <v>30</v>
      </c>
      <c r="F718" t="s">
        <v>37</v>
      </c>
      <c r="G718" t="s">
        <v>31</v>
      </c>
      <c r="H718" t="s">
        <v>38</v>
      </c>
      <c r="I718">
        <v>2050</v>
      </c>
      <c r="J718">
        <v>129.71885</v>
      </c>
      <c r="K718" t="s">
        <v>37</v>
      </c>
    </row>
    <row r="719" spans="1:12" x14ac:dyDescent="0.45">
      <c r="A719" t="s">
        <v>90</v>
      </c>
      <c r="B719" t="s">
        <v>0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2050</v>
      </c>
      <c r="J719">
        <v>2.0000000000000001E-4</v>
      </c>
      <c r="K719" t="s">
        <v>52</v>
      </c>
      <c r="L719">
        <v>94</v>
      </c>
    </row>
    <row r="720" spans="1:12" x14ac:dyDescent="0.45">
      <c r="A720" t="s">
        <v>90</v>
      </c>
      <c r="B720" t="s">
        <v>0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2050</v>
      </c>
      <c r="J720">
        <v>3.4099999999999998E-2</v>
      </c>
      <c r="K720" t="s">
        <v>53</v>
      </c>
      <c r="L720">
        <v>55</v>
      </c>
    </row>
    <row r="721" spans="1:12" x14ac:dyDescent="0.45">
      <c r="A721" t="s">
        <v>90</v>
      </c>
      <c r="B721" t="s">
        <v>0</v>
      </c>
      <c r="C721" t="s">
        <v>84</v>
      </c>
      <c r="D721" t="s">
        <v>54</v>
      </c>
      <c r="E721" t="s">
        <v>25</v>
      </c>
      <c r="F721" t="s">
        <v>54</v>
      </c>
      <c r="G721" t="s">
        <v>71</v>
      </c>
      <c r="H721" t="s">
        <v>89</v>
      </c>
      <c r="I721">
        <v>2050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0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2050</v>
      </c>
      <c r="J722">
        <v>7.1994999999999996</v>
      </c>
      <c r="K722" t="s">
        <v>85</v>
      </c>
    </row>
    <row r="723" spans="1:12" x14ac:dyDescent="0.45">
      <c r="A723" t="s">
        <v>90</v>
      </c>
      <c r="B723" t="s">
        <v>0</v>
      </c>
      <c r="C723" t="s">
        <v>84</v>
      </c>
      <c r="D723" t="s">
        <v>45</v>
      </c>
      <c r="E723" t="s">
        <v>46</v>
      </c>
      <c r="F723" t="s">
        <v>45</v>
      </c>
      <c r="G723" t="s">
        <v>47</v>
      </c>
      <c r="H723" t="s">
        <v>89</v>
      </c>
      <c r="I723">
        <v>2055</v>
      </c>
      <c r="J723">
        <v>711.17699999999991</v>
      </c>
      <c r="K723" t="s">
        <v>45</v>
      </c>
    </row>
    <row r="724" spans="1:12" x14ac:dyDescent="0.45">
      <c r="A724" t="s">
        <v>90</v>
      </c>
      <c r="B724" t="s">
        <v>0</v>
      </c>
      <c r="C724" t="s">
        <v>84</v>
      </c>
      <c r="D724" t="s">
        <v>48</v>
      </c>
      <c r="E724" t="s">
        <v>46</v>
      </c>
      <c r="F724" t="s">
        <v>48</v>
      </c>
      <c r="G724" t="s">
        <v>49</v>
      </c>
      <c r="H724" t="s">
        <v>50</v>
      </c>
      <c r="I724">
        <v>2055</v>
      </c>
      <c r="J724">
        <v>-1334.4291499999999</v>
      </c>
      <c r="K724" t="s">
        <v>48</v>
      </c>
    </row>
    <row r="725" spans="1:12" x14ac:dyDescent="0.45">
      <c r="A725" t="s">
        <v>90</v>
      </c>
      <c r="B725" t="s">
        <v>0</v>
      </c>
      <c r="C725" t="s">
        <v>84</v>
      </c>
      <c r="D725" t="s">
        <v>51</v>
      </c>
      <c r="E725" t="s">
        <v>46</v>
      </c>
      <c r="F725" t="s">
        <v>51</v>
      </c>
      <c r="G725" t="s">
        <v>49</v>
      </c>
      <c r="H725" t="s">
        <v>50</v>
      </c>
      <c r="I725">
        <v>2055</v>
      </c>
      <c r="J725">
        <v>-425.53424999999999</v>
      </c>
      <c r="K725" t="s">
        <v>51</v>
      </c>
    </row>
    <row r="726" spans="1:12" x14ac:dyDescent="0.45">
      <c r="A726" t="s">
        <v>90</v>
      </c>
      <c r="B726" t="s">
        <v>0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2055</v>
      </c>
      <c r="J726">
        <v>4.5471500000000002</v>
      </c>
      <c r="K726" t="s">
        <v>24</v>
      </c>
    </row>
    <row r="727" spans="1:12" x14ac:dyDescent="0.45">
      <c r="A727" t="s">
        <v>90</v>
      </c>
      <c r="B727" t="s">
        <v>0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2055</v>
      </c>
      <c r="J727">
        <v>12.653</v>
      </c>
      <c r="K727" t="s">
        <v>28</v>
      </c>
    </row>
    <row r="728" spans="1:12" x14ac:dyDescent="0.45">
      <c r="A728" t="s">
        <v>90</v>
      </c>
      <c r="B728" t="s">
        <v>0</v>
      </c>
      <c r="C728" t="s">
        <v>84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2055</v>
      </c>
      <c r="J728">
        <v>3.7424499999999998</v>
      </c>
      <c r="K728" t="s">
        <v>27</v>
      </c>
    </row>
    <row r="729" spans="1:12" x14ac:dyDescent="0.45">
      <c r="A729" t="s">
        <v>90</v>
      </c>
      <c r="B729" t="s">
        <v>0</v>
      </c>
      <c r="C729" t="s">
        <v>84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2055</v>
      </c>
      <c r="J729">
        <v>20.9406</v>
      </c>
      <c r="K729" t="s">
        <v>29</v>
      </c>
    </row>
    <row r="730" spans="1:12" x14ac:dyDescent="0.45">
      <c r="A730" t="s">
        <v>90</v>
      </c>
      <c r="B730" t="s">
        <v>0</v>
      </c>
      <c r="C730" t="s">
        <v>84</v>
      </c>
      <c r="D730" t="s">
        <v>33</v>
      </c>
      <c r="E730" t="s">
        <v>30</v>
      </c>
      <c r="F730" t="s">
        <v>33</v>
      </c>
      <c r="G730" t="s">
        <v>31</v>
      </c>
      <c r="H730" t="s">
        <v>34</v>
      </c>
      <c r="I730">
        <v>2055</v>
      </c>
      <c r="J730">
        <v>1.57935</v>
      </c>
      <c r="K730" t="s">
        <v>33</v>
      </c>
    </row>
    <row r="731" spans="1:12" x14ac:dyDescent="0.45">
      <c r="A731" t="s">
        <v>90</v>
      </c>
      <c r="B731" t="s">
        <v>0</v>
      </c>
      <c r="C731" t="s">
        <v>84</v>
      </c>
      <c r="D731" t="s">
        <v>35</v>
      </c>
      <c r="E731" t="s">
        <v>30</v>
      </c>
      <c r="F731" t="s">
        <v>35</v>
      </c>
      <c r="G731" t="s">
        <v>31</v>
      </c>
      <c r="H731" t="s">
        <v>36</v>
      </c>
      <c r="I731">
        <v>2055</v>
      </c>
      <c r="J731">
        <v>4.3904499999999995</v>
      </c>
      <c r="K731" t="s">
        <v>35</v>
      </c>
    </row>
    <row r="732" spans="1:12" x14ac:dyDescent="0.45">
      <c r="A732" t="s">
        <v>90</v>
      </c>
      <c r="B732" t="s">
        <v>0</v>
      </c>
      <c r="C732" t="s">
        <v>84</v>
      </c>
      <c r="D732" t="s">
        <v>37</v>
      </c>
      <c r="E732" t="s">
        <v>30</v>
      </c>
      <c r="F732" t="s">
        <v>37</v>
      </c>
      <c r="G732" t="s">
        <v>31</v>
      </c>
      <c r="H732" t="s">
        <v>38</v>
      </c>
      <c r="I732">
        <v>2055</v>
      </c>
      <c r="J732">
        <v>137.81555</v>
      </c>
      <c r="K732" t="s">
        <v>37</v>
      </c>
    </row>
    <row r="733" spans="1:12" x14ac:dyDescent="0.45">
      <c r="A733" t="s">
        <v>90</v>
      </c>
      <c r="B733" t="s">
        <v>0</v>
      </c>
      <c r="C733" t="s">
        <v>84</v>
      </c>
      <c r="D733" t="s">
        <v>52</v>
      </c>
      <c r="E733" t="s">
        <v>25</v>
      </c>
      <c r="F733" t="s">
        <v>52</v>
      </c>
      <c r="G733" t="s">
        <v>71</v>
      </c>
      <c r="H733" t="s">
        <v>89</v>
      </c>
      <c r="I733">
        <v>2055</v>
      </c>
      <c r="J733">
        <v>1E-4</v>
      </c>
      <c r="K733" t="s">
        <v>52</v>
      </c>
      <c r="L733">
        <v>94</v>
      </c>
    </row>
    <row r="734" spans="1:12" x14ac:dyDescent="0.45">
      <c r="A734" t="s">
        <v>90</v>
      </c>
      <c r="B734" t="s">
        <v>0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2.0799999999999999E-2</v>
      </c>
      <c r="K734" t="s">
        <v>53</v>
      </c>
      <c r="L734">
        <v>55</v>
      </c>
    </row>
    <row r="735" spans="1:12" x14ac:dyDescent="0.45">
      <c r="A735" t="s">
        <v>90</v>
      </c>
      <c r="B735" t="s">
        <v>0</v>
      </c>
      <c r="C735" t="s">
        <v>84</v>
      </c>
      <c r="D735" t="s">
        <v>54</v>
      </c>
      <c r="E735" t="s">
        <v>25</v>
      </c>
      <c r="F735" t="s">
        <v>54</v>
      </c>
      <c r="G735" t="s">
        <v>71</v>
      </c>
      <c r="H735" t="s">
        <v>89</v>
      </c>
      <c r="I735">
        <v>2055</v>
      </c>
      <c r="J735">
        <v>0</v>
      </c>
      <c r="K735" t="s">
        <v>54</v>
      </c>
      <c r="L735">
        <v>70</v>
      </c>
    </row>
    <row r="736" spans="1:12" x14ac:dyDescent="0.45">
      <c r="A736" t="s">
        <v>90</v>
      </c>
      <c r="B736" t="s">
        <v>0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2055</v>
      </c>
      <c r="J736">
        <v>10.2332</v>
      </c>
      <c r="K736" t="s">
        <v>85</v>
      </c>
    </row>
    <row r="737" spans="1:12" x14ac:dyDescent="0.45">
      <c r="A737" t="s">
        <v>90</v>
      </c>
      <c r="B737" t="s">
        <v>0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2060</v>
      </c>
      <c r="J737">
        <v>687.70894999999996</v>
      </c>
      <c r="K737" t="s">
        <v>45</v>
      </c>
    </row>
    <row r="738" spans="1:12" x14ac:dyDescent="0.45">
      <c r="A738" t="s">
        <v>90</v>
      </c>
      <c r="B738" t="s">
        <v>0</v>
      </c>
      <c r="C738" t="s">
        <v>84</v>
      </c>
      <c r="D738" t="s">
        <v>48</v>
      </c>
      <c r="E738" t="s">
        <v>46</v>
      </c>
      <c r="F738" t="s">
        <v>48</v>
      </c>
      <c r="G738" t="s">
        <v>49</v>
      </c>
      <c r="H738" t="s">
        <v>50</v>
      </c>
      <c r="I738">
        <v>2060</v>
      </c>
      <c r="J738">
        <v>-1477.4032999999999</v>
      </c>
      <c r="K738" t="s">
        <v>48</v>
      </c>
    </row>
    <row r="739" spans="1:12" x14ac:dyDescent="0.45">
      <c r="A739" t="s">
        <v>90</v>
      </c>
      <c r="B739" t="s">
        <v>0</v>
      </c>
      <c r="C739" t="s">
        <v>84</v>
      </c>
      <c r="D739" t="s">
        <v>51</v>
      </c>
      <c r="E739" t="s">
        <v>46</v>
      </c>
      <c r="F739" t="s">
        <v>51</v>
      </c>
      <c r="G739" t="s">
        <v>49</v>
      </c>
      <c r="H739" t="s">
        <v>50</v>
      </c>
      <c r="I739">
        <v>2060</v>
      </c>
      <c r="J739">
        <v>-590.21690000000001</v>
      </c>
      <c r="K739" t="s">
        <v>51</v>
      </c>
    </row>
    <row r="740" spans="1:12" x14ac:dyDescent="0.45">
      <c r="A740" t="s">
        <v>90</v>
      </c>
      <c r="B740" t="s">
        <v>0</v>
      </c>
      <c r="C740" t="s">
        <v>84</v>
      </c>
      <c r="D740" t="s">
        <v>24</v>
      </c>
      <c r="E740" t="s">
        <v>25</v>
      </c>
      <c r="F740" t="s">
        <v>24</v>
      </c>
      <c r="G740" t="s">
        <v>26</v>
      </c>
      <c r="H740" t="s">
        <v>13</v>
      </c>
      <c r="I740">
        <v>2060</v>
      </c>
      <c r="J740">
        <v>4.0819999999999999</v>
      </c>
      <c r="K740" t="s">
        <v>24</v>
      </c>
    </row>
    <row r="741" spans="1:12" x14ac:dyDescent="0.45">
      <c r="A741" t="s">
        <v>90</v>
      </c>
      <c r="B741" t="s">
        <v>0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2060</v>
      </c>
      <c r="J741">
        <v>12.573250000000002</v>
      </c>
      <c r="K741" t="s">
        <v>28</v>
      </c>
    </row>
    <row r="742" spans="1:12" x14ac:dyDescent="0.45">
      <c r="A742" t="s">
        <v>90</v>
      </c>
      <c r="B742" t="s">
        <v>0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2060</v>
      </c>
      <c r="J742">
        <v>3.9017499999999998</v>
      </c>
      <c r="K742" t="s">
        <v>27</v>
      </c>
    </row>
    <row r="743" spans="1:12" x14ac:dyDescent="0.45">
      <c r="A743" t="s">
        <v>90</v>
      </c>
      <c r="B743" t="s">
        <v>0</v>
      </c>
      <c r="C743" t="s">
        <v>84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2060</v>
      </c>
      <c r="J743">
        <v>28.955849999999998</v>
      </c>
      <c r="K743" t="s">
        <v>29</v>
      </c>
    </row>
    <row r="744" spans="1:12" x14ac:dyDescent="0.45">
      <c r="A744" t="s">
        <v>90</v>
      </c>
      <c r="B744" t="s">
        <v>0</v>
      </c>
      <c r="C744" t="s">
        <v>84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2060</v>
      </c>
      <c r="J744">
        <v>2.1811500000000001</v>
      </c>
      <c r="K744" t="s">
        <v>33</v>
      </c>
    </row>
    <row r="745" spans="1:12" x14ac:dyDescent="0.45">
      <c r="A745" t="s">
        <v>90</v>
      </c>
      <c r="B745" t="s">
        <v>0</v>
      </c>
      <c r="C745" t="s">
        <v>84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2060</v>
      </c>
      <c r="J745">
        <v>5.1861999999999995</v>
      </c>
      <c r="K745" t="s">
        <v>35</v>
      </c>
    </row>
    <row r="746" spans="1:12" x14ac:dyDescent="0.45">
      <c r="A746" t="s">
        <v>90</v>
      </c>
      <c r="B746" t="s">
        <v>0</v>
      </c>
      <c r="C746" t="s">
        <v>84</v>
      </c>
      <c r="D746" t="s">
        <v>37</v>
      </c>
      <c r="E746" t="s">
        <v>30</v>
      </c>
      <c r="F746" t="s">
        <v>37</v>
      </c>
      <c r="G746" t="s">
        <v>31</v>
      </c>
      <c r="H746" t="s">
        <v>38</v>
      </c>
      <c r="I746">
        <v>2060</v>
      </c>
      <c r="J746">
        <v>214.59870000000001</v>
      </c>
      <c r="K746" t="s">
        <v>37</v>
      </c>
    </row>
    <row r="747" spans="1:12" x14ac:dyDescent="0.45">
      <c r="A747" t="s">
        <v>90</v>
      </c>
      <c r="B747" t="s">
        <v>0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2060</v>
      </c>
      <c r="J747">
        <v>0</v>
      </c>
      <c r="K747" t="s">
        <v>52</v>
      </c>
      <c r="L747">
        <v>94</v>
      </c>
    </row>
    <row r="748" spans="1:12" x14ac:dyDescent="0.45">
      <c r="A748" t="s">
        <v>90</v>
      </c>
      <c r="B748" t="s">
        <v>0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2060</v>
      </c>
      <c r="J748">
        <v>8.7999999999999988E-3</v>
      </c>
      <c r="K748" t="s">
        <v>53</v>
      </c>
      <c r="L748">
        <v>55</v>
      </c>
    </row>
    <row r="749" spans="1:12" x14ac:dyDescent="0.45">
      <c r="A749" t="s">
        <v>90</v>
      </c>
      <c r="B749" t="s">
        <v>0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2060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0</v>
      </c>
      <c r="C750" t="s">
        <v>84</v>
      </c>
      <c r="D750" t="s">
        <v>85</v>
      </c>
      <c r="E750" t="s">
        <v>25</v>
      </c>
      <c r="F750" t="s">
        <v>85</v>
      </c>
      <c r="G750" t="s">
        <v>26</v>
      </c>
      <c r="H750" t="s">
        <v>82</v>
      </c>
      <c r="I750">
        <v>2060</v>
      </c>
      <c r="J750">
        <v>13.4748</v>
      </c>
      <c r="K750" t="s">
        <v>85</v>
      </c>
    </row>
    <row r="751" spans="1:12" x14ac:dyDescent="0.45">
      <c r="A751" t="s">
        <v>90</v>
      </c>
      <c r="B751" t="s">
        <v>0</v>
      </c>
      <c r="C751" t="s">
        <v>84</v>
      </c>
      <c r="D751" t="s">
        <v>45</v>
      </c>
      <c r="E751" t="s">
        <v>46</v>
      </c>
      <c r="F751" t="s">
        <v>45</v>
      </c>
      <c r="G751" t="s">
        <v>47</v>
      </c>
      <c r="H751" t="s">
        <v>89</v>
      </c>
      <c r="I751">
        <v>2065</v>
      </c>
      <c r="J751">
        <v>652.00030000000004</v>
      </c>
      <c r="K751" t="s">
        <v>45</v>
      </c>
    </row>
    <row r="752" spans="1:12" x14ac:dyDescent="0.45">
      <c r="A752" t="s">
        <v>90</v>
      </c>
      <c r="B752" t="s">
        <v>0</v>
      </c>
      <c r="C752" t="s">
        <v>84</v>
      </c>
      <c r="D752" t="s">
        <v>48</v>
      </c>
      <c r="E752" t="s">
        <v>46</v>
      </c>
      <c r="F752" t="s">
        <v>48</v>
      </c>
      <c r="G752" t="s">
        <v>49</v>
      </c>
      <c r="H752" t="s">
        <v>50</v>
      </c>
      <c r="I752">
        <v>2065</v>
      </c>
      <c r="J752">
        <v>-1483.3557499999999</v>
      </c>
      <c r="K752" t="s">
        <v>48</v>
      </c>
    </row>
    <row r="753" spans="1:12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2065</v>
      </c>
      <c r="J753">
        <v>-602.39184999999998</v>
      </c>
      <c r="K753" t="s">
        <v>51</v>
      </c>
    </row>
    <row r="754" spans="1:12" x14ac:dyDescent="0.45">
      <c r="A754" t="s">
        <v>90</v>
      </c>
      <c r="B754" t="s">
        <v>0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2065</v>
      </c>
      <c r="J754">
        <v>3.9368499999999997</v>
      </c>
      <c r="K754" t="s">
        <v>24</v>
      </c>
    </row>
    <row r="755" spans="1:12" x14ac:dyDescent="0.45">
      <c r="A755" t="s">
        <v>90</v>
      </c>
      <c r="B755" t="s">
        <v>0</v>
      </c>
      <c r="C755" t="s">
        <v>84</v>
      </c>
      <c r="D755" t="s">
        <v>28</v>
      </c>
      <c r="E755" t="s">
        <v>25</v>
      </c>
      <c r="F755" t="s">
        <v>28</v>
      </c>
      <c r="G755" t="s">
        <v>26</v>
      </c>
      <c r="H755" t="s">
        <v>12</v>
      </c>
      <c r="I755">
        <v>2065</v>
      </c>
      <c r="J755">
        <v>12.522500000000001</v>
      </c>
      <c r="K755" t="s">
        <v>28</v>
      </c>
    </row>
    <row r="756" spans="1:12" x14ac:dyDescent="0.45">
      <c r="A756" t="s">
        <v>90</v>
      </c>
      <c r="B756" t="s">
        <v>0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2065</v>
      </c>
      <c r="J756">
        <v>4.0325499999999996</v>
      </c>
      <c r="K756" t="s">
        <v>27</v>
      </c>
    </row>
    <row r="757" spans="1:12" x14ac:dyDescent="0.45">
      <c r="A757" t="s">
        <v>90</v>
      </c>
      <c r="B757" t="s">
        <v>0</v>
      </c>
      <c r="C757" t="s">
        <v>84</v>
      </c>
      <c r="D757" t="s">
        <v>29</v>
      </c>
      <c r="E757" t="s">
        <v>30</v>
      </c>
      <c r="F757" t="s">
        <v>29</v>
      </c>
      <c r="G757" t="s">
        <v>31</v>
      </c>
      <c r="H757" t="s">
        <v>32</v>
      </c>
      <c r="I757">
        <v>2065</v>
      </c>
      <c r="J757">
        <v>25.764299999999999</v>
      </c>
      <c r="K757" t="s">
        <v>29</v>
      </c>
    </row>
    <row r="758" spans="1:12" x14ac:dyDescent="0.45">
      <c r="A758" t="s">
        <v>90</v>
      </c>
      <c r="B758" t="s">
        <v>0</v>
      </c>
      <c r="C758" t="s">
        <v>84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2065</v>
      </c>
      <c r="J758">
        <v>2.1503000000000001</v>
      </c>
      <c r="K758" t="s">
        <v>33</v>
      </c>
    </row>
    <row r="759" spans="1:12" x14ac:dyDescent="0.45">
      <c r="A759" t="s">
        <v>90</v>
      </c>
      <c r="B759" t="s">
        <v>0</v>
      </c>
      <c r="C759" t="s">
        <v>84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2065</v>
      </c>
      <c r="J759">
        <v>5.0748999999999995</v>
      </c>
      <c r="K759" t="s">
        <v>35</v>
      </c>
    </row>
    <row r="760" spans="1:12" x14ac:dyDescent="0.45">
      <c r="A760" t="s">
        <v>90</v>
      </c>
      <c r="B760" t="s">
        <v>0</v>
      </c>
      <c r="C760" t="s">
        <v>84</v>
      </c>
      <c r="D760" t="s">
        <v>37</v>
      </c>
      <c r="E760" t="s">
        <v>30</v>
      </c>
      <c r="F760" t="s">
        <v>37</v>
      </c>
      <c r="G760" t="s">
        <v>31</v>
      </c>
      <c r="H760" t="s">
        <v>38</v>
      </c>
      <c r="I760">
        <v>2065</v>
      </c>
      <c r="J760">
        <v>294.41639999999995</v>
      </c>
      <c r="K760" t="s">
        <v>37</v>
      </c>
    </row>
    <row r="761" spans="1:12" x14ac:dyDescent="0.45">
      <c r="A761" t="s">
        <v>90</v>
      </c>
      <c r="B761" t="s">
        <v>0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2065</v>
      </c>
      <c r="J761">
        <v>0</v>
      </c>
      <c r="K761" t="s">
        <v>52</v>
      </c>
      <c r="L761">
        <v>94</v>
      </c>
    </row>
    <row r="762" spans="1:12" x14ac:dyDescent="0.45">
      <c r="A762" t="s">
        <v>90</v>
      </c>
      <c r="B762" t="s">
        <v>0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2065</v>
      </c>
      <c r="J762">
        <v>4.45E-3</v>
      </c>
      <c r="K762" t="s">
        <v>53</v>
      </c>
      <c r="L762">
        <v>55</v>
      </c>
    </row>
    <row r="763" spans="1:12" x14ac:dyDescent="0.45">
      <c r="A763" t="s">
        <v>90</v>
      </c>
      <c r="B763" t="s">
        <v>0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2065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0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2065</v>
      </c>
      <c r="J764">
        <v>13.98915</v>
      </c>
      <c r="K764" t="s">
        <v>85</v>
      </c>
    </row>
    <row r="765" spans="1:12" x14ac:dyDescent="0.45">
      <c r="A765" t="s">
        <v>90</v>
      </c>
      <c r="B765" t="s">
        <v>0</v>
      </c>
      <c r="C765" t="s">
        <v>84</v>
      </c>
      <c r="D765" t="s">
        <v>45</v>
      </c>
      <c r="E765" t="s">
        <v>46</v>
      </c>
      <c r="F765" t="s">
        <v>45</v>
      </c>
      <c r="G765" t="s">
        <v>47</v>
      </c>
      <c r="H765" t="s">
        <v>89</v>
      </c>
      <c r="I765">
        <v>2070</v>
      </c>
      <c r="J765">
        <v>616.29160000000002</v>
      </c>
      <c r="K765" t="s">
        <v>45</v>
      </c>
    </row>
    <row r="766" spans="1:12" x14ac:dyDescent="0.45">
      <c r="A766" t="s">
        <v>90</v>
      </c>
      <c r="B766" t="s">
        <v>0</v>
      </c>
      <c r="C766" t="s">
        <v>84</v>
      </c>
      <c r="D766" t="s">
        <v>48</v>
      </c>
      <c r="E766" t="s">
        <v>46</v>
      </c>
      <c r="F766" t="s">
        <v>48</v>
      </c>
      <c r="G766" t="s">
        <v>49</v>
      </c>
      <c r="H766" t="s">
        <v>50</v>
      </c>
      <c r="I766">
        <v>2070</v>
      </c>
      <c r="J766">
        <v>-1489.3081999999999</v>
      </c>
      <c r="K766" t="s">
        <v>48</v>
      </c>
    </row>
    <row r="767" spans="1:12" x14ac:dyDescent="0.45">
      <c r="A767" t="s">
        <v>90</v>
      </c>
      <c r="B767" t="s">
        <v>0</v>
      </c>
      <c r="C767" t="s">
        <v>84</v>
      </c>
      <c r="D767" t="s">
        <v>51</v>
      </c>
      <c r="E767" t="s">
        <v>46</v>
      </c>
      <c r="F767" t="s">
        <v>51</v>
      </c>
      <c r="G767" t="s">
        <v>49</v>
      </c>
      <c r="H767" t="s">
        <v>50</v>
      </c>
      <c r="I767">
        <v>2070</v>
      </c>
      <c r="J767">
        <v>-614.56680000000006</v>
      </c>
      <c r="K767" t="s">
        <v>51</v>
      </c>
    </row>
    <row r="768" spans="1:12" x14ac:dyDescent="0.45">
      <c r="A768" t="s">
        <v>90</v>
      </c>
      <c r="B768" t="s">
        <v>0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2070</v>
      </c>
      <c r="J768">
        <v>3.7917500000000004</v>
      </c>
      <c r="K768" t="s">
        <v>24</v>
      </c>
    </row>
    <row r="769" spans="1:12" x14ac:dyDescent="0.45">
      <c r="A769" t="s">
        <v>90</v>
      </c>
      <c r="B769" t="s">
        <v>0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2070</v>
      </c>
      <c r="J769">
        <v>12.47175</v>
      </c>
      <c r="K769" t="s">
        <v>28</v>
      </c>
    </row>
    <row r="770" spans="1:12" x14ac:dyDescent="0.45">
      <c r="A770" t="s">
        <v>90</v>
      </c>
      <c r="B770" t="s">
        <v>0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2070</v>
      </c>
      <c r="J770">
        <v>4.1632999999999996</v>
      </c>
      <c r="K770" t="s">
        <v>27</v>
      </c>
    </row>
    <row r="771" spans="1:12" x14ac:dyDescent="0.45">
      <c r="A771" t="s">
        <v>90</v>
      </c>
      <c r="B771" t="s">
        <v>0</v>
      </c>
      <c r="C771" t="s">
        <v>84</v>
      </c>
      <c r="D771" t="s">
        <v>29</v>
      </c>
      <c r="E771" t="s">
        <v>30</v>
      </c>
      <c r="F771" t="s">
        <v>29</v>
      </c>
      <c r="G771" t="s">
        <v>31</v>
      </c>
      <c r="H771" t="s">
        <v>32</v>
      </c>
      <c r="I771">
        <v>2070</v>
      </c>
      <c r="J771">
        <v>22.572700000000001</v>
      </c>
      <c r="K771" t="s">
        <v>29</v>
      </c>
    </row>
    <row r="772" spans="1:12" x14ac:dyDescent="0.45">
      <c r="A772" t="s">
        <v>90</v>
      </c>
      <c r="B772" t="s">
        <v>0</v>
      </c>
      <c r="C772" t="s">
        <v>84</v>
      </c>
      <c r="D772" t="s">
        <v>33</v>
      </c>
      <c r="E772" t="s">
        <v>30</v>
      </c>
      <c r="F772" t="s">
        <v>33</v>
      </c>
      <c r="G772" t="s">
        <v>31</v>
      </c>
      <c r="H772" t="s">
        <v>34</v>
      </c>
      <c r="I772">
        <v>2070</v>
      </c>
      <c r="J772">
        <v>2.1193999999999997</v>
      </c>
      <c r="K772" t="s">
        <v>33</v>
      </c>
    </row>
    <row r="773" spans="1:12" x14ac:dyDescent="0.45">
      <c r="A773" t="s">
        <v>90</v>
      </c>
      <c r="B773" t="s">
        <v>0</v>
      </c>
      <c r="C773" t="s">
        <v>84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2070</v>
      </c>
      <c r="J773">
        <v>4.9635999999999996</v>
      </c>
      <c r="K773" t="s">
        <v>35</v>
      </c>
    </row>
    <row r="774" spans="1:12" x14ac:dyDescent="0.45">
      <c r="A774" t="s">
        <v>90</v>
      </c>
      <c r="B774" t="s">
        <v>0</v>
      </c>
      <c r="C774" t="s">
        <v>84</v>
      </c>
      <c r="D774" t="s">
        <v>37</v>
      </c>
      <c r="E774" t="s">
        <v>30</v>
      </c>
      <c r="F774" t="s">
        <v>37</v>
      </c>
      <c r="G774" t="s">
        <v>31</v>
      </c>
      <c r="H774" t="s">
        <v>38</v>
      </c>
      <c r="I774">
        <v>2070</v>
      </c>
      <c r="J774">
        <v>374.23405000000002</v>
      </c>
      <c r="K774" t="s">
        <v>37</v>
      </c>
    </row>
    <row r="775" spans="1:12" x14ac:dyDescent="0.45">
      <c r="A775" t="s">
        <v>90</v>
      </c>
      <c r="B775" t="s">
        <v>0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2070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0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2070</v>
      </c>
      <c r="J776">
        <v>1E-4</v>
      </c>
      <c r="K776" t="s">
        <v>53</v>
      </c>
      <c r="L776">
        <v>55</v>
      </c>
    </row>
    <row r="777" spans="1:12" x14ac:dyDescent="0.45">
      <c r="A777" t="s">
        <v>90</v>
      </c>
      <c r="B777" t="s">
        <v>0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2070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85</v>
      </c>
      <c r="E778" t="s">
        <v>25</v>
      </c>
      <c r="F778" t="s">
        <v>85</v>
      </c>
      <c r="G778" t="s">
        <v>26</v>
      </c>
      <c r="H778" t="s">
        <v>82</v>
      </c>
      <c r="I778">
        <v>2070</v>
      </c>
      <c r="J778">
        <v>14.503550000000001</v>
      </c>
      <c r="K778" t="s">
        <v>85</v>
      </c>
    </row>
    <row r="779" spans="1:12" x14ac:dyDescent="0.45">
      <c r="A779" t="s">
        <v>90</v>
      </c>
      <c r="B779" t="s">
        <v>0</v>
      </c>
      <c r="C779" t="s">
        <v>84</v>
      </c>
      <c r="D779" t="s">
        <v>45</v>
      </c>
      <c r="E779" t="s">
        <v>46</v>
      </c>
      <c r="F779" t="s">
        <v>45</v>
      </c>
      <c r="G779" t="s">
        <v>47</v>
      </c>
      <c r="H779" t="s">
        <v>89</v>
      </c>
      <c r="I779">
        <v>2075</v>
      </c>
      <c r="J779">
        <v>522.06635000000006</v>
      </c>
      <c r="K779" t="s">
        <v>45</v>
      </c>
    </row>
    <row r="780" spans="1:12" x14ac:dyDescent="0.45">
      <c r="A780" t="s">
        <v>90</v>
      </c>
      <c r="B780" t="s">
        <v>0</v>
      </c>
      <c r="C780" t="s">
        <v>84</v>
      </c>
      <c r="D780" t="s">
        <v>48</v>
      </c>
      <c r="E780" t="s">
        <v>46</v>
      </c>
      <c r="F780" t="s">
        <v>48</v>
      </c>
      <c r="G780" t="s">
        <v>49</v>
      </c>
      <c r="H780" t="s">
        <v>50</v>
      </c>
      <c r="I780">
        <v>2075</v>
      </c>
      <c r="J780">
        <v>-1405.4004</v>
      </c>
      <c r="K780" t="s">
        <v>48</v>
      </c>
    </row>
    <row r="781" spans="1:12" x14ac:dyDescent="0.45">
      <c r="A781" t="s">
        <v>90</v>
      </c>
      <c r="B781" t="s">
        <v>0</v>
      </c>
      <c r="C781" t="s">
        <v>84</v>
      </c>
      <c r="D781" t="s">
        <v>51</v>
      </c>
      <c r="E781" t="s">
        <v>46</v>
      </c>
      <c r="F781" t="s">
        <v>51</v>
      </c>
      <c r="G781" t="s">
        <v>49</v>
      </c>
      <c r="H781" t="s">
        <v>50</v>
      </c>
      <c r="I781">
        <v>2075</v>
      </c>
      <c r="J781">
        <v>-529.83439999999996</v>
      </c>
      <c r="K781" t="s">
        <v>51</v>
      </c>
    </row>
    <row r="782" spans="1:12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2075</v>
      </c>
      <c r="J782">
        <v>3.6660000000000004</v>
      </c>
      <c r="K782" t="s">
        <v>24</v>
      </c>
    </row>
    <row r="783" spans="1:12" x14ac:dyDescent="0.45">
      <c r="A783" t="s">
        <v>90</v>
      </c>
      <c r="B783" t="s">
        <v>0</v>
      </c>
      <c r="C783" t="s">
        <v>84</v>
      </c>
      <c r="D783" t="s">
        <v>28</v>
      </c>
      <c r="E783" t="s">
        <v>25</v>
      </c>
      <c r="F783" t="s">
        <v>28</v>
      </c>
      <c r="G783" t="s">
        <v>26</v>
      </c>
      <c r="H783" t="s">
        <v>12</v>
      </c>
      <c r="I783">
        <v>2075</v>
      </c>
      <c r="J783">
        <v>12.7212</v>
      </c>
      <c r="K783" t="s">
        <v>28</v>
      </c>
    </row>
    <row r="784" spans="1:12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2075</v>
      </c>
      <c r="J784">
        <v>4.2818500000000004</v>
      </c>
      <c r="K784" t="s">
        <v>27</v>
      </c>
    </row>
    <row r="785" spans="1:12" x14ac:dyDescent="0.45">
      <c r="A785" t="s">
        <v>90</v>
      </c>
      <c r="B785" t="s">
        <v>0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2075</v>
      </c>
      <c r="J785">
        <v>23.83595</v>
      </c>
      <c r="K785" t="s">
        <v>29</v>
      </c>
    </row>
    <row r="786" spans="1:12" x14ac:dyDescent="0.45">
      <c r="A786" t="s">
        <v>90</v>
      </c>
      <c r="B786" t="s">
        <v>0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2075</v>
      </c>
      <c r="J786">
        <v>2.0685000000000002</v>
      </c>
      <c r="K786" t="s">
        <v>33</v>
      </c>
    </row>
    <row r="787" spans="1:12" x14ac:dyDescent="0.45">
      <c r="A787" t="s">
        <v>90</v>
      </c>
      <c r="B787" t="s">
        <v>0</v>
      </c>
      <c r="C787" t="s">
        <v>84</v>
      </c>
      <c r="D787" t="s">
        <v>35</v>
      </c>
      <c r="E787" t="s">
        <v>30</v>
      </c>
      <c r="F787" t="s">
        <v>35</v>
      </c>
      <c r="G787" t="s">
        <v>31</v>
      </c>
      <c r="H787" t="s">
        <v>36</v>
      </c>
      <c r="I787">
        <v>2075</v>
      </c>
      <c r="J787">
        <v>5.0854999999999997</v>
      </c>
      <c r="K787" t="s">
        <v>35</v>
      </c>
    </row>
    <row r="788" spans="1:12" x14ac:dyDescent="0.45">
      <c r="A788" t="s">
        <v>90</v>
      </c>
      <c r="B788" t="s">
        <v>0</v>
      </c>
      <c r="C788" t="s">
        <v>84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2075</v>
      </c>
      <c r="J788">
        <v>389.82595000000003</v>
      </c>
      <c r="K788" t="s">
        <v>37</v>
      </c>
    </row>
    <row r="789" spans="1:12" x14ac:dyDescent="0.45">
      <c r="A789" t="s">
        <v>90</v>
      </c>
      <c r="B789" t="s">
        <v>0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0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H790" t="s">
        <v>89</v>
      </c>
      <c r="I790">
        <v>2075</v>
      </c>
      <c r="J790">
        <v>0</v>
      </c>
      <c r="K790" t="s">
        <v>53</v>
      </c>
      <c r="L790">
        <v>55</v>
      </c>
    </row>
    <row r="791" spans="1:12" x14ac:dyDescent="0.45">
      <c r="A791" t="s">
        <v>90</v>
      </c>
      <c r="B791" t="s">
        <v>0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2075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85</v>
      </c>
      <c r="E792" t="s">
        <v>25</v>
      </c>
      <c r="F792" t="s">
        <v>85</v>
      </c>
      <c r="G792" t="s">
        <v>26</v>
      </c>
      <c r="H792" t="s">
        <v>82</v>
      </c>
      <c r="I792">
        <v>2075</v>
      </c>
      <c r="J792">
        <v>14.6403</v>
      </c>
      <c r="K792" t="s">
        <v>85</v>
      </c>
    </row>
    <row r="793" spans="1:12" x14ac:dyDescent="0.45">
      <c r="A793" t="s">
        <v>90</v>
      </c>
      <c r="B793" t="s">
        <v>0</v>
      </c>
      <c r="C793" t="s">
        <v>84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2080</v>
      </c>
      <c r="J793">
        <v>427.84105</v>
      </c>
      <c r="K793" t="s">
        <v>45</v>
      </c>
    </row>
    <row r="794" spans="1:12" x14ac:dyDescent="0.45">
      <c r="A794" t="s">
        <v>90</v>
      </c>
      <c r="B794" t="s">
        <v>0</v>
      </c>
      <c r="C794" t="s">
        <v>84</v>
      </c>
      <c r="D794" t="s">
        <v>48</v>
      </c>
      <c r="E794" t="s">
        <v>46</v>
      </c>
      <c r="F794" t="s">
        <v>48</v>
      </c>
      <c r="G794" t="s">
        <v>49</v>
      </c>
      <c r="H794" t="s">
        <v>50</v>
      </c>
      <c r="I794">
        <v>2080</v>
      </c>
      <c r="J794">
        <v>-1321.4926499999999</v>
      </c>
      <c r="K794" t="s">
        <v>48</v>
      </c>
    </row>
    <row r="795" spans="1:12" x14ac:dyDescent="0.45">
      <c r="A795" t="s">
        <v>90</v>
      </c>
      <c r="B795" t="s">
        <v>0</v>
      </c>
      <c r="C795" t="s">
        <v>84</v>
      </c>
      <c r="D795" t="s">
        <v>51</v>
      </c>
      <c r="E795" t="s">
        <v>46</v>
      </c>
      <c r="F795" t="s">
        <v>51</v>
      </c>
      <c r="G795" t="s">
        <v>49</v>
      </c>
      <c r="H795" t="s">
        <v>50</v>
      </c>
      <c r="I795">
        <v>2080</v>
      </c>
      <c r="J795">
        <v>-445.10199999999998</v>
      </c>
      <c r="K795" t="s">
        <v>51</v>
      </c>
    </row>
    <row r="796" spans="1:12" x14ac:dyDescent="0.45">
      <c r="A796" t="s">
        <v>90</v>
      </c>
      <c r="B796" t="s">
        <v>0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2080</v>
      </c>
      <c r="J796">
        <v>3.5403500000000001</v>
      </c>
      <c r="K796" t="s">
        <v>24</v>
      </c>
    </row>
    <row r="797" spans="1:12" x14ac:dyDescent="0.45">
      <c r="A797" t="s">
        <v>90</v>
      </c>
      <c r="B797" t="s">
        <v>0</v>
      </c>
      <c r="C797" t="s">
        <v>84</v>
      </c>
      <c r="D797" t="s">
        <v>28</v>
      </c>
      <c r="E797" t="s">
        <v>25</v>
      </c>
      <c r="F797" t="s">
        <v>28</v>
      </c>
      <c r="G797" t="s">
        <v>26</v>
      </c>
      <c r="H797" t="s">
        <v>12</v>
      </c>
      <c r="I797">
        <v>2080</v>
      </c>
      <c r="J797">
        <v>12.970700000000001</v>
      </c>
      <c r="K797" t="s">
        <v>28</v>
      </c>
    </row>
    <row r="798" spans="1:12" x14ac:dyDescent="0.45">
      <c r="A798" t="s">
        <v>90</v>
      </c>
      <c r="B798" t="s">
        <v>0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2080</v>
      </c>
      <c r="J798">
        <v>4.4003499999999995</v>
      </c>
      <c r="K798" t="s">
        <v>27</v>
      </c>
    </row>
    <row r="799" spans="1:12" x14ac:dyDescent="0.45">
      <c r="A799" t="s">
        <v>90</v>
      </c>
      <c r="B799" t="s">
        <v>0</v>
      </c>
      <c r="C799" t="s">
        <v>84</v>
      </c>
      <c r="D799" t="s">
        <v>29</v>
      </c>
      <c r="E799" t="s">
        <v>30</v>
      </c>
      <c r="F799" t="s">
        <v>29</v>
      </c>
      <c r="G799" t="s">
        <v>31</v>
      </c>
      <c r="H799" t="s">
        <v>32</v>
      </c>
      <c r="I799">
        <v>2080</v>
      </c>
      <c r="J799">
        <v>25.099249999999998</v>
      </c>
      <c r="K799" t="s">
        <v>29</v>
      </c>
    </row>
    <row r="800" spans="1:12" x14ac:dyDescent="0.45">
      <c r="A800" t="s">
        <v>90</v>
      </c>
      <c r="B800" t="s">
        <v>0</v>
      </c>
      <c r="C800" t="s">
        <v>84</v>
      </c>
      <c r="D800" t="s">
        <v>33</v>
      </c>
      <c r="E800" t="s">
        <v>30</v>
      </c>
      <c r="F800" t="s">
        <v>33</v>
      </c>
      <c r="G800" t="s">
        <v>31</v>
      </c>
      <c r="H800" t="s">
        <v>34</v>
      </c>
      <c r="I800">
        <v>2080</v>
      </c>
      <c r="J800">
        <v>2.0176500000000002</v>
      </c>
      <c r="K800" t="s">
        <v>33</v>
      </c>
    </row>
    <row r="801" spans="1:12" x14ac:dyDescent="0.45">
      <c r="A801" t="s">
        <v>90</v>
      </c>
      <c r="B801" t="s">
        <v>0</v>
      </c>
      <c r="C801" t="s">
        <v>84</v>
      </c>
      <c r="D801" t="s">
        <v>35</v>
      </c>
      <c r="E801" t="s">
        <v>30</v>
      </c>
      <c r="F801" t="s">
        <v>35</v>
      </c>
      <c r="G801" t="s">
        <v>31</v>
      </c>
      <c r="H801" t="s">
        <v>36</v>
      </c>
      <c r="I801">
        <v>2080</v>
      </c>
      <c r="J801">
        <v>5.2074499999999997</v>
      </c>
      <c r="K801" t="s">
        <v>35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2080</v>
      </c>
      <c r="J802">
        <v>405.41790000000003</v>
      </c>
      <c r="K802" t="s">
        <v>37</v>
      </c>
    </row>
    <row r="803" spans="1:12" x14ac:dyDescent="0.45">
      <c r="A803" t="s">
        <v>90</v>
      </c>
      <c r="B803" t="s">
        <v>0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2080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2080</v>
      </c>
      <c r="J804">
        <v>0</v>
      </c>
      <c r="K804" t="s">
        <v>53</v>
      </c>
      <c r="L804">
        <v>55</v>
      </c>
    </row>
    <row r="805" spans="1:12" x14ac:dyDescent="0.45">
      <c r="A805" t="s">
        <v>90</v>
      </c>
      <c r="B805" t="s">
        <v>0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2080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0</v>
      </c>
      <c r="C806" t="s">
        <v>84</v>
      </c>
      <c r="D806" t="s">
        <v>85</v>
      </c>
      <c r="E806" t="s">
        <v>25</v>
      </c>
      <c r="F806" t="s">
        <v>85</v>
      </c>
      <c r="G806" t="s">
        <v>26</v>
      </c>
      <c r="H806" t="s">
        <v>82</v>
      </c>
      <c r="I806">
        <v>2080</v>
      </c>
      <c r="J806">
        <v>14.777049999999999</v>
      </c>
      <c r="K806" t="s">
        <v>85</v>
      </c>
    </row>
    <row r="807" spans="1:12" x14ac:dyDescent="0.45">
      <c r="A807" t="s">
        <v>90</v>
      </c>
      <c r="B807" t="s">
        <v>0</v>
      </c>
      <c r="C807" t="s">
        <v>84</v>
      </c>
      <c r="D807" t="s">
        <v>45</v>
      </c>
      <c r="E807" t="s">
        <v>46</v>
      </c>
      <c r="F807" t="s">
        <v>45</v>
      </c>
      <c r="G807" t="s">
        <v>47</v>
      </c>
      <c r="H807" t="s">
        <v>89</v>
      </c>
      <c r="I807">
        <v>2085</v>
      </c>
      <c r="J807">
        <v>288.05615</v>
      </c>
      <c r="K807" t="s">
        <v>45</v>
      </c>
    </row>
    <row r="808" spans="1:12" x14ac:dyDescent="0.45">
      <c r="A808" t="s">
        <v>90</v>
      </c>
      <c r="B808" t="s">
        <v>0</v>
      </c>
      <c r="C808" t="s">
        <v>84</v>
      </c>
      <c r="D808" t="s">
        <v>48</v>
      </c>
      <c r="E808" t="s">
        <v>46</v>
      </c>
      <c r="F808" t="s">
        <v>48</v>
      </c>
      <c r="G808" t="s">
        <v>49</v>
      </c>
      <c r="H808" t="s">
        <v>50</v>
      </c>
      <c r="I808">
        <v>2085</v>
      </c>
      <c r="J808">
        <v>-1174.2372</v>
      </c>
      <c r="K808" t="s">
        <v>48</v>
      </c>
    </row>
    <row r="809" spans="1:12" x14ac:dyDescent="0.45">
      <c r="A809" t="s">
        <v>90</v>
      </c>
      <c r="B809" t="s">
        <v>0</v>
      </c>
      <c r="C809" t="s">
        <v>84</v>
      </c>
      <c r="D809" t="s">
        <v>51</v>
      </c>
      <c r="E809" t="s">
        <v>46</v>
      </c>
      <c r="F809" t="s">
        <v>51</v>
      </c>
      <c r="G809" t="s">
        <v>49</v>
      </c>
      <c r="H809" t="s">
        <v>50</v>
      </c>
      <c r="I809">
        <v>2085</v>
      </c>
      <c r="J809">
        <v>-296.03964999999999</v>
      </c>
      <c r="K809" t="s">
        <v>51</v>
      </c>
    </row>
    <row r="810" spans="1:12" x14ac:dyDescent="0.45">
      <c r="A810" t="s">
        <v>90</v>
      </c>
      <c r="B810" t="s">
        <v>0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2085</v>
      </c>
      <c r="J810">
        <v>3.3529</v>
      </c>
      <c r="K810" t="s">
        <v>24</v>
      </c>
    </row>
    <row r="811" spans="1:12" x14ac:dyDescent="0.45">
      <c r="A811" t="s">
        <v>90</v>
      </c>
      <c r="B811" t="s">
        <v>0</v>
      </c>
      <c r="C811" t="s">
        <v>84</v>
      </c>
      <c r="D811" t="s">
        <v>28</v>
      </c>
      <c r="E811" t="s">
        <v>25</v>
      </c>
      <c r="F811" t="s">
        <v>28</v>
      </c>
      <c r="G811" t="s">
        <v>26</v>
      </c>
      <c r="H811" t="s">
        <v>12</v>
      </c>
      <c r="I811">
        <v>2085</v>
      </c>
      <c r="J811">
        <v>12.9482</v>
      </c>
      <c r="K811" t="s">
        <v>28</v>
      </c>
    </row>
    <row r="812" spans="1:12" x14ac:dyDescent="0.45">
      <c r="A812" t="s">
        <v>90</v>
      </c>
      <c r="B812" t="s">
        <v>0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2085</v>
      </c>
      <c r="J812">
        <v>4.4958500000000008</v>
      </c>
      <c r="K812" t="s">
        <v>27</v>
      </c>
    </row>
    <row r="813" spans="1:12" x14ac:dyDescent="0.45">
      <c r="A813" t="s">
        <v>90</v>
      </c>
      <c r="B813" t="s">
        <v>0</v>
      </c>
      <c r="C813" t="s">
        <v>84</v>
      </c>
      <c r="D813" t="s">
        <v>29</v>
      </c>
      <c r="E813" t="s">
        <v>30</v>
      </c>
      <c r="F813" t="s">
        <v>29</v>
      </c>
      <c r="G813" t="s">
        <v>31</v>
      </c>
      <c r="H813" t="s">
        <v>32</v>
      </c>
      <c r="I813">
        <v>2085</v>
      </c>
      <c r="J813">
        <v>23.323250000000002</v>
      </c>
      <c r="K813" t="s">
        <v>29</v>
      </c>
    </row>
    <row r="814" spans="1:12" x14ac:dyDescent="0.45">
      <c r="A814" t="s">
        <v>90</v>
      </c>
      <c r="B814" t="s">
        <v>0</v>
      </c>
      <c r="C814" t="s">
        <v>84</v>
      </c>
      <c r="D814" t="s">
        <v>33</v>
      </c>
      <c r="E814" t="s">
        <v>30</v>
      </c>
      <c r="F814" t="s">
        <v>33</v>
      </c>
      <c r="G814" t="s">
        <v>31</v>
      </c>
      <c r="H814" t="s">
        <v>34</v>
      </c>
      <c r="I814">
        <v>2085</v>
      </c>
      <c r="J814">
        <v>2.0796000000000001</v>
      </c>
      <c r="K814" t="s">
        <v>33</v>
      </c>
    </row>
    <row r="815" spans="1:12" x14ac:dyDescent="0.45">
      <c r="A815" t="s">
        <v>90</v>
      </c>
      <c r="B815" t="s">
        <v>0</v>
      </c>
      <c r="C815" t="s">
        <v>84</v>
      </c>
      <c r="D815" t="s">
        <v>35</v>
      </c>
      <c r="E815" t="s">
        <v>30</v>
      </c>
      <c r="F815" t="s">
        <v>35</v>
      </c>
      <c r="G815" t="s">
        <v>31</v>
      </c>
      <c r="H815" t="s">
        <v>36</v>
      </c>
      <c r="I815">
        <v>2085</v>
      </c>
      <c r="J815">
        <v>5.1766000000000005</v>
      </c>
      <c r="K815" t="s">
        <v>35</v>
      </c>
    </row>
    <row r="816" spans="1:12" x14ac:dyDescent="0.45">
      <c r="A816" t="s">
        <v>90</v>
      </c>
      <c r="B816" t="s">
        <v>0</v>
      </c>
      <c r="C816" t="s">
        <v>84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2085</v>
      </c>
      <c r="J816">
        <v>394.06894999999997</v>
      </c>
      <c r="K816" t="s">
        <v>37</v>
      </c>
    </row>
    <row r="817" spans="1:12" x14ac:dyDescent="0.45">
      <c r="A817" t="s">
        <v>90</v>
      </c>
      <c r="B817" t="s">
        <v>0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2085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2085</v>
      </c>
      <c r="J818">
        <v>0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2085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0</v>
      </c>
      <c r="C820" t="s">
        <v>84</v>
      </c>
      <c r="D820" t="s">
        <v>85</v>
      </c>
      <c r="E820" t="s">
        <v>25</v>
      </c>
      <c r="F820" t="s">
        <v>85</v>
      </c>
      <c r="G820" t="s">
        <v>26</v>
      </c>
      <c r="H820" t="s">
        <v>82</v>
      </c>
      <c r="I820">
        <v>2085</v>
      </c>
      <c r="J820">
        <v>15.2201</v>
      </c>
      <c r="K820" t="s">
        <v>85</v>
      </c>
    </row>
    <row r="821" spans="1:12" x14ac:dyDescent="0.45">
      <c r="A821" t="s">
        <v>90</v>
      </c>
      <c r="B821" t="s">
        <v>0</v>
      </c>
      <c r="C821" t="s">
        <v>84</v>
      </c>
      <c r="D821" t="s">
        <v>45</v>
      </c>
      <c r="E821" t="s">
        <v>46</v>
      </c>
      <c r="F821" t="s">
        <v>45</v>
      </c>
      <c r="G821" t="s">
        <v>47</v>
      </c>
      <c r="H821" t="s">
        <v>89</v>
      </c>
      <c r="I821">
        <v>2090</v>
      </c>
      <c r="J821">
        <v>148.27115000000001</v>
      </c>
      <c r="K821" t="s">
        <v>45</v>
      </c>
    </row>
    <row r="822" spans="1:12" x14ac:dyDescent="0.45">
      <c r="A822" t="s">
        <v>90</v>
      </c>
      <c r="B822" t="s">
        <v>0</v>
      </c>
      <c r="C822" t="s">
        <v>84</v>
      </c>
      <c r="D822" t="s">
        <v>48</v>
      </c>
      <c r="E822" t="s">
        <v>46</v>
      </c>
      <c r="F822" t="s">
        <v>48</v>
      </c>
      <c r="G822" t="s">
        <v>49</v>
      </c>
      <c r="H822" t="s">
        <v>50</v>
      </c>
      <c r="I822">
        <v>2090</v>
      </c>
      <c r="J822">
        <v>-1026.9817499999999</v>
      </c>
      <c r="K822" t="s">
        <v>48</v>
      </c>
    </row>
    <row r="823" spans="1:12" x14ac:dyDescent="0.45">
      <c r="A823" t="s">
        <v>90</v>
      </c>
      <c r="B823" t="s">
        <v>0</v>
      </c>
      <c r="C823" t="s">
        <v>84</v>
      </c>
      <c r="D823" t="s">
        <v>51</v>
      </c>
      <c r="E823" t="s">
        <v>46</v>
      </c>
      <c r="F823" t="s">
        <v>51</v>
      </c>
      <c r="G823" t="s">
        <v>49</v>
      </c>
      <c r="H823" t="s">
        <v>50</v>
      </c>
      <c r="I823">
        <v>2090</v>
      </c>
      <c r="J823">
        <v>-146.97730000000001</v>
      </c>
      <c r="K823" t="s">
        <v>51</v>
      </c>
    </row>
    <row r="824" spans="1:12" x14ac:dyDescent="0.45">
      <c r="A824" t="s">
        <v>90</v>
      </c>
      <c r="B824" t="s">
        <v>0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2090</v>
      </c>
      <c r="J824">
        <v>3.1654499999999999</v>
      </c>
      <c r="K824" t="s">
        <v>24</v>
      </c>
    </row>
    <row r="825" spans="1:12" x14ac:dyDescent="0.45">
      <c r="A825" t="s">
        <v>90</v>
      </c>
      <c r="B825" t="s">
        <v>0</v>
      </c>
      <c r="C825" t="s">
        <v>84</v>
      </c>
      <c r="D825" t="s">
        <v>28</v>
      </c>
      <c r="E825" t="s">
        <v>25</v>
      </c>
      <c r="F825" t="s">
        <v>28</v>
      </c>
      <c r="G825" t="s">
        <v>26</v>
      </c>
      <c r="H825" t="s">
        <v>12</v>
      </c>
      <c r="I825">
        <v>2090</v>
      </c>
      <c r="J825">
        <v>12.925800000000001</v>
      </c>
      <c r="K825" t="s">
        <v>28</v>
      </c>
    </row>
    <row r="826" spans="1:12" x14ac:dyDescent="0.45">
      <c r="A826" t="s">
        <v>90</v>
      </c>
      <c r="B826" t="s">
        <v>0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4.5913000000000004</v>
      </c>
      <c r="K826" t="s">
        <v>27</v>
      </c>
    </row>
    <row r="827" spans="1:12" x14ac:dyDescent="0.45">
      <c r="A827" t="s">
        <v>90</v>
      </c>
      <c r="B827" t="s">
        <v>0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2090</v>
      </c>
      <c r="J827">
        <v>21.547249999999998</v>
      </c>
      <c r="K827" t="s">
        <v>29</v>
      </c>
    </row>
    <row r="828" spans="1:12" x14ac:dyDescent="0.45">
      <c r="A828" t="s">
        <v>90</v>
      </c>
      <c r="B828" t="s">
        <v>0</v>
      </c>
      <c r="C828" t="s">
        <v>84</v>
      </c>
      <c r="D828" t="s">
        <v>33</v>
      </c>
      <c r="E828" t="s">
        <v>30</v>
      </c>
      <c r="F828" t="s">
        <v>33</v>
      </c>
      <c r="G828" t="s">
        <v>31</v>
      </c>
      <c r="H828" t="s">
        <v>34</v>
      </c>
      <c r="I828">
        <v>2090</v>
      </c>
      <c r="J828">
        <v>2.1415499999999996</v>
      </c>
      <c r="K828" t="s">
        <v>33</v>
      </c>
    </row>
    <row r="829" spans="1:12" x14ac:dyDescent="0.45">
      <c r="A829" t="s">
        <v>90</v>
      </c>
      <c r="B829" t="s">
        <v>0</v>
      </c>
      <c r="C829" t="s">
        <v>84</v>
      </c>
      <c r="D829" t="s">
        <v>35</v>
      </c>
      <c r="E829" t="s">
        <v>30</v>
      </c>
      <c r="F829" t="s">
        <v>35</v>
      </c>
      <c r="G829" t="s">
        <v>31</v>
      </c>
      <c r="H829" t="s">
        <v>36</v>
      </c>
      <c r="I829">
        <v>2090</v>
      </c>
      <c r="J829">
        <v>5.1458000000000004</v>
      </c>
      <c r="K829" t="s">
        <v>35</v>
      </c>
    </row>
    <row r="830" spans="1:12" x14ac:dyDescent="0.45">
      <c r="A830" t="s">
        <v>90</v>
      </c>
      <c r="B830" t="s">
        <v>0</v>
      </c>
      <c r="C830" t="s">
        <v>84</v>
      </c>
      <c r="D830" t="s">
        <v>37</v>
      </c>
      <c r="E830" t="s">
        <v>30</v>
      </c>
      <c r="F830" t="s">
        <v>37</v>
      </c>
      <c r="G830" t="s">
        <v>31</v>
      </c>
      <c r="H830" t="s">
        <v>38</v>
      </c>
      <c r="I830">
        <v>2090</v>
      </c>
      <c r="J830">
        <v>382.72</v>
      </c>
      <c r="K830" t="s">
        <v>37</v>
      </c>
    </row>
    <row r="831" spans="1:12" x14ac:dyDescent="0.45">
      <c r="A831" t="s">
        <v>90</v>
      </c>
      <c r="B831" t="s">
        <v>0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2090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0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2090</v>
      </c>
      <c r="J832">
        <v>0</v>
      </c>
      <c r="K832" t="s">
        <v>53</v>
      </c>
      <c r="L832">
        <v>55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2090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2090</v>
      </c>
      <c r="J834">
        <v>15.663150000000002</v>
      </c>
      <c r="K834" t="s">
        <v>85</v>
      </c>
    </row>
    <row r="835" spans="1:12" x14ac:dyDescent="0.45">
      <c r="A835" t="s">
        <v>90</v>
      </c>
      <c r="B835" t="s">
        <v>0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2095</v>
      </c>
      <c r="J835">
        <v>114.9593</v>
      </c>
      <c r="K835" t="s">
        <v>45</v>
      </c>
    </row>
    <row r="836" spans="1:12" x14ac:dyDescent="0.45">
      <c r="A836" t="s">
        <v>90</v>
      </c>
      <c r="B836" t="s">
        <v>0</v>
      </c>
      <c r="C836" t="s">
        <v>84</v>
      </c>
      <c r="D836" t="s">
        <v>48</v>
      </c>
      <c r="E836" t="s">
        <v>46</v>
      </c>
      <c r="F836" t="s">
        <v>48</v>
      </c>
      <c r="G836" t="s">
        <v>49</v>
      </c>
      <c r="H836" t="s">
        <v>50</v>
      </c>
      <c r="I836">
        <v>2095</v>
      </c>
      <c r="J836">
        <v>-992.54984999999999</v>
      </c>
      <c r="K836" t="s">
        <v>48</v>
      </c>
    </row>
    <row r="837" spans="1:12" x14ac:dyDescent="0.45">
      <c r="A837" t="s">
        <v>90</v>
      </c>
      <c r="B837" t="s">
        <v>0</v>
      </c>
      <c r="C837" t="s">
        <v>84</v>
      </c>
      <c r="D837" t="s">
        <v>51</v>
      </c>
      <c r="E837" t="s">
        <v>46</v>
      </c>
      <c r="F837" t="s">
        <v>51</v>
      </c>
      <c r="G837" t="s">
        <v>49</v>
      </c>
      <c r="H837" t="s">
        <v>50</v>
      </c>
      <c r="I837">
        <v>2095</v>
      </c>
      <c r="J837">
        <v>-108.7226</v>
      </c>
      <c r="K837" t="s">
        <v>51</v>
      </c>
    </row>
    <row r="838" spans="1:12" x14ac:dyDescent="0.45">
      <c r="A838" t="s">
        <v>90</v>
      </c>
      <c r="B838" t="s">
        <v>0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2095</v>
      </c>
      <c r="J838">
        <v>3.0136500000000002</v>
      </c>
      <c r="K838" t="s">
        <v>24</v>
      </c>
    </row>
    <row r="839" spans="1:12" x14ac:dyDescent="0.45">
      <c r="A839" t="s">
        <v>90</v>
      </c>
      <c r="B839" t="s">
        <v>0</v>
      </c>
      <c r="C839" t="s">
        <v>84</v>
      </c>
      <c r="D839" t="s">
        <v>28</v>
      </c>
      <c r="E839" t="s">
        <v>25</v>
      </c>
      <c r="F839" t="s">
        <v>28</v>
      </c>
      <c r="G839" t="s">
        <v>26</v>
      </c>
      <c r="H839" t="s">
        <v>12</v>
      </c>
      <c r="I839">
        <v>2095</v>
      </c>
      <c r="J839">
        <v>12.93515</v>
      </c>
      <c r="K839" t="s">
        <v>28</v>
      </c>
    </row>
    <row r="840" spans="1:12" x14ac:dyDescent="0.45">
      <c r="A840" t="s">
        <v>90</v>
      </c>
      <c r="B840" t="s">
        <v>0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2095</v>
      </c>
      <c r="J840">
        <v>4.7007000000000003</v>
      </c>
      <c r="K840" t="s">
        <v>27</v>
      </c>
    </row>
    <row r="841" spans="1:12" x14ac:dyDescent="0.45">
      <c r="A841" t="s">
        <v>90</v>
      </c>
      <c r="B841" t="s">
        <v>0</v>
      </c>
      <c r="C841" t="s">
        <v>84</v>
      </c>
      <c r="D841" t="s">
        <v>29</v>
      </c>
      <c r="E841" t="s">
        <v>30</v>
      </c>
      <c r="F841" t="s">
        <v>29</v>
      </c>
      <c r="G841" t="s">
        <v>31</v>
      </c>
      <c r="H841" t="s">
        <v>32</v>
      </c>
      <c r="I841">
        <v>2095</v>
      </c>
      <c r="J841">
        <v>22.268699999999999</v>
      </c>
      <c r="K841" t="s">
        <v>29</v>
      </c>
    </row>
    <row r="842" spans="1:12" x14ac:dyDescent="0.45">
      <c r="A842" t="s">
        <v>90</v>
      </c>
      <c r="B842" t="s">
        <v>0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2095</v>
      </c>
      <c r="J842">
        <v>1.9457</v>
      </c>
      <c r="K842" t="s">
        <v>33</v>
      </c>
    </row>
    <row r="843" spans="1:12" x14ac:dyDescent="0.45">
      <c r="A843" t="s">
        <v>90</v>
      </c>
      <c r="B843" t="s">
        <v>0</v>
      </c>
      <c r="C843" t="s">
        <v>84</v>
      </c>
      <c r="D843" t="s">
        <v>35</v>
      </c>
      <c r="E843" t="s">
        <v>30</v>
      </c>
      <c r="F843" t="s">
        <v>35</v>
      </c>
      <c r="G843" t="s">
        <v>31</v>
      </c>
      <c r="H843" t="s">
        <v>36</v>
      </c>
      <c r="I843">
        <v>2095</v>
      </c>
      <c r="J843">
        <v>5.0733999999999995</v>
      </c>
      <c r="K843" t="s">
        <v>35</v>
      </c>
    </row>
    <row r="844" spans="1:12" x14ac:dyDescent="0.45">
      <c r="A844" t="s">
        <v>90</v>
      </c>
      <c r="B844" t="s">
        <v>0</v>
      </c>
      <c r="C844" t="s">
        <v>84</v>
      </c>
      <c r="D844" t="s">
        <v>37</v>
      </c>
      <c r="E844" t="s">
        <v>30</v>
      </c>
      <c r="F844" t="s">
        <v>37</v>
      </c>
      <c r="G844" t="s">
        <v>31</v>
      </c>
      <c r="H844" t="s">
        <v>38</v>
      </c>
      <c r="I844">
        <v>2095</v>
      </c>
      <c r="J844">
        <v>388.76785000000001</v>
      </c>
      <c r="K844" t="s">
        <v>37</v>
      </c>
    </row>
    <row r="845" spans="1:12" x14ac:dyDescent="0.45">
      <c r="A845" t="s">
        <v>90</v>
      </c>
      <c r="B845" t="s">
        <v>0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2095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0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2095</v>
      </c>
      <c r="J846">
        <v>0</v>
      </c>
      <c r="K846" t="s">
        <v>53</v>
      </c>
      <c r="L846">
        <v>55</v>
      </c>
    </row>
    <row r="847" spans="1:12" x14ac:dyDescent="0.45">
      <c r="A847" t="s">
        <v>90</v>
      </c>
      <c r="B847" t="s">
        <v>0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2095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0</v>
      </c>
      <c r="C848" t="s">
        <v>84</v>
      </c>
      <c r="D848" t="s">
        <v>85</v>
      </c>
      <c r="E848" t="s">
        <v>25</v>
      </c>
      <c r="F848" t="s">
        <v>85</v>
      </c>
      <c r="G848" t="s">
        <v>26</v>
      </c>
      <c r="H848" t="s">
        <v>82</v>
      </c>
      <c r="I848">
        <v>2095</v>
      </c>
      <c r="J848">
        <v>15.479099999999999</v>
      </c>
      <c r="K848" t="s">
        <v>85</v>
      </c>
    </row>
    <row r="849" spans="1:12" x14ac:dyDescent="0.45">
      <c r="A849" t="s">
        <v>90</v>
      </c>
      <c r="B849" t="s">
        <v>0</v>
      </c>
      <c r="C849" t="s">
        <v>84</v>
      </c>
      <c r="D849" t="s">
        <v>45</v>
      </c>
      <c r="E849" t="s">
        <v>46</v>
      </c>
      <c r="F849" t="s">
        <v>45</v>
      </c>
      <c r="G849" t="s">
        <v>47</v>
      </c>
      <c r="H849" t="s">
        <v>89</v>
      </c>
      <c r="I849">
        <v>2100</v>
      </c>
      <c r="J849">
        <v>81.647449999999992</v>
      </c>
      <c r="K849" t="s">
        <v>45</v>
      </c>
    </row>
    <row r="850" spans="1:12" x14ac:dyDescent="0.45">
      <c r="A850" t="s">
        <v>90</v>
      </c>
      <c r="B850" t="s">
        <v>0</v>
      </c>
      <c r="C850" t="s">
        <v>84</v>
      </c>
      <c r="D850" t="s">
        <v>48</v>
      </c>
      <c r="E850" t="s">
        <v>46</v>
      </c>
      <c r="F850" t="s">
        <v>48</v>
      </c>
      <c r="G850" t="s">
        <v>49</v>
      </c>
      <c r="H850" t="s">
        <v>50</v>
      </c>
      <c r="I850">
        <v>2100</v>
      </c>
      <c r="J850">
        <v>-958.11799999999994</v>
      </c>
      <c r="K850" t="s">
        <v>48</v>
      </c>
    </row>
    <row r="851" spans="1:12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2100</v>
      </c>
      <c r="J851">
        <v>-70.4679</v>
      </c>
      <c r="K851" t="s">
        <v>51</v>
      </c>
    </row>
    <row r="852" spans="1:12" x14ac:dyDescent="0.45">
      <c r="A852" t="s">
        <v>90</v>
      </c>
      <c r="B852" t="s">
        <v>0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2100</v>
      </c>
      <c r="J852">
        <v>2.8618000000000001</v>
      </c>
      <c r="K852" t="s">
        <v>24</v>
      </c>
    </row>
    <row r="853" spans="1:12" x14ac:dyDescent="0.45">
      <c r="A853" t="s">
        <v>90</v>
      </c>
      <c r="B853" t="s">
        <v>0</v>
      </c>
      <c r="C853" t="s">
        <v>84</v>
      </c>
      <c r="D853" t="s">
        <v>28</v>
      </c>
      <c r="E853" t="s">
        <v>25</v>
      </c>
      <c r="F853" t="s">
        <v>28</v>
      </c>
      <c r="G853" t="s">
        <v>26</v>
      </c>
      <c r="H853" t="s">
        <v>12</v>
      </c>
      <c r="I853">
        <v>2100</v>
      </c>
      <c r="J853">
        <v>12.94445</v>
      </c>
      <c r="K853" t="s">
        <v>28</v>
      </c>
    </row>
    <row r="854" spans="1:12" x14ac:dyDescent="0.45">
      <c r="A854" t="s">
        <v>90</v>
      </c>
      <c r="B854" t="s">
        <v>0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2100</v>
      </c>
      <c r="J854">
        <v>4.8101000000000003</v>
      </c>
      <c r="K854" t="s">
        <v>27</v>
      </c>
    </row>
    <row r="855" spans="1:12" x14ac:dyDescent="0.45">
      <c r="A855" t="s">
        <v>90</v>
      </c>
      <c r="B855" t="s">
        <v>0</v>
      </c>
      <c r="C855" t="s">
        <v>84</v>
      </c>
      <c r="D855" t="s">
        <v>29</v>
      </c>
      <c r="E855" t="s">
        <v>30</v>
      </c>
      <c r="F855" t="s">
        <v>29</v>
      </c>
      <c r="G855" t="s">
        <v>31</v>
      </c>
      <c r="H855" t="s">
        <v>32</v>
      </c>
      <c r="I855">
        <v>2100</v>
      </c>
      <c r="J855">
        <v>22.99005</v>
      </c>
      <c r="K855" t="s">
        <v>29</v>
      </c>
    </row>
    <row r="856" spans="1:12" x14ac:dyDescent="0.45">
      <c r="A856" t="s">
        <v>90</v>
      </c>
      <c r="B856" t="s">
        <v>0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2100</v>
      </c>
      <c r="J856">
        <v>1.7498</v>
      </c>
      <c r="K856" t="s">
        <v>33</v>
      </c>
    </row>
    <row r="857" spans="1:12" x14ac:dyDescent="0.45">
      <c r="A857" t="s">
        <v>90</v>
      </c>
      <c r="B857" t="s">
        <v>0</v>
      </c>
      <c r="C857" t="s">
        <v>84</v>
      </c>
      <c r="D857" t="s">
        <v>35</v>
      </c>
      <c r="E857" t="s">
        <v>30</v>
      </c>
      <c r="F857" t="s">
        <v>35</v>
      </c>
      <c r="G857" t="s">
        <v>31</v>
      </c>
      <c r="H857" t="s">
        <v>36</v>
      </c>
      <c r="I857">
        <v>2100</v>
      </c>
      <c r="J857">
        <v>5.0011000000000001</v>
      </c>
      <c r="K857" t="s">
        <v>35</v>
      </c>
    </row>
    <row r="858" spans="1:12" x14ac:dyDescent="0.45">
      <c r="A858" t="s">
        <v>90</v>
      </c>
      <c r="B858" t="s">
        <v>0</v>
      </c>
      <c r="C858" t="s">
        <v>84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2100</v>
      </c>
      <c r="J858">
        <v>394.81574999999998</v>
      </c>
      <c r="K858" t="s">
        <v>37</v>
      </c>
    </row>
    <row r="859" spans="1:12" x14ac:dyDescent="0.45">
      <c r="A859" t="s">
        <v>90</v>
      </c>
      <c r="B859" t="s">
        <v>0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0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2100</v>
      </c>
      <c r="J860">
        <v>0</v>
      </c>
      <c r="K860" t="s">
        <v>53</v>
      </c>
      <c r="L860">
        <v>55</v>
      </c>
    </row>
    <row r="861" spans="1:12" x14ac:dyDescent="0.45">
      <c r="A861" t="s">
        <v>90</v>
      </c>
      <c r="B861" t="s">
        <v>0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2100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0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2100</v>
      </c>
      <c r="J862">
        <v>15.29495</v>
      </c>
      <c r="K862" t="s">
        <v>85</v>
      </c>
    </row>
    <row r="863" spans="1:12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2.2551000000000001</v>
      </c>
      <c r="K863" t="s">
        <v>45</v>
      </c>
    </row>
    <row r="864" spans="1:12" x14ac:dyDescent="0.45">
      <c r="A864" t="s">
        <v>90</v>
      </c>
      <c r="B864" t="s">
        <v>6</v>
      </c>
      <c r="C864" t="s">
        <v>84</v>
      </c>
      <c r="D864" t="s">
        <v>48</v>
      </c>
      <c r="E864" t="s">
        <v>46</v>
      </c>
      <c r="F864" t="s">
        <v>48</v>
      </c>
      <c r="G864" t="s">
        <v>49</v>
      </c>
      <c r="H864" t="s">
        <v>50</v>
      </c>
      <c r="I864">
        <v>2020</v>
      </c>
      <c r="J864">
        <v>4048.3285999999998</v>
      </c>
      <c r="K864" t="s">
        <v>48</v>
      </c>
    </row>
    <row r="865" spans="1:12" x14ac:dyDescent="0.45">
      <c r="A865" t="s">
        <v>90</v>
      </c>
      <c r="B865" t="s">
        <v>6</v>
      </c>
      <c r="C865" t="s">
        <v>84</v>
      </c>
      <c r="D865" t="s">
        <v>51</v>
      </c>
      <c r="E865" t="s">
        <v>46</v>
      </c>
      <c r="F865" t="s">
        <v>51</v>
      </c>
      <c r="G865" t="s">
        <v>49</v>
      </c>
      <c r="H865" t="s">
        <v>50</v>
      </c>
      <c r="I865">
        <v>2020</v>
      </c>
      <c r="J865">
        <v>4763.2656999999999</v>
      </c>
      <c r="K865" t="s">
        <v>51</v>
      </c>
    </row>
    <row r="866" spans="1:12" x14ac:dyDescent="0.45">
      <c r="A866" t="s">
        <v>90</v>
      </c>
      <c r="B866" t="s">
        <v>6</v>
      </c>
      <c r="C866" t="s">
        <v>84</v>
      </c>
      <c r="D866" t="s">
        <v>24</v>
      </c>
      <c r="E866" t="s">
        <v>25</v>
      </c>
      <c r="F866" t="s">
        <v>24</v>
      </c>
      <c r="G866" t="s">
        <v>26</v>
      </c>
      <c r="H866" t="s">
        <v>13</v>
      </c>
      <c r="I866">
        <v>2020</v>
      </c>
      <c r="J866">
        <v>3.1556000000000002</v>
      </c>
      <c r="K866" t="s">
        <v>24</v>
      </c>
    </row>
    <row r="867" spans="1:12" x14ac:dyDescent="0.45">
      <c r="A867" t="s">
        <v>90</v>
      </c>
      <c r="B867" t="s">
        <v>6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2020</v>
      </c>
      <c r="J867">
        <v>10.713200000000001</v>
      </c>
      <c r="K867" t="s">
        <v>28</v>
      </c>
    </row>
    <row r="868" spans="1:12" x14ac:dyDescent="0.45">
      <c r="A868" t="s">
        <v>90</v>
      </c>
      <c r="B868" t="s">
        <v>6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0.27579999999999999</v>
      </c>
      <c r="K868" t="s">
        <v>27</v>
      </c>
    </row>
    <row r="869" spans="1:12" x14ac:dyDescent="0.45">
      <c r="A869" t="s">
        <v>90</v>
      </c>
      <c r="B869" t="s">
        <v>6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2" x14ac:dyDescent="0.45">
      <c r="A870" t="s">
        <v>90</v>
      </c>
      <c r="B870" t="s">
        <v>6</v>
      </c>
      <c r="C870" t="s">
        <v>84</v>
      </c>
      <c r="D870" t="s">
        <v>33</v>
      </c>
      <c r="E870" t="s">
        <v>30</v>
      </c>
      <c r="F870" t="s">
        <v>33</v>
      </c>
      <c r="G870" t="s">
        <v>31</v>
      </c>
      <c r="H870" t="s">
        <v>34</v>
      </c>
      <c r="I870">
        <v>2020</v>
      </c>
      <c r="J870">
        <v>2.0344000000000002</v>
      </c>
      <c r="K870" t="s">
        <v>33</v>
      </c>
    </row>
    <row r="871" spans="1:12" x14ac:dyDescent="0.45">
      <c r="A871" t="s">
        <v>90</v>
      </c>
      <c r="B871" t="s">
        <v>6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2020</v>
      </c>
      <c r="J871">
        <v>3.9710999999999999</v>
      </c>
      <c r="K871" t="s">
        <v>35</v>
      </c>
    </row>
    <row r="872" spans="1:12" x14ac:dyDescent="0.45">
      <c r="A872" t="s">
        <v>90</v>
      </c>
      <c r="B872" t="s">
        <v>6</v>
      </c>
      <c r="C872" t="s">
        <v>84</v>
      </c>
      <c r="D872" t="s">
        <v>37</v>
      </c>
      <c r="E872" t="s">
        <v>30</v>
      </c>
      <c r="F872" t="s">
        <v>37</v>
      </c>
      <c r="G872" t="s">
        <v>31</v>
      </c>
      <c r="H872" t="s">
        <v>38</v>
      </c>
      <c r="I872">
        <v>2020</v>
      </c>
      <c r="J872">
        <v>81.473500000000001</v>
      </c>
      <c r="K872" t="s">
        <v>37</v>
      </c>
    </row>
    <row r="873" spans="1:12" x14ac:dyDescent="0.45">
      <c r="A873" t="s">
        <v>90</v>
      </c>
      <c r="B873" t="s">
        <v>6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2020</v>
      </c>
      <c r="J873">
        <v>3.0137</v>
      </c>
      <c r="K873" t="s">
        <v>52</v>
      </c>
      <c r="L873">
        <v>94</v>
      </c>
    </row>
    <row r="874" spans="1:12" x14ac:dyDescent="0.45">
      <c r="A874" t="s">
        <v>90</v>
      </c>
      <c r="B874" t="s">
        <v>6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2020</v>
      </c>
      <c r="J874">
        <v>7.1176000000000004</v>
      </c>
      <c r="K874" t="s">
        <v>53</v>
      </c>
      <c r="L874">
        <v>55</v>
      </c>
    </row>
    <row r="875" spans="1:12" x14ac:dyDescent="0.45">
      <c r="A875" t="s">
        <v>90</v>
      </c>
      <c r="B875" t="s">
        <v>6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2020</v>
      </c>
      <c r="J875">
        <v>0.128</v>
      </c>
      <c r="K875" t="s">
        <v>54</v>
      </c>
      <c r="L875">
        <v>70</v>
      </c>
    </row>
    <row r="876" spans="1:12" x14ac:dyDescent="0.45">
      <c r="A876" t="s">
        <v>90</v>
      </c>
      <c r="B876" t="s">
        <v>6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2020</v>
      </c>
      <c r="J876">
        <v>0.1113</v>
      </c>
      <c r="K876" t="s">
        <v>85</v>
      </c>
    </row>
    <row r="877" spans="1:12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2025</v>
      </c>
      <c r="J877">
        <v>21.057200000000002</v>
      </c>
      <c r="K877" t="s">
        <v>45</v>
      </c>
    </row>
    <row r="878" spans="1:12" x14ac:dyDescent="0.45">
      <c r="A878" t="s">
        <v>90</v>
      </c>
      <c r="B878" t="s">
        <v>6</v>
      </c>
      <c r="C878" t="s">
        <v>84</v>
      </c>
      <c r="D878" t="s">
        <v>48</v>
      </c>
      <c r="E878" t="s">
        <v>46</v>
      </c>
      <c r="F878" t="s">
        <v>48</v>
      </c>
      <c r="G878" t="s">
        <v>49</v>
      </c>
      <c r="H878" t="s">
        <v>50</v>
      </c>
      <c r="I878">
        <v>2025</v>
      </c>
      <c r="J878">
        <v>3328.6814999999997</v>
      </c>
      <c r="K878" t="s">
        <v>48</v>
      </c>
    </row>
    <row r="879" spans="1:12" x14ac:dyDescent="0.45">
      <c r="A879" t="s">
        <v>90</v>
      </c>
      <c r="B879" t="s">
        <v>6</v>
      </c>
      <c r="C879" t="s">
        <v>84</v>
      </c>
      <c r="D879" t="s">
        <v>51</v>
      </c>
      <c r="E879" t="s">
        <v>46</v>
      </c>
      <c r="F879" t="s">
        <v>51</v>
      </c>
      <c r="G879" t="s">
        <v>49</v>
      </c>
      <c r="H879" t="s">
        <v>50</v>
      </c>
      <c r="I879">
        <v>2025</v>
      </c>
      <c r="J879">
        <v>4032.451</v>
      </c>
      <c r="K879" t="s">
        <v>51</v>
      </c>
    </row>
    <row r="880" spans="1:12" x14ac:dyDescent="0.45">
      <c r="A880" t="s">
        <v>90</v>
      </c>
      <c r="B880" t="s">
        <v>6</v>
      </c>
      <c r="C880" t="s">
        <v>84</v>
      </c>
      <c r="D880" t="s">
        <v>24</v>
      </c>
      <c r="E880" t="s">
        <v>25</v>
      </c>
      <c r="F880" t="s">
        <v>24</v>
      </c>
      <c r="G880" t="s">
        <v>26</v>
      </c>
      <c r="H880" t="s">
        <v>13</v>
      </c>
      <c r="I880">
        <v>2025</v>
      </c>
      <c r="J880">
        <v>3.1617999999999999</v>
      </c>
      <c r="K880" t="s">
        <v>24</v>
      </c>
    </row>
    <row r="881" spans="1:12" x14ac:dyDescent="0.45">
      <c r="A881" t="s">
        <v>90</v>
      </c>
      <c r="B881" t="s">
        <v>6</v>
      </c>
      <c r="C881" t="s">
        <v>84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10.597850000000001</v>
      </c>
      <c r="K881" t="s">
        <v>28</v>
      </c>
    </row>
    <row r="882" spans="1:12" x14ac:dyDescent="0.45">
      <c r="A882" t="s">
        <v>90</v>
      </c>
      <c r="B882" t="s">
        <v>6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2025</v>
      </c>
      <c r="J882">
        <v>0.68564999999999998</v>
      </c>
      <c r="K882" t="s">
        <v>27</v>
      </c>
    </row>
    <row r="883" spans="1:12" x14ac:dyDescent="0.45">
      <c r="A883" t="s">
        <v>90</v>
      </c>
      <c r="B883" t="s">
        <v>6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2025</v>
      </c>
      <c r="J883">
        <v>5.7637999999999998</v>
      </c>
      <c r="K883" t="s">
        <v>29</v>
      </c>
    </row>
    <row r="884" spans="1:12" x14ac:dyDescent="0.45">
      <c r="A884" t="s">
        <v>90</v>
      </c>
      <c r="B884" t="s">
        <v>6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2025</v>
      </c>
      <c r="J884">
        <v>2.2243500000000003</v>
      </c>
      <c r="K884" t="s">
        <v>33</v>
      </c>
    </row>
    <row r="885" spans="1:12" x14ac:dyDescent="0.45">
      <c r="A885" t="s">
        <v>90</v>
      </c>
      <c r="B885" t="s">
        <v>6</v>
      </c>
      <c r="C885" t="s">
        <v>84</v>
      </c>
      <c r="D885" t="s">
        <v>35</v>
      </c>
      <c r="E885" t="s">
        <v>30</v>
      </c>
      <c r="F885" t="s">
        <v>35</v>
      </c>
      <c r="G885" t="s">
        <v>31</v>
      </c>
      <c r="H885" t="s">
        <v>36</v>
      </c>
      <c r="I885">
        <v>2025</v>
      </c>
      <c r="J885">
        <v>4.6684000000000001</v>
      </c>
      <c r="K885" t="s">
        <v>35</v>
      </c>
    </row>
    <row r="886" spans="1:12" x14ac:dyDescent="0.45">
      <c r="A886" t="s">
        <v>90</v>
      </c>
      <c r="B886" t="s">
        <v>6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2025</v>
      </c>
      <c r="J886">
        <v>96.299599999999998</v>
      </c>
      <c r="K886" t="s">
        <v>37</v>
      </c>
    </row>
    <row r="887" spans="1:12" x14ac:dyDescent="0.45">
      <c r="A887" t="s">
        <v>90</v>
      </c>
      <c r="B887" t="s">
        <v>6</v>
      </c>
      <c r="C887" t="s">
        <v>84</v>
      </c>
      <c r="D887" t="s">
        <v>52</v>
      </c>
      <c r="E887" t="s">
        <v>25</v>
      </c>
      <c r="F887" t="s">
        <v>52</v>
      </c>
      <c r="G887" t="s">
        <v>71</v>
      </c>
      <c r="H887" t="s">
        <v>89</v>
      </c>
      <c r="I887">
        <v>2025</v>
      </c>
      <c r="J887">
        <v>1.2363999999999999</v>
      </c>
      <c r="K887" t="s">
        <v>52</v>
      </c>
      <c r="L887">
        <v>94</v>
      </c>
    </row>
    <row r="888" spans="1:12" x14ac:dyDescent="0.45">
      <c r="A888" t="s">
        <v>90</v>
      </c>
      <c r="B888" t="s">
        <v>6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2025</v>
      </c>
      <c r="J888">
        <v>7.3855000000000004</v>
      </c>
      <c r="K888" t="s">
        <v>53</v>
      </c>
      <c r="L888">
        <v>55</v>
      </c>
    </row>
    <row r="889" spans="1:12" x14ac:dyDescent="0.45">
      <c r="A889" t="s">
        <v>90</v>
      </c>
      <c r="B889" t="s">
        <v>6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2025</v>
      </c>
      <c r="J889">
        <v>7.9000000000000001E-2</v>
      </c>
      <c r="K889" t="s">
        <v>54</v>
      </c>
      <c r="L889">
        <v>70</v>
      </c>
    </row>
    <row r="890" spans="1:12" x14ac:dyDescent="0.45">
      <c r="A890" t="s">
        <v>90</v>
      </c>
      <c r="B890" t="s">
        <v>6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2025</v>
      </c>
      <c r="J890">
        <v>0.49419999999999997</v>
      </c>
      <c r="K890" t="s">
        <v>85</v>
      </c>
    </row>
    <row r="891" spans="1:12" x14ac:dyDescent="0.45">
      <c r="A891" t="s">
        <v>90</v>
      </c>
      <c r="B891" t="s">
        <v>6</v>
      </c>
      <c r="C891" t="s">
        <v>84</v>
      </c>
      <c r="D891" t="s">
        <v>45</v>
      </c>
      <c r="E891" t="s">
        <v>46</v>
      </c>
      <c r="F891" t="s">
        <v>45</v>
      </c>
      <c r="G891" t="s">
        <v>47</v>
      </c>
      <c r="H891" t="s">
        <v>89</v>
      </c>
      <c r="I891">
        <v>2030</v>
      </c>
      <c r="J891">
        <v>41.073750000000004</v>
      </c>
      <c r="K891" t="s">
        <v>45</v>
      </c>
    </row>
    <row r="892" spans="1:12" x14ac:dyDescent="0.45">
      <c r="A892" t="s">
        <v>90</v>
      </c>
      <c r="B892" t="s">
        <v>6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2030</v>
      </c>
      <c r="J892">
        <v>2914.9965999999999</v>
      </c>
      <c r="K892" t="s">
        <v>48</v>
      </c>
    </row>
    <row r="893" spans="1:12" x14ac:dyDescent="0.45">
      <c r="A893" t="s">
        <v>90</v>
      </c>
      <c r="B893" t="s">
        <v>6</v>
      </c>
      <c r="C893" t="s">
        <v>84</v>
      </c>
      <c r="D893" t="s">
        <v>51</v>
      </c>
      <c r="E893" t="s">
        <v>46</v>
      </c>
      <c r="F893" t="s">
        <v>51</v>
      </c>
      <c r="G893" t="s">
        <v>49</v>
      </c>
      <c r="H893" t="s">
        <v>50</v>
      </c>
      <c r="I893">
        <v>2030</v>
      </c>
      <c r="J893">
        <v>3632.3980499999998</v>
      </c>
      <c r="K893" t="s">
        <v>51</v>
      </c>
    </row>
    <row r="894" spans="1:12" x14ac:dyDescent="0.45">
      <c r="A894" t="s">
        <v>90</v>
      </c>
      <c r="B894" t="s">
        <v>6</v>
      </c>
      <c r="C894" t="s">
        <v>84</v>
      </c>
      <c r="D894" t="s">
        <v>24</v>
      </c>
      <c r="E894" t="s">
        <v>25</v>
      </c>
      <c r="F894" t="s">
        <v>24</v>
      </c>
      <c r="G894" t="s">
        <v>26</v>
      </c>
      <c r="H894" t="s">
        <v>13</v>
      </c>
      <c r="I894">
        <v>2030</v>
      </c>
      <c r="J894">
        <v>3.6275500000000003</v>
      </c>
      <c r="K894" t="s">
        <v>24</v>
      </c>
    </row>
    <row r="895" spans="1:12" x14ac:dyDescent="0.45">
      <c r="A895" t="s">
        <v>90</v>
      </c>
      <c r="B895" t="s">
        <v>6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2030</v>
      </c>
      <c r="J895">
        <v>11.264849999999999</v>
      </c>
      <c r="K895" t="s">
        <v>28</v>
      </c>
    </row>
    <row r="896" spans="1:12" x14ac:dyDescent="0.45">
      <c r="A896" t="s">
        <v>90</v>
      </c>
      <c r="B896" t="s">
        <v>6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2030</v>
      </c>
      <c r="J896">
        <v>1.4014</v>
      </c>
      <c r="K896" t="s">
        <v>27</v>
      </c>
    </row>
    <row r="897" spans="1:12" x14ac:dyDescent="0.45">
      <c r="A897" t="s">
        <v>90</v>
      </c>
      <c r="B897" t="s">
        <v>6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2030</v>
      </c>
      <c r="J897">
        <v>5.5946499999999997</v>
      </c>
      <c r="K897" t="s">
        <v>29</v>
      </c>
    </row>
    <row r="898" spans="1:12" x14ac:dyDescent="0.45">
      <c r="A898" t="s">
        <v>90</v>
      </c>
      <c r="B898" t="s">
        <v>6</v>
      </c>
      <c r="C898" t="s">
        <v>84</v>
      </c>
      <c r="D898" t="s">
        <v>33</v>
      </c>
      <c r="E898" t="s">
        <v>30</v>
      </c>
      <c r="F898" t="s">
        <v>33</v>
      </c>
      <c r="G898" t="s">
        <v>31</v>
      </c>
      <c r="H898" t="s">
        <v>34</v>
      </c>
      <c r="I898">
        <v>2030</v>
      </c>
      <c r="J898">
        <v>2.2640500000000001</v>
      </c>
      <c r="K898" t="s">
        <v>33</v>
      </c>
    </row>
    <row r="899" spans="1:12" x14ac:dyDescent="0.45">
      <c r="A899" t="s">
        <v>90</v>
      </c>
      <c r="B899" t="s">
        <v>6</v>
      </c>
      <c r="C899" t="s">
        <v>84</v>
      </c>
      <c r="D899" t="s">
        <v>35</v>
      </c>
      <c r="E899" t="s">
        <v>30</v>
      </c>
      <c r="F899" t="s">
        <v>35</v>
      </c>
      <c r="G899" t="s">
        <v>31</v>
      </c>
      <c r="H899" t="s">
        <v>36</v>
      </c>
      <c r="I899">
        <v>2030</v>
      </c>
      <c r="J899">
        <v>4.6098499999999998</v>
      </c>
      <c r="K899" t="s">
        <v>35</v>
      </c>
    </row>
    <row r="900" spans="1:12" x14ac:dyDescent="0.45">
      <c r="A900" t="s">
        <v>90</v>
      </c>
      <c r="B900" t="s">
        <v>6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2030</v>
      </c>
      <c r="J900">
        <v>96.438600000000008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52</v>
      </c>
      <c r="E901" t="s">
        <v>25</v>
      </c>
      <c r="F901" t="s">
        <v>52</v>
      </c>
      <c r="G901" t="s">
        <v>71</v>
      </c>
      <c r="H901" t="s">
        <v>89</v>
      </c>
      <c r="I901">
        <v>2030</v>
      </c>
      <c r="J901">
        <v>0.96730000000000005</v>
      </c>
      <c r="K901" t="s">
        <v>52</v>
      </c>
      <c r="L901">
        <v>94</v>
      </c>
    </row>
    <row r="902" spans="1:12" x14ac:dyDescent="0.45">
      <c r="A902" t="s">
        <v>90</v>
      </c>
      <c r="B902" t="s">
        <v>6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2030</v>
      </c>
      <c r="J902">
        <v>6.8080999999999996</v>
      </c>
      <c r="K902" t="s">
        <v>53</v>
      </c>
      <c r="L902">
        <v>55</v>
      </c>
    </row>
    <row r="903" spans="1:12" x14ac:dyDescent="0.45">
      <c r="A903" t="s">
        <v>90</v>
      </c>
      <c r="B903" t="s">
        <v>6</v>
      </c>
      <c r="C903" t="s">
        <v>84</v>
      </c>
      <c r="D903" t="s">
        <v>54</v>
      </c>
      <c r="E903" t="s">
        <v>25</v>
      </c>
      <c r="F903" t="s">
        <v>54</v>
      </c>
      <c r="G903" t="s">
        <v>71</v>
      </c>
      <c r="H903" t="s">
        <v>89</v>
      </c>
      <c r="I903">
        <v>2030</v>
      </c>
      <c r="J903">
        <v>2.7E-2</v>
      </c>
      <c r="K903" t="s">
        <v>54</v>
      </c>
      <c r="L903">
        <v>70</v>
      </c>
    </row>
    <row r="904" spans="1:12" x14ac:dyDescent="0.45">
      <c r="A904" t="s">
        <v>90</v>
      </c>
      <c r="B904" t="s">
        <v>6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2030</v>
      </c>
      <c r="J904">
        <v>0.84894999999999998</v>
      </c>
      <c r="K904" t="s">
        <v>85</v>
      </c>
    </row>
    <row r="905" spans="1:12" x14ac:dyDescent="0.45">
      <c r="A905" t="s">
        <v>90</v>
      </c>
      <c r="B905" t="s">
        <v>6</v>
      </c>
      <c r="C905" t="s">
        <v>84</v>
      </c>
      <c r="D905" t="s">
        <v>45</v>
      </c>
      <c r="E905" t="s">
        <v>46</v>
      </c>
      <c r="F905" t="s">
        <v>45</v>
      </c>
      <c r="G905" t="s">
        <v>47</v>
      </c>
      <c r="H905" t="s">
        <v>89</v>
      </c>
      <c r="I905">
        <v>2035</v>
      </c>
      <c r="J905">
        <v>50.921900000000001</v>
      </c>
      <c r="K905" t="s">
        <v>45</v>
      </c>
    </row>
    <row r="906" spans="1:12" x14ac:dyDescent="0.45">
      <c r="A906" t="s">
        <v>90</v>
      </c>
      <c r="B906" t="s">
        <v>6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2035</v>
      </c>
      <c r="J906">
        <v>2200.0179499999999</v>
      </c>
      <c r="K906" t="s">
        <v>48</v>
      </c>
    </row>
    <row r="907" spans="1:12" x14ac:dyDescent="0.45">
      <c r="A907" t="s">
        <v>90</v>
      </c>
      <c r="B907" t="s">
        <v>6</v>
      </c>
      <c r="C907" t="s">
        <v>84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2035</v>
      </c>
      <c r="J907">
        <v>2943.6269000000002</v>
      </c>
      <c r="K907" t="s">
        <v>51</v>
      </c>
    </row>
    <row r="908" spans="1:12" x14ac:dyDescent="0.45">
      <c r="A908" t="s">
        <v>90</v>
      </c>
      <c r="B908" t="s">
        <v>6</v>
      </c>
      <c r="C908" t="s">
        <v>84</v>
      </c>
      <c r="D908" t="s">
        <v>24</v>
      </c>
      <c r="E908" t="s">
        <v>25</v>
      </c>
      <c r="F908" t="s">
        <v>24</v>
      </c>
      <c r="G908" t="s">
        <v>26</v>
      </c>
      <c r="H908" t="s">
        <v>13</v>
      </c>
      <c r="I908">
        <v>2035</v>
      </c>
      <c r="J908">
        <v>3.8657500000000002</v>
      </c>
      <c r="K908" t="s">
        <v>24</v>
      </c>
    </row>
    <row r="909" spans="1:12" x14ac:dyDescent="0.45">
      <c r="A909" t="s">
        <v>90</v>
      </c>
      <c r="B909" t="s">
        <v>6</v>
      </c>
      <c r="C909" t="s">
        <v>84</v>
      </c>
      <c r="D909" t="s">
        <v>28</v>
      </c>
      <c r="E909" t="s">
        <v>25</v>
      </c>
      <c r="F909" t="s">
        <v>28</v>
      </c>
      <c r="G909" t="s">
        <v>26</v>
      </c>
      <c r="H909" t="s">
        <v>12</v>
      </c>
      <c r="I909">
        <v>2035</v>
      </c>
      <c r="J909">
        <v>11.9758</v>
      </c>
      <c r="K909" t="s">
        <v>28</v>
      </c>
    </row>
    <row r="910" spans="1:12" x14ac:dyDescent="0.45">
      <c r="A910" t="s">
        <v>90</v>
      </c>
      <c r="B910" t="s">
        <v>6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2035</v>
      </c>
      <c r="J910">
        <v>2.31385</v>
      </c>
      <c r="K910" t="s">
        <v>27</v>
      </c>
    </row>
    <row r="911" spans="1:12" x14ac:dyDescent="0.45">
      <c r="A911" t="s">
        <v>90</v>
      </c>
      <c r="B911" t="s">
        <v>6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2035</v>
      </c>
      <c r="J911">
        <v>4.7282500000000001</v>
      </c>
      <c r="K911" t="s">
        <v>29</v>
      </c>
    </row>
    <row r="912" spans="1:12" x14ac:dyDescent="0.45">
      <c r="A912" t="s">
        <v>90</v>
      </c>
      <c r="B912" t="s">
        <v>6</v>
      </c>
      <c r="C912" t="s">
        <v>84</v>
      </c>
      <c r="D912" t="s">
        <v>33</v>
      </c>
      <c r="E912" t="s">
        <v>30</v>
      </c>
      <c r="F912" t="s">
        <v>33</v>
      </c>
      <c r="G912" t="s">
        <v>31</v>
      </c>
      <c r="H912" t="s">
        <v>34</v>
      </c>
      <c r="I912">
        <v>2035</v>
      </c>
      <c r="J912">
        <v>2.2480000000000002</v>
      </c>
      <c r="K912" t="s">
        <v>33</v>
      </c>
    </row>
    <row r="913" spans="1:12" x14ac:dyDescent="0.45">
      <c r="A913" t="s">
        <v>90</v>
      </c>
      <c r="B913" t="s">
        <v>6</v>
      </c>
      <c r="C913" t="s">
        <v>84</v>
      </c>
      <c r="D913" t="s">
        <v>35</v>
      </c>
      <c r="E913" t="s">
        <v>30</v>
      </c>
      <c r="F913" t="s">
        <v>35</v>
      </c>
      <c r="G913" t="s">
        <v>31</v>
      </c>
      <c r="H913" t="s">
        <v>36</v>
      </c>
      <c r="I913">
        <v>2035</v>
      </c>
      <c r="J913">
        <v>5.0059500000000003</v>
      </c>
      <c r="K913" t="s">
        <v>35</v>
      </c>
    </row>
    <row r="914" spans="1:12" x14ac:dyDescent="0.45">
      <c r="A914" t="s">
        <v>90</v>
      </c>
      <c r="B914" t="s">
        <v>6</v>
      </c>
      <c r="C914" t="s">
        <v>84</v>
      </c>
      <c r="D914" t="s">
        <v>37</v>
      </c>
      <c r="E914" t="s">
        <v>30</v>
      </c>
      <c r="F914" t="s">
        <v>37</v>
      </c>
      <c r="G914" t="s">
        <v>31</v>
      </c>
      <c r="H914" t="s">
        <v>38</v>
      </c>
      <c r="I914">
        <v>2035</v>
      </c>
      <c r="J914">
        <v>55.305999999999997</v>
      </c>
      <c r="K914" t="s">
        <v>37</v>
      </c>
    </row>
    <row r="915" spans="1:12" x14ac:dyDescent="0.45">
      <c r="A915" t="s">
        <v>90</v>
      </c>
      <c r="B915" t="s">
        <v>6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2035</v>
      </c>
      <c r="J915">
        <v>0.65710000000000002</v>
      </c>
      <c r="K915" t="s">
        <v>52</v>
      </c>
      <c r="L915">
        <v>94</v>
      </c>
    </row>
    <row r="916" spans="1:12" x14ac:dyDescent="0.45">
      <c r="A916" t="s">
        <v>90</v>
      </c>
      <c r="B916" t="s">
        <v>6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2035</v>
      </c>
      <c r="J916">
        <v>5.2579000000000002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2035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6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2035</v>
      </c>
      <c r="J918">
        <v>1.1021000000000001</v>
      </c>
      <c r="K918" t="s">
        <v>85</v>
      </c>
    </row>
    <row r="919" spans="1:12" x14ac:dyDescent="0.45">
      <c r="A919" t="s">
        <v>90</v>
      </c>
      <c r="B919" t="s">
        <v>6</v>
      </c>
      <c r="C919" t="s">
        <v>84</v>
      </c>
      <c r="D919" t="s">
        <v>45</v>
      </c>
      <c r="E919" t="s">
        <v>46</v>
      </c>
      <c r="F919" t="s">
        <v>45</v>
      </c>
      <c r="G919" t="s">
        <v>47</v>
      </c>
      <c r="H919" t="s">
        <v>89</v>
      </c>
      <c r="I919">
        <v>2040</v>
      </c>
      <c r="J919">
        <v>121.9267</v>
      </c>
      <c r="K919" t="s">
        <v>45</v>
      </c>
    </row>
    <row r="920" spans="1:12" x14ac:dyDescent="0.45">
      <c r="A920" t="s">
        <v>90</v>
      </c>
      <c r="B920" t="s">
        <v>6</v>
      </c>
      <c r="C920" t="s">
        <v>84</v>
      </c>
      <c r="D920" t="s">
        <v>48</v>
      </c>
      <c r="E920" t="s">
        <v>46</v>
      </c>
      <c r="F920" t="s">
        <v>48</v>
      </c>
      <c r="G920" t="s">
        <v>49</v>
      </c>
      <c r="H920" t="s">
        <v>50</v>
      </c>
      <c r="I920">
        <v>2040</v>
      </c>
      <c r="J920">
        <v>906.39415000000008</v>
      </c>
      <c r="K920" t="s">
        <v>48</v>
      </c>
    </row>
    <row r="921" spans="1:12" x14ac:dyDescent="0.45">
      <c r="A921" t="s">
        <v>90</v>
      </c>
      <c r="B921" t="s">
        <v>6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2040</v>
      </c>
      <c r="J921">
        <v>1671.14355</v>
      </c>
      <c r="K921" t="s">
        <v>51</v>
      </c>
    </row>
    <row r="922" spans="1:12" x14ac:dyDescent="0.45">
      <c r="A922" t="s">
        <v>90</v>
      </c>
      <c r="B922" t="s">
        <v>6</v>
      </c>
      <c r="C922" t="s">
        <v>84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2040</v>
      </c>
      <c r="J922">
        <v>4.0753000000000004</v>
      </c>
      <c r="K922" t="s">
        <v>24</v>
      </c>
    </row>
    <row r="923" spans="1:12" x14ac:dyDescent="0.45">
      <c r="A923" t="s">
        <v>90</v>
      </c>
      <c r="B923" t="s">
        <v>6</v>
      </c>
      <c r="C923" t="s">
        <v>84</v>
      </c>
      <c r="D923" t="s">
        <v>28</v>
      </c>
      <c r="E923" t="s">
        <v>25</v>
      </c>
      <c r="F923" t="s">
        <v>28</v>
      </c>
      <c r="G923" t="s">
        <v>26</v>
      </c>
      <c r="H923" t="s">
        <v>12</v>
      </c>
      <c r="I923">
        <v>2040</v>
      </c>
      <c r="J923">
        <v>12.04415</v>
      </c>
      <c r="K923" t="s">
        <v>28</v>
      </c>
    </row>
    <row r="924" spans="1:12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2040</v>
      </c>
      <c r="J924">
        <v>2.97655</v>
      </c>
      <c r="K924" t="s">
        <v>27</v>
      </c>
    </row>
    <row r="925" spans="1:12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2040</v>
      </c>
      <c r="J925">
        <v>5.6577500000000001</v>
      </c>
      <c r="K925" t="s">
        <v>29</v>
      </c>
    </row>
    <row r="926" spans="1:12" x14ac:dyDescent="0.45">
      <c r="A926" t="s">
        <v>90</v>
      </c>
      <c r="B926" t="s">
        <v>6</v>
      </c>
      <c r="C926" t="s">
        <v>84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2040</v>
      </c>
      <c r="J926">
        <v>1.90195</v>
      </c>
      <c r="K926" t="s">
        <v>33</v>
      </c>
    </row>
    <row r="927" spans="1:12" x14ac:dyDescent="0.45">
      <c r="A927" t="s">
        <v>90</v>
      </c>
      <c r="B927" t="s">
        <v>6</v>
      </c>
      <c r="C927" t="s">
        <v>84</v>
      </c>
      <c r="D927" t="s">
        <v>35</v>
      </c>
      <c r="E927" t="s">
        <v>30</v>
      </c>
      <c r="F927" t="s">
        <v>35</v>
      </c>
      <c r="G927" t="s">
        <v>31</v>
      </c>
      <c r="H927" t="s">
        <v>36</v>
      </c>
      <c r="I927">
        <v>2040</v>
      </c>
      <c r="J927">
        <v>4.9486500000000007</v>
      </c>
      <c r="K927" t="s">
        <v>35</v>
      </c>
    </row>
    <row r="928" spans="1:12" x14ac:dyDescent="0.45">
      <c r="A928" t="s">
        <v>90</v>
      </c>
      <c r="B928" t="s">
        <v>6</v>
      </c>
      <c r="C928" t="s">
        <v>84</v>
      </c>
      <c r="D928" t="s">
        <v>37</v>
      </c>
      <c r="E928" t="s">
        <v>30</v>
      </c>
      <c r="F928" t="s">
        <v>37</v>
      </c>
      <c r="G928" t="s">
        <v>31</v>
      </c>
      <c r="H928" t="s">
        <v>38</v>
      </c>
      <c r="I928">
        <v>2040</v>
      </c>
      <c r="J928">
        <v>99.294550000000001</v>
      </c>
      <c r="K928" t="s">
        <v>37</v>
      </c>
    </row>
    <row r="929" spans="1:12" x14ac:dyDescent="0.45">
      <c r="A929" t="s">
        <v>90</v>
      </c>
      <c r="B929" t="s">
        <v>6</v>
      </c>
      <c r="C929" t="s">
        <v>84</v>
      </c>
      <c r="D929" t="s">
        <v>52</v>
      </c>
      <c r="E929" t="s">
        <v>25</v>
      </c>
      <c r="F929" t="s">
        <v>52</v>
      </c>
      <c r="G929" t="s">
        <v>71</v>
      </c>
      <c r="H929" t="s">
        <v>89</v>
      </c>
      <c r="I929">
        <v>2040</v>
      </c>
      <c r="J929">
        <v>1.4E-3</v>
      </c>
      <c r="K929" t="s">
        <v>52</v>
      </c>
      <c r="L929">
        <v>94</v>
      </c>
    </row>
    <row r="930" spans="1:12" x14ac:dyDescent="0.45">
      <c r="A930" t="s">
        <v>90</v>
      </c>
      <c r="B930" t="s">
        <v>6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2040</v>
      </c>
      <c r="J930">
        <v>2.1999</v>
      </c>
      <c r="K930" t="s">
        <v>53</v>
      </c>
      <c r="L930">
        <v>55</v>
      </c>
    </row>
    <row r="931" spans="1:12" x14ac:dyDescent="0.45">
      <c r="A931" t="s">
        <v>90</v>
      </c>
      <c r="B931" t="s">
        <v>6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2040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6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2040</v>
      </c>
      <c r="J932">
        <v>1.46665</v>
      </c>
      <c r="K932" t="s">
        <v>85</v>
      </c>
    </row>
    <row r="933" spans="1:12" x14ac:dyDescent="0.45">
      <c r="A933" t="s">
        <v>90</v>
      </c>
      <c r="B933" t="s">
        <v>6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2045</v>
      </c>
      <c r="J933">
        <v>165.47389999999999</v>
      </c>
      <c r="K933" t="s">
        <v>45</v>
      </c>
    </row>
    <row r="934" spans="1:12" x14ac:dyDescent="0.45">
      <c r="A934" t="s">
        <v>90</v>
      </c>
      <c r="B934" t="s">
        <v>6</v>
      </c>
      <c r="C934" t="s">
        <v>84</v>
      </c>
      <c r="D934" t="s">
        <v>48</v>
      </c>
      <c r="E934" t="s">
        <v>46</v>
      </c>
      <c r="F934" t="s">
        <v>48</v>
      </c>
      <c r="G934" t="s">
        <v>49</v>
      </c>
      <c r="H934" t="s">
        <v>50</v>
      </c>
      <c r="I934">
        <v>2045</v>
      </c>
      <c r="J934">
        <v>145.19305</v>
      </c>
      <c r="K934" t="s">
        <v>48</v>
      </c>
    </row>
    <row r="935" spans="1:12" x14ac:dyDescent="0.45">
      <c r="A935" t="s">
        <v>90</v>
      </c>
      <c r="B935" t="s">
        <v>6</v>
      </c>
      <c r="C935" t="s">
        <v>84</v>
      </c>
      <c r="D935" t="s">
        <v>51</v>
      </c>
      <c r="E935" t="s">
        <v>46</v>
      </c>
      <c r="F935" t="s">
        <v>51</v>
      </c>
      <c r="G935" t="s">
        <v>49</v>
      </c>
      <c r="H935" t="s">
        <v>50</v>
      </c>
      <c r="I935">
        <v>2045</v>
      </c>
      <c r="J935">
        <v>928.51170000000002</v>
      </c>
      <c r="K935" t="s">
        <v>51</v>
      </c>
    </row>
    <row r="936" spans="1:12" x14ac:dyDescent="0.45">
      <c r="A936" t="s">
        <v>90</v>
      </c>
      <c r="B936" t="s">
        <v>6</v>
      </c>
      <c r="C936" t="s">
        <v>84</v>
      </c>
      <c r="D936" t="s">
        <v>24</v>
      </c>
      <c r="E936" t="s">
        <v>25</v>
      </c>
      <c r="F936" t="s">
        <v>24</v>
      </c>
      <c r="G936" t="s">
        <v>26</v>
      </c>
      <c r="H936" t="s">
        <v>13</v>
      </c>
      <c r="I936">
        <v>2045</v>
      </c>
      <c r="J936">
        <v>4.3157500000000004</v>
      </c>
      <c r="K936" t="s">
        <v>24</v>
      </c>
    </row>
    <row r="937" spans="1:12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2045</v>
      </c>
      <c r="J937">
        <v>12.3447</v>
      </c>
      <c r="K937" t="s">
        <v>28</v>
      </c>
    </row>
    <row r="938" spans="1:12" x14ac:dyDescent="0.45">
      <c r="A938" t="s">
        <v>90</v>
      </c>
      <c r="B938" t="s">
        <v>6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2045</v>
      </c>
      <c r="J938">
        <v>3.2968999999999999</v>
      </c>
      <c r="K938" t="s">
        <v>27</v>
      </c>
    </row>
    <row r="939" spans="1:12" x14ac:dyDescent="0.45">
      <c r="A939" t="s">
        <v>90</v>
      </c>
      <c r="B939" t="s">
        <v>6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2045</v>
      </c>
      <c r="J939">
        <v>6.7579000000000002</v>
      </c>
      <c r="K939" t="s">
        <v>29</v>
      </c>
    </row>
    <row r="940" spans="1:12" x14ac:dyDescent="0.45">
      <c r="A940" t="s">
        <v>90</v>
      </c>
      <c r="B940" t="s">
        <v>6</v>
      </c>
      <c r="C940" t="s">
        <v>84</v>
      </c>
      <c r="D940" t="s">
        <v>33</v>
      </c>
      <c r="E940" t="s">
        <v>30</v>
      </c>
      <c r="F940" t="s">
        <v>33</v>
      </c>
      <c r="G940" t="s">
        <v>31</v>
      </c>
      <c r="H940" t="s">
        <v>34</v>
      </c>
      <c r="I940">
        <v>2045</v>
      </c>
      <c r="J940">
        <v>1.47685</v>
      </c>
      <c r="K940" t="s">
        <v>33</v>
      </c>
    </row>
    <row r="941" spans="1:12" x14ac:dyDescent="0.45">
      <c r="A941" t="s">
        <v>90</v>
      </c>
      <c r="B941" t="s">
        <v>6</v>
      </c>
      <c r="C941" t="s">
        <v>84</v>
      </c>
      <c r="D941" t="s">
        <v>35</v>
      </c>
      <c r="E941" t="s">
        <v>30</v>
      </c>
      <c r="F941" t="s">
        <v>35</v>
      </c>
      <c r="G941" t="s">
        <v>31</v>
      </c>
      <c r="H941" t="s">
        <v>36</v>
      </c>
      <c r="I941">
        <v>2045</v>
      </c>
      <c r="J941">
        <v>5.3717000000000006</v>
      </c>
      <c r="K941" t="s">
        <v>35</v>
      </c>
    </row>
    <row r="942" spans="1:12" x14ac:dyDescent="0.45">
      <c r="A942" t="s">
        <v>90</v>
      </c>
      <c r="B942" t="s">
        <v>6</v>
      </c>
      <c r="C942" t="s">
        <v>84</v>
      </c>
      <c r="D942" t="s">
        <v>37</v>
      </c>
      <c r="E942" t="s">
        <v>30</v>
      </c>
      <c r="F942" t="s">
        <v>37</v>
      </c>
      <c r="G942" t="s">
        <v>31</v>
      </c>
      <c r="H942" t="s">
        <v>38</v>
      </c>
      <c r="I942">
        <v>2045</v>
      </c>
      <c r="J942">
        <v>109.262</v>
      </c>
      <c r="K942" t="s">
        <v>37</v>
      </c>
    </row>
    <row r="943" spans="1:12" x14ac:dyDescent="0.45">
      <c r="A943" t="s">
        <v>90</v>
      </c>
      <c r="B943" t="s">
        <v>6</v>
      </c>
      <c r="C943" t="s">
        <v>84</v>
      </c>
      <c r="D943" t="s">
        <v>52</v>
      </c>
      <c r="E943" t="s">
        <v>25</v>
      </c>
      <c r="F943" t="s">
        <v>52</v>
      </c>
      <c r="G943" t="s">
        <v>71</v>
      </c>
      <c r="H943" t="s">
        <v>89</v>
      </c>
      <c r="I943">
        <v>2045</v>
      </c>
      <c r="J943">
        <v>6.9999999999999999E-4</v>
      </c>
      <c r="K943" t="s">
        <v>52</v>
      </c>
      <c r="L943">
        <v>94</v>
      </c>
    </row>
    <row r="944" spans="1:12" x14ac:dyDescent="0.45">
      <c r="A944" t="s">
        <v>90</v>
      </c>
      <c r="B944" t="s">
        <v>6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2045</v>
      </c>
      <c r="J944">
        <v>0.40529999999999999</v>
      </c>
      <c r="K944" t="s">
        <v>53</v>
      </c>
      <c r="L944">
        <v>55</v>
      </c>
    </row>
    <row r="945" spans="1:12" x14ac:dyDescent="0.45">
      <c r="A945" t="s">
        <v>90</v>
      </c>
      <c r="B945" t="s">
        <v>6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2045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6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2045</v>
      </c>
      <c r="J946">
        <v>2.67665</v>
      </c>
      <c r="K946" t="s">
        <v>85</v>
      </c>
    </row>
    <row r="947" spans="1:12" x14ac:dyDescent="0.45">
      <c r="A947" t="s">
        <v>90</v>
      </c>
      <c r="B947" t="s">
        <v>6</v>
      </c>
      <c r="C947" t="s">
        <v>84</v>
      </c>
      <c r="D947" t="s">
        <v>45</v>
      </c>
      <c r="E947" t="s">
        <v>46</v>
      </c>
      <c r="F947" t="s">
        <v>45</v>
      </c>
      <c r="G947" t="s">
        <v>47</v>
      </c>
      <c r="H947" t="s">
        <v>89</v>
      </c>
      <c r="I947">
        <v>2050</v>
      </c>
      <c r="J947">
        <v>213.83555000000001</v>
      </c>
      <c r="K947" t="s">
        <v>45</v>
      </c>
    </row>
    <row r="948" spans="1:12" x14ac:dyDescent="0.45">
      <c r="A948" t="s">
        <v>90</v>
      </c>
      <c r="B948" t="s">
        <v>6</v>
      </c>
      <c r="C948" t="s">
        <v>84</v>
      </c>
      <c r="D948" t="s">
        <v>48</v>
      </c>
      <c r="E948" t="s">
        <v>46</v>
      </c>
      <c r="F948" t="s">
        <v>48</v>
      </c>
      <c r="G948" t="s">
        <v>49</v>
      </c>
      <c r="H948" t="s">
        <v>50</v>
      </c>
      <c r="I948">
        <v>2050</v>
      </c>
      <c r="J948">
        <v>-248.4324</v>
      </c>
      <c r="K948" t="s">
        <v>48</v>
      </c>
    </row>
    <row r="949" spans="1:12" x14ac:dyDescent="0.45">
      <c r="A949" t="s">
        <v>90</v>
      </c>
      <c r="B949" t="s">
        <v>6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2050</v>
      </c>
      <c r="J949">
        <v>550.89710000000002</v>
      </c>
      <c r="K949" t="s">
        <v>51</v>
      </c>
    </row>
    <row r="950" spans="1:12" x14ac:dyDescent="0.45">
      <c r="A950" t="s">
        <v>90</v>
      </c>
      <c r="B950" t="s">
        <v>6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2050</v>
      </c>
      <c r="J950">
        <v>4.2684999999999995</v>
      </c>
      <c r="K950" t="s">
        <v>24</v>
      </c>
    </row>
    <row r="951" spans="1:12" x14ac:dyDescent="0.45">
      <c r="A951" t="s">
        <v>90</v>
      </c>
      <c r="B951" t="s">
        <v>6</v>
      </c>
      <c r="C951" t="s">
        <v>84</v>
      </c>
      <c r="D951" t="s">
        <v>28</v>
      </c>
      <c r="E951" t="s">
        <v>25</v>
      </c>
      <c r="F951" t="s">
        <v>28</v>
      </c>
      <c r="G951" t="s">
        <v>26</v>
      </c>
      <c r="H951" t="s">
        <v>12</v>
      </c>
      <c r="I951">
        <v>2050</v>
      </c>
      <c r="J951">
        <v>12.317350000000001</v>
      </c>
      <c r="K951" t="s">
        <v>28</v>
      </c>
    </row>
    <row r="952" spans="1:12" x14ac:dyDescent="0.45">
      <c r="A952" t="s">
        <v>90</v>
      </c>
      <c r="B952" t="s">
        <v>6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2050</v>
      </c>
      <c r="J952">
        <v>3.5095999999999998</v>
      </c>
      <c r="K952" t="s">
        <v>27</v>
      </c>
    </row>
    <row r="953" spans="1:12" x14ac:dyDescent="0.45">
      <c r="A953" t="s">
        <v>90</v>
      </c>
      <c r="B953" t="s">
        <v>6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2050</v>
      </c>
      <c r="J953">
        <v>8.1373999999999995</v>
      </c>
      <c r="K953" t="s">
        <v>29</v>
      </c>
    </row>
    <row r="954" spans="1:12" x14ac:dyDescent="0.45">
      <c r="A954" t="s">
        <v>90</v>
      </c>
      <c r="B954" t="s">
        <v>6</v>
      </c>
      <c r="C954" t="s">
        <v>84</v>
      </c>
      <c r="D954" t="s">
        <v>33</v>
      </c>
      <c r="E954" t="s">
        <v>30</v>
      </c>
      <c r="F954" t="s">
        <v>33</v>
      </c>
      <c r="G954" t="s">
        <v>31</v>
      </c>
      <c r="H954" t="s">
        <v>34</v>
      </c>
      <c r="I954">
        <v>2050</v>
      </c>
      <c r="J954">
        <v>1.714</v>
      </c>
      <c r="K954" t="s">
        <v>33</v>
      </c>
    </row>
    <row r="955" spans="1:12" x14ac:dyDescent="0.45">
      <c r="A955" t="s">
        <v>90</v>
      </c>
      <c r="B955" t="s">
        <v>6</v>
      </c>
      <c r="C955" t="s">
        <v>84</v>
      </c>
      <c r="D955" t="s">
        <v>35</v>
      </c>
      <c r="E955" t="s">
        <v>30</v>
      </c>
      <c r="F955" t="s">
        <v>35</v>
      </c>
      <c r="G955" t="s">
        <v>31</v>
      </c>
      <c r="H955" t="s">
        <v>36</v>
      </c>
      <c r="I955">
        <v>2050</v>
      </c>
      <c r="J955">
        <v>5.4856999999999996</v>
      </c>
      <c r="K955" t="s">
        <v>35</v>
      </c>
    </row>
    <row r="956" spans="1:12" x14ac:dyDescent="0.45">
      <c r="A956" t="s">
        <v>90</v>
      </c>
      <c r="B956" t="s">
        <v>6</v>
      </c>
      <c r="C956" t="s">
        <v>84</v>
      </c>
      <c r="D956" t="s">
        <v>37</v>
      </c>
      <c r="E956" t="s">
        <v>30</v>
      </c>
      <c r="F956" t="s">
        <v>37</v>
      </c>
      <c r="G956" t="s">
        <v>31</v>
      </c>
      <c r="H956" t="s">
        <v>38</v>
      </c>
      <c r="I956">
        <v>2050</v>
      </c>
      <c r="J956">
        <v>126.56909999999999</v>
      </c>
      <c r="K956" t="s">
        <v>37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2050</v>
      </c>
      <c r="J957">
        <v>4.0000000000000002E-4</v>
      </c>
      <c r="K957" t="s">
        <v>52</v>
      </c>
      <c r="L957">
        <v>94</v>
      </c>
    </row>
    <row r="958" spans="1:12" x14ac:dyDescent="0.45">
      <c r="A958" t="s">
        <v>90</v>
      </c>
      <c r="B958" t="s">
        <v>6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2050</v>
      </c>
      <c r="J958">
        <v>0.2298</v>
      </c>
      <c r="K958" t="s">
        <v>53</v>
      </c>
      <c r="L958">
        <v>55</v>
      </c>
    </row>
    <row r="959" spans="1:12" x14ac:dyDescent="0.45">
      <c r="A959" t="s">
        <v>90</v>
      </c>
      <c r="B959" t="s">
        <v>6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2050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6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2050</v>
      </c>
      <c r="J960">
        <v>5.0285000000000002</v>
      </c>
      <c r="K960" t="s">
        <v>85</v>
      </c>
    </row>
    <row r="961" spans="1:12" x14ac:dyDescent="0.45">
      <c r="A961" t="s">
        <v>90</v>
      </c>
      <c r="B961" t="s">
        <v>6</v>
      </c>
      <c r="C961" t="s">
        <v>84</v>
      </c>
      <c r="D961" t="s">
        <v>45</v>
      </c>
      <c r="E961" t="s">
        <v>46</v>
      </c>
      <c r="F961" t="s">
        <v>45</v>
      </c>
      <c r="G961" t="s">
        <v>47</v>
      </c>
      <c r="H961" t="s">
        <v>89</v>
      </c>
      <c r="I961">
        <v>2055</v>
      </c>
      <c r="J961">
        <v>246.53320000000002</v>
      </c>
      <c r="K961" t="s">
        <v>45</v>
      </c>
    </row>
    <row r="962" spans="1:12" x14ac:dyDescent="0.45">
      <c r="A962" t="s">
        <v>90</v>
      </c>
      <c r="B962" t="s">
        <v>6</v>
      </c>
      <c r="C962" t="s">
        <v>84</v>
      </c>
      <c r="D962" t="s">
        <v>48</v>
      </c>
      <c r="E962" t="s">
        <v>46</v>
      </c>
      <c r="F962" t="s">
        <v>48</v>
      </c>
      <c r="G962" t="s">
        <v>49</v>
      </c>
      <c r="H962" t="s">
        <v>50</v>
      </c>
      <c r="I962">
        <v>2055</v>
      </c>
      <c r="J962">
        <v>-545.95794999999998</v>
      </c>
      <c r="K962" t="s">
        <v>48</v>
      </c>
    </row>
    <row r="963" spans="1:12" x14ac:dyDescent="0.45">
      <c r="A963" t="s">
        <v>90</v>
      </c>
      <c r="B963" t="s">
        <v>6</v>
      </c>
      <c r="C963" t="s">
        <v>84</v>
      </c>
      <c r="D963" t="s">
        <v>51</v>
      </c>
      <c r="E963" t="s">
        <v>46</v>
      </c>
      <c r="F963" t="s">
        <v>51</v>
      </c>
      <c r="G963" t="s">
        <v>49</v>
      </c>
      <c r="H963" t="s">
        <v>50</v>
      </c>
      <c r="I963">
        <v>2055</v>
      </c>
      <c r="J963">
        <v>306.55340000000001</v>
      </c>
      <c r="K963" t="s">
        <v>51</v>
      </c>
    </row>
    <row r="964" spans="1:12" x14ac:dyDescent="0.45">
      <c r="A964" t="s">
        <v>90</v>
      </c>
      <c r="B964" t="s">
        <v>6</v>
      </c>
      <c r="C964" t="s">
        <v>84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2055</v>
      </c>
      <c r="J964">
        <v>4.2705000000000002</v>
      </c>
      <c r="K964" t="s">
        <v>24</v>
      </c>
    </row>
    <row r="965" spans="1:12" x14ac:dyDescent="0.45">
      <c r="A965" t="s">
        <v>90</v>
      </c>
      <c r="B965" t="s">
        <v>6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2055</v>
      </c>
      <c r="J965">
        <v>12.002000000000001</v>
      </c>
      <c r="K965" t="s">
        <v>28</v>
      </c>
    </row>
    <row r="966" spans="1:12" x14ac:dyDescent="0.45">
      <c r="A966" t="s">
        <v>90</v>
      </c>
      <c r="B966" t="s">
        <v>6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2055</v>
      </c>
      <c r="J966">
        <v>3.6974</v>
      </c>
      <c r="K966" t="s">
        <v>27</v>
      </c>
    </row>
    <row r="967" spans="1:12" x14ac:dyDescent="0.45">
      <c r="A967" t="s">
        <v>90</v>
      </c>
      <c r="B967" t="s">
        <v>6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2055</v>
      </c>
      <c r="J967">
        <v>9.2483499999999985</v>
      </c>
      <c r="K967" t="s">
        <v>29</v>
      </c>
    </row>
    <row r="968" spans="1:12" x14ac:dyDescent="0.45">
      <c r="A968" t="s">
        <v>90</v>
      </c>
      <c r="B968" t="s">
        <v>6</v>
      </c>
      <c r="C968" t="s">
        <v>84</v>
      </c>
      <c r="D968" t="s">
        <v>33</v>
      </c>
      <c r="E968" t="s">
        <v>30</v>
      </c>
      <c r="F968" t="s">
        <v>33</v>
      </c>
      <c r="G968" t="s">
        <v>31</v>
      </c>
      <c r="H968" t="s">
        <v>34</v>
      </c>
      <c r="I968">
        <v>2055</v>
      </c>
      <c r="J968">
        <v>1.5321500000000001</v>
      </c>
      <c r="K968" t="s">
        <v>33</v>
      </c>
    </row>
    <row r="969" spans="1:12" x14ac:dyDescent="0.45">
      <c r="A969" t="s">
        <v>90</v>
      </c>
      <c r="B969" t="s">
        <v>6</v>
      </c>
      <c r="C969" t="s">
        <v>84</v>
      </c>
      <c r="D969" t="s">
        <v>35</v>
      </c>
      <c r="E969" t="s">
        <v>30</v>
      </c>
      <c r="F969" t="s">
        <v>35</v>
      </c>
      <c r="G969" t="s">
        <v>31</v>
      </c>
      <c r="H969" t="s">
        <v>36</v>
      </c>
      <c r="I969">
        <v>2055</v>
      </c>
      <c r="J969">
        <v>4.8427000000000007</v>
      </c>
      <c r="K969" t="s">
        <v>35</v>
      </c>
    </row>
    <row r="970" spans="1:12" x14ac:dyDescent="0.45">
      <c r="A970" t="s">
        <v>90</v>
      </c>
      <c r="B970" t="s">
        <v>6</v>
      </c>
      <c r="C970" t="s">
        <v>84</v>
      </c>
      <c r="D970" t="s">
        <v>37</v>
      </c>
      <c r="E970" t="s">
        <v>30</v>
      </c>
      <c r="F970" t="s">
        <v>37</v>
      </c>
      <c r="G970" t="s">
        <v>31</v>
      </c>
      <c r="H970" t="s">
        <v>38</v>
      </c>
      <c r="I970">
        <v>2055</v>
      </c>
      <c r="J970">
        <v>129.7654</v>
      </c>
      <c r="K970" t="s">
        <v>37</v>
      </c>
    </row>
    <row r="971" spans="1:12" x14ac:dyDescent="0.45">
      <c r="A971" t="s">
        <v>90</v>
      </c>
      <c r="B971" t="s">
        <v>6</v>
      </c>
      <c r="C971" t="s">
        <v>84</v>
      </c>
      <c r="D971" t="s">
        <v>52</v>
      </c>
      <c r="E971" t="s">
        <v>25</v>
      </c>
      <c r="F971" t="s">
        <v>52</v>
      </c>
      <c r="G971" t="s">
        <v>71</v>
      </c>
      <c r="H971" t="s">
        <v>89</v>
      </c>
      <c r="I971">
        <v>2055</v>
      </c>
      <c r="J971">
        <v>1.5000000000000001E-4</v>
      </c>
      <c r="K971" t="s">
        <v>52</v>
      </c>
      <c r="L971">
        <v>94</v>
      </c>
    </row>
    <row r="972" spans="1:12" x14ac:dyDescent="0.45">
      <c r="A972" t="s">
        <v>90</v>
      </c>
      <c r="B972" t="s">
        <v>6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0.22954999999999998</v>
      </c>
      <c r="K972" t="s">
        <v>53</v>
      </c>
      <c r="L972">
        <v>55</v>
      </c>
    </row>
    <row r="973" spans="1:12" x14ac:dyDescent="0.45">
      <c r="A973" t="s">
        <v>90</v>
      </c>
      <c r="B973" t="s">
        <v>6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2055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6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2055</v>
      </c>
      <c r="J974">
        <v>6.8306500000000003</v>
      </c>
      <c r="K974" t="s">
        <v>85</v>
      </c>
    </row>
    <row r="975" spans="1:12" x14ac:dyDescent="0.45">
      <c r="A975" t="s">
        <v>90</v>
      </c>
      <c r="B975" t="s">
        <v>6</v>
      </c>
      <c r="C975" t="s">
        <v>84</v>
      </c>
      <c r="D975" t="s">
        <v>45</v>
      </c>
      <c r="E975" t="s">
        <v>46</v>
      </c>
      <c r="F975" t="s">
        <v>45</v>
      </c>
      <c r="G975" t="s">
        <v>47</v>
      </c>
      <c r="H975" t="s">
        <v>89</v>
      </c>
      <c r="I975">
        <v>2060</v>
      </c>
      <c r="J975">
        <v>214.96125000000001</v>
      </c>
      <c r="K975" t="s">
        <v>45</v>
      </c>
    </row>
    <row r="976" spans="1:12" x14ac:dyDescent="0.45">
      <c r="A976" t="s">
        <v>90</v>
      </c>
      <c r="B976" t="s">
        <v>6</v>
      </c>
      <c r="C976" t="s">
        <v>84</v>
      </c>
      <c r="D976" t="s">
        <v>48</v>
      </c>
      <c r="E976" t="s">
        <v>46</v>
      </c>
      <c r="F976" t="s">
        <v>48</v>
      </c>
      <c r="G976" t="s">
        <v>49</v>
      </c>
      <c r="H976" t="s">
        <v>50</v>
      </c>
      <c r="I976">
        <v>2060</v>
      </c>
      <c r="J976">
        <v>-720.54364999999996</v>
      </c>
      <c r="K976" t="s">
        <v>48</v>
      </c>
    </row>
    <row r="977" spans="1:12" x14ac:dyDescent="0.45">
      <c r="A977" t="s">
        <v>90</v>
      </c>
      <c r="B977" t="s">
        <v>6</v>
      </c>
      <c r="C977" t="s">
        <v>84</v>
      </c>
      <c r="D977" t="s">
        <v>51</v>
      </c>
      <c r="E977" t="s">
        <v>46</v>
      </c>
      <c r="F977" t="s">
        <v>51</v>
      </c>
      <c r="G977" t="s">
        <v>49</v>
      </c>
      <c r="H977" t="s">
        <v>50</v>
      </c>
      <c r="I977">
        <v>2060</v>
      </c>
      <c r="J977">
        <v>134.17529999999999</v>
      </c>
      <c r="K977" t="s">
        <v>51</v>
      </c>
    </row>
    <row r="978" spans="1:12" x14ac:dyDescent="0.45">
      <c r="A978" t="s">
        <v>90</v>
      </c>
      <c r="B978" t="s">
        <v>6</v>
      </c>
      <c r="C978" t="s">
        <v>84</v>
      </c>
      <c r="D978" t="s">
        <v>24</v>
      </c>
      <c r="E978" t="s">
        <v>25</v>
      </c>
      <c r="F978" t="s">
        <v>24</v>
      </c>
      <c r="G978" t="s">
        <v>26</v>
      </c>
      <c r="H978" t="s">
        <v>13</v>
      </c>
      <c r="I978">
        <v>2060</v>
      </c>
      <c r="J978">
        <v>3.8537499999999998</v>
      </c>
      <c r="K978" t="s">
        <v>24</v>
      </c>
    </row>
    <row r="979" spans="1:12" x14ac:dyDescent="0.45">
      <c r="A979" t="s">
        <v>90</v>
      </c>
      <c r="B979" t="s">
        <v>6</v>
      </c>
      <c r="C979" t="s">
        <v>84</v>
      </c>
      <c r="D979" t="s">
        <v>28</v>
      </c>
      <c r="E979" t="s">
        <v>25</v>
      </c>
      <c r="F979" t="s">
        <v>28</v>
      </c>
      <c r="G979" t="s">
        <v>26</v>
      </c>
      <c r="H979" t="s">
        <v>12</v>
      </c>
      <c r="I979">
        <v>2060</v>
      </c>
      <c r="J979">
        <v>11.862500000000001</v>
      </c>
      <c r="K979" t="s">
        <v>28</v>
      </c>
    </row>
    <row r="980" spans="1:12" x14ac:dyDescent="0.45">
      <c r="A980" t="s">
        <v>90</v>
      </c>
      <c r="B980" t="s">
        <v>6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2060</v>
      </c>
      <c r="J980">
        <v>3.8411999999999997</v>
      </c>
      <c r="K980" t="s">
        <v>27</v>
      </c>
    </row>
    <row r="981" spans="1:12" x14ac:dyDescent="0.45">
      <c r="A981" t="s">
        <v>90</v>
      </c>
      <c r="B981" t="s">
        <v>6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14.686199999999999</v>
      </c>
      <c r="K981" t="s">
        <v>29</v>
      </c>
    </row>
    <row r="982" spans="1:12" x14ac:dyDescent="0.45">
      <c r="A982" t="s">
        <v>90</v>
      </c>
      <c r="B982" t="s">
        <v>6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2.2842500000000001</v>
      </c>
      <c r="K982" t="s">
        <v>33</v>
      </c>
    </row>
    <row r="983" spans="1:12" x14ac:dyDescent="0.45">
      <c r="A983" t="s">
        <v>90</v>
      </c>
      <c r="B983" t="s">
        <v>6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2060</v>
      </c>
      <c r="J983">
        <v>5.8754</v>
      </c>
      <c r="K983" t="s">
        <v>35</v>
      </c>
    </row>
    <row r="984" spans="1:12" x14ac:dyDescent="0.45">
      <c r="A984" t="s">
        <v>90</v>
      </c>
      <c r="B984" t="s">
        <v>6</v>
      </c>
      <c r="C984" t="s">
        <v>84</v>
      </c>
      <c r="D984" t="s">
        <v>37</v>
      </c>
      <c r="E984" t="s">
        <v>30</v>
      </c>
      <c r="F984" t="s">
        <v>37</v>
      </c>
      <c r="G984" t="s">
        <v>31</v>
      </c>
      <c r="H984" t="s">
        <v>38</v>
      </c>
      <c r="I984">
        <v>2060</v>
      </c>
      <c r="J984">
        <v>187.57485</v>
      </c>
      <c r="K984" t="s">
        <v>37</v>
      </c>
    </row>
    <row r="985" spans="1:12" x14ac:dyDescent="0.45">
      <c r="A985" t="s">
        <v>90</v>
      </c>
      <c r="B985" t="s">
        <v>6</v>
      </c>
      <c r="C985" t="s">
        <v>84</v>
      </c>
      <c r="D985" t="s">
        <v>52</v>
      </c>
      <c r="E985" t="s">
        <v>25</v>
      </c>
      <c r="F985" t="s">
        <v>52</v>
      </c>
      <c r="G985" t="s">
        <v>71</v>
      </c>
      <c r="H985" t="s">
        <v>89</v>
      </c>
      <c r="I985">
        <v>2060</v>
      </c>
      <c r="J985">
        <v>0</v>
      </c>
      <c r="K985" t="s">
        <v>52</v>
      </c>
      <c r="L985">
        <v>94</v>
      </c>
    </row>
    <row r="986" spans="1:12" x14ac:dyDescent="0.45">
      <c r="A986" t="s">
        <v>90</v>
      </c>
      <c r="B986" t="s">
        <v>6</v>
      </c>
      <c r="C986" t="s">
        <v>84</v>
      </c>
      <c r="D986" t="s">
        <v>53</v>
      </c>
      <c r="E986" t="s">
        <v>25</v>
      </c>
      <c r="F986" t="s">
        <v>53</v>
      </c>
      <c r="G986" t="s">
        <v>71</v>
      </c>
      <c r="H986" t="s">
        <v>89</v>
      </c>
      <c r="I986">
        <v>2060</v>
      </c>
      <c r="J986">
        <v>0.1976</v>
      </c>
      <c r="K986" t="s">
        <v>53</v>
      </c>
      <c r="L986">
        <v>55</v>
      </c>
    </row>
    <row r="987" spans="1:12" x14ac:dyDescent="0.45">
      <c r="A987" t="s">
        <v>90</v>
      </c>
      <c r="B987" t="s">
        <v>6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2060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6</v>
      </c>
      <c r="C988" t="s">
        <v>84</v>
      </c>
      <c r="D988" t="s">
        <v>85</v>
      </c>
      <c r="E988" t="s">
        <v>25</v>
      </c>
      <c r="F988" t="s">
        <v>85</v>
      </c>
      <c r="G988" t="s">
        <v>26</v>
      </c>
      <c r="H988" t="s">
        <v>82</v>
      </c>
      <c r="I988">
        <v>2060</v>
      </c>
      <c r="J988">
        <v>9.8933999999999997</v>
      </c>
      <c r="K988" t="s">
        <v>85</v>
      </c>
    </row>
    <row r="989" spans="1:12" x14ac:dyDescent="0.45">
      <c r="A989" t="s">
        <v>90</v>
      </c>
      <c r="B989" t="s">
        <v>6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2065</v>
      </c>
      <c r="J989">
        <v>192.74914999999999</v>
      </c>
      <c r="K989" t="s">
        <v>45</v>
      </c>
    </row>
    <row r="990" spans="1:12" x14ac:dyDescent="0.45">
      <c r="A990" t="s">
        <v>90</v>
      </c>
      <c r="B990" t="s">
        <v>6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2065</v>
      </c>
      <c r="J990">
        <v>-797.05269999999996</v>
      </c>
      <c r="K990" t="s">
        <v>48</v>
      </c>
    </row>
    <row r="991" spans="1:12" x14ac:dyDescent="0.45">
      <c r="A991" t="s">
        <v>90</v>
      </c>
      <c r="B991" t="s">
        <v>6</v>
      </c>
      <c r="C991" t="s">
        <v>84</v>
      </c>
      <c r="D991" t="s">
        <v>51</v>
      </c>
      <c r="E991" t="s">
        <v>46</v>
      </c>
      <c r="F991" t="s">
        <v>51</v>
      </c>
      <c r="G991" t="s">
        <v>49</v>
      </c>
      <c r="H991" t="s">
        <v>50</v>
      </c>
      <c r="I991">
        <v>2065</v>
      </c>
      <c r="J991">
        <v>60.08175</v>
      </c>
      <c r="K991" t="s">
        <v>51</v>
      </c>
    </row>
    <row r="992" spans="1:12" x14ac:dyDescent="0.45">
      <c r="A992" t="s">
        <v>90</v>
      </c>
      <c r="B992" t="s">
        <v>6</v>
      </c>
      <c r="C992" t="s">
        <v>84</v>
      </c>
      <c r="D992" t="s">
        <v>24</v>
      </c>
      <c r="E992" t="s">
        <v>25</v>
      </c>
      <c r="F992" t="s">
        <v>24</v>
      </c>
      <c r="G992" t="s">
        <v>26</v>
      </c>
      <c r="H992" t="s">
        <v>13</v>
      </c>
      <c r="I992">
        <v>2065</v>
      </c>
      <c r="J992">
        <v>3.7120500000000001</v>
      </c>
      <c r="K992" t="s">
        <v>24</v>
      </c>
    </row>
    <row r="993" spans="1:12" x14ac:dyDescent="0.45">
      <c r="A993" t="s">
        <v>90</v>
      </c>
      <c r="B993" t="s">
        <v>6</v>
      </c>
      <c r="C993" t="s">
        <v>84</v>
      </c>
      <c r="D993" t="s">
        <v>28</v>
      </c>
      <c r="E993" t="s">
        <v>25</v>
      </c>
      <c r="F993" t="s">
        <v>28</v>
      </c>
      <c r="G993" t="s">
        <v>26</v>
      </c>
      <c r="H993" t="s">
        <v>12</v>
      </c>
      <c r="I993">
        <v>2065</v>
      </c>
      <c r="J993">
        <v>11.75845</v>
      </c>
      <c r="K993" t="s">
        <v>28</v>
      </c>
    </row>
    <row r="994" spans="1:12" x14ac:dyDescent="0.45">
      <c r="A994" t="s">
        <v>90</v>
      </c>
      <c r="B994" t="s">
        <v>6</v>
      </c>
      <c r="C994" t="s">
        <v>84</v>
      </c>
      <c r="D994" t="s">
        <v>27</v>
      </c>
      <c r="E994" t="s">
        <v>25</v>
      </c>
      <c r="F994" t="s">
        <v>27</v>
      </c>
      <c r="G994" t="s">
        <v>26</v>
      </c>
      <c r="H994" t="s">
        <v>10</v>
      </c>
      <c r="I994">
        <v>2065</v>
      </c>
      <c r="J994">
        <v>3.9530500000000002</v>
      </c>
      <c r="K994" t="s">
        <v>27</v>
      </c>
    </row>
    <row r="995" spans="1:12" x14ac:dyDescent="0.45">
      <c r="A995" t="s">
        <v>90</v>
      </c>
      <c r="B995" t="s">
        <v>6</v>
      </c>
      <c r="C995" t="s">
        <v>84</v>
      </c>
      <c r="D995" t="s">
        <v>29</v>
      </c>
      <c r="E995" t="s">
        <v>30</v>
      </c>
      <c r="F995" t="s">
        <v>29</v>
      </c>
      <c r="G995" t="s">
        <v>31</v>
      </c>
      <c r="H995" t="s">
        <v>32</v>
      </c>
      <c r="I995">
        <v>2065</v>
      </c>
      <c r="J995">
        <v>15.117049999999999</v>
      </c>
      <c r="K995" t="s">
        <v>29</v>
      </c>
    </row>
    <row r="996" spans="1:12" x14ac:dyDescent="0.45">
      <c r="A996" t="s">
        <v>90</v>
      </c>
      <c r="B996" t="s">
        <v>6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2065</v>
      </c>
      <c r="J996">
        <v>2.2705000000000002</v>
      </c>
      <c r="K996" t="s">
        <v>33</v>
      </c>
    </row>
    <row r="997" spans="1:12" x14ac:dyDescent="0.45">
      <c r="A997" t="s">
        <v>90</v>
      </c>
      <c r="B997" t="s">
        <v>6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2065</v>
      </c>
      <c r="J997">
        <v>5.65855</v>
      </c>
      <c r="K997" t="s">
        <v>35</v>
      </c>
    </row>
    <row r="998" spans="1:12" x14ac:dyDescent="0.45">
      <c r="A998" t="s">
        <v>90</v>
      </c>
      <c r="B998" t="s">
        <v>6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2065</v>
      </c>
      <c r="J998">
        <v>221.18959999999998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2065</v>
      </c>
      <c r="J999">
        <v>0</v>
      </c>
      <c r="K999" t="s">
        <v>52</v>
      </c>
      <c r="L999">
        <v>94</v>
      </c>
    </row>
    <row r="1000" spans="1:12" x14ac:dyDescent="0.45">
      <c r="A1000" t="s">
        <v>90</v>
      </c>
      <c r="B1000" t="s">
        <v>6</v>
      </c>
      <c r="C1000" t="s">
        <v>84</v>
      </c>
      <c r="D1000" t="s">
        <v>53</v>
      </c>
      <c r="E1000" t="s">
        <v>25</v>
      </c>
      <c r="F1000" t="s">
        <v>53</v>
      </c>
      <c r="G1000" t="s">
        <v>71</v>
      </c>
      <c r="H1000" t="s">
        <v>89</v>
      </c>
      <c r="I1000">
        <v>2065</v>
      </c>
      <c r="J1000">
        <v>0.1479</v>
      </c>
      <c r="K1000" t="s">
        <v>53</v>
      </c>
      <c r="L1000">
        <v>55</v>
      </c>
    </row>
    <row r="1001" spans="1:12" x14ac:dyDescent="0.45">
      <c r="A1001" t="s">
        <v>90</v>
      </c>
      <c r="B1001" t="s">
        <v>6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2065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6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2065</v>
      </c>
      <c r="J1002">
        <v>11.0002</v>
      </c>
      <c r="K1002" t="s">
        <v>85</v>
      </c>
    </row>
    <row r="1003" spans="1:12" x14ac:dyDescent="0.45">
      <c r="A1003" t="s">
        <v>90</v>
      </c>
      <c r="B1003" t="s">
        <v>6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2070</v>
      </c>
      <c r="J1003">
        <v>170.53694999999999</v>
      </c>
      <c r="K1003" t="s">
        <v>45</v>
      </c>
    </row>
    <row r="1004" spans="1:12" x14ac:dyDescent="0.45">
      <c r="A1004" t="s">
        <v>90</v>
      </c>
      <c r="B1004" t="s">
        <v>6</v>
      </c>
      <c r="C1004" t="s">
        <v>84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2070</v>
      </c>
      <c r="J1004">
        <v>-873.56175000000007</v>
      </c>
      <c r="K1004" t="s">
        <v>48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51</v>
      </c>
      <c r="E1005" t="s">
        <v>46</v>
      </c>
      <c r="F1005" t="s">
        <v>51</v>
      </c>
      <c r="G1005" t="s">
        <v>49</v>
      </c>
      <c r="H1005" t="s">
        <v>50</v>
      </c>
      <c r="I1005">
        <v>2070</v>
      </c>
      <c r="J1005">
        <v>-14.011749999999999</v>
      </c>
      <c r="K1005" t="s">
        <v>51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24</v>
      </c>
      <c r="E1006" t="s">
        <v>25</v>
      </c>
      <c r="F1006" t="s">
        <v>24</v>
      </c>
      <c r="G1006" t="s">
        <v>26</v>
      </c>
      <c r="H1006" t="s">
        <v>13</v>
      </c>
      <c r="I1006">
        <v>2070</v>
      </c>
      <c r="J1006">
        <v>3.5703</v>
      </c>
      <c r="K1006" t="s">
        <v>24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28</v>
      </c>
      <c r="E1007" t="s">
        <v>25</v>
      </c>
      <c r="F1007" t="s">
        <v>28</v>
      </c>
      <c r="G1007" t="s">
        <v>26</v>
      </c>
      <c r="H1007" t="s">
        <v>12</v>
      </c>
      <c r="I1007">
        <v>2070</v>
      </c>
      <c r="J1007">
        <v>11.654500000000001</v>
      </c>
      <c r="K1007" t="s">
        <v>28</v>
      </c>
    </row>
    <row r="1008" spans="1:12" x14ac:dyDescent="0.45">
      <c r="A1008" t="s">
        <v>90</v>
      </c>
      <c r="B1008" t="s">
        <v>6</v>
      </c>
      <c r="C1008" t="s">
        <v>84</v>
      </c>
      <c r="D1008" t="s">
        <v>27</v>
      </c>
      <c r="E1008" t="s">
        <v>25</v>
      </c>
      <c r="F1008" t="s">
        <v>27</v>
      </c>
      <c r="G1008" t="s">
        <v>26</v>
      </c>
      <c r="H1008" t="s">
        <v>10</v>
      </c>
      <c r="I1008">
        <v>2070</v>
      </c>
      <c r="J1008">
        <v>4.0648</v>
      </c>
      <c r="K1008" t="s">
        <v>27</v>
      </c>
    </row>
    <row r="1009" spans="1:12" x14ac:dyDescent="0.45">
      <c r="A1009" t="s">
        <v>90</v>
      </c>
      <c r="B1009" t="s">
        <v>6</v>
      </c>
      <c r="C1009" t="s">
        <v>84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2070</v>
      </c>
      <c r="J1009">
        <v>15.547899999999998</v>
      </c>
      <c r="K1009" t="s">
        <v>29</v>
      </c>
    </row>
    <row r="1010" spans="1:12" x14ac:dyDescent="0.45">
      <c r="A1010" t="s">
        <v>90</v>
      </c>
      <c r="B1010" t="s">
        <v>6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2070</v>
      </c>
      <c r="J1010">
        <v>2.2568000000000001</v>
      </c>
      <c r="K1010" t="s">
        <v>33</v>
      </c>
    </row>
    <row r="1011" spans="1:12" x14ac:dyDescent="0.45">
      <c r="A1011" t="s">
        <v>90</v>
      </c>
      <c r="B1011" t="s">
        <v>6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2070</v>
      </c>
      <c r="J1011">
        <v>5.4417</v>
      </c>
      <c r="K1011" t="s">
        <v>35</v>
      </c>
    </row>
    <row r="1012" spans="1:12" x14ac:dyDescent="0.45">
      <c r="A1012" t="s">
        <v>90</v>
      </c>
      <c r="B1012" t="s">
        <v>6</v>
      </c>
      <c r="C1012" t="s">
        <v>84</v>
      </c>
      <c r="D1012" t="s">
        <v>37</v>
      </c>
      <c r="E1012" t="s">
        <v>30</v>
      </c>
      <c r="F1012" t="s">
        <v>37</v>
      </c>
      <c r="G1012" t="s">
        <v>31</v>
      </c>
      <c r="H1012" t="s">
        <v>38</v>
      </c>
      <c r="I1012">
        <v>2070</v>
      </c>
      <c r="J1012">
        <v>254.80445</v>
      </c>
      <c r="K1012" t="s">
        <v>37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H1013" t="s">
        <v>89</v>
      </c>
      <c r="I1013">
        <v>2070</v>
      </c>
      <c r="J1013">
        <v>0</v>
      </c>
      <c r="K1013" t="s">
        <v>52</v>
      </c>
      <c r="L1013">
        <v>94</v>
      </c>
    </row>
    <row r="1014" spans="1:12" x14ac:dyDescent="0.45">
      <c r="A1014" t="s">
        <v>90</v>
      </c>
      <c r="B1014" t="s">
        <v>6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2070</v>
      </c>
      <c r="J1014">
        <v>9.8250000000000004E-2</v>
      </c>
      <c r="K1014" t="s">
        <v>53</v>
      </c>
      <c r="L1014">
        <v>55</v>
      </c>
    </row>
    <row r="1015" spans="1:12" x14ac:dyDescent="0.45">
      <c r="A1015" t="s">
        <v>90</v>
      </c>
      <c r="B1015" t="s">
        <v>6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2070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6</v>
      </c>
      <c r="C1016" t="s">
        <v>84</v>
      </c>
      <c r="D1016" t="s">
        <v>85</v>
      </c>
      <c r="E1016" t="s">
        <v>25</v>
      </c>
      <c r="F1016" t="s">
        <v>85</v>
      </c>
      <c r="G1016" t="s">
        <v>26</v>
      </c>
      <c r="H1016" t="s">
        <v>82</v>
      </c>
      <c r="I1016">
        <v>2070</v>
      </c>
      <c r="J1016">
        <v>12.106950000000001</v>
      </c>
      <c r="K1016" t="s">
        <v>85</v>
      </c>
    </row>
    <row r="1017" spans="1:12" x14ac:dyDescent="0.45">
      <c r="A1017" t="s">
        <v>90</v>
      </c>
      <c r="B1017" t="s">
        <v>6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2075</v>
      </c>
      <c r="J1017">
        <v>138.0796</v>
      </c>
      <c r="K1017" t="s">
        <v>45</v>
      </c>
    </row>
    <row r="1018" spans="1:12" x14ac:dyDescent="0.45">
      <c r="A1018" t="s">
        <v>90</v>
      </c>
      <c r="B1018" t="s">
        <v>6</v>
      </c>
      <c r="C1018" t="s">
        <v>84</v>
      </c>
      <c r="D1018" t="s">
        <v>48</v>
      </c>
      <c r="E1018" t="s">
        <v>46</v>
      </c>
      <c r="F1018" t="s">
        <v>48</v>
      </c>
      <c r="G1018" t="s">
        <v>49</v>
      </c>
      <c r="H1018" t="s">
        <v>50</v>
      </c>
      <c r="I1018">
        <v>2075</v>
      </c>
      <c r="J1018">
        <v>-859.48164999999995</v>
      </c>
      <c r="K1018" t="s">
        <v>48</v>
      </c>
    </row>
    <row r="1019" spans="1:12" x14ac:dyDescent="0.45">
      <c r="A1019" t="s">
        <v>90</v>
      </c>
      <c r="B1019" t="s">
        <v>6</v>
      </c>
      <c r="C1019" t="s">
        <v>84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2075</v>
      </c>
      <c r="J1019">
        <v>4.4596000000000018</v>
      </c>
      <c r="K1019" t="s">
        <v>51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24</v>
      </c>
      <c r="E1020" t="s">
        <v>25</v>
      </c>
      <c r="F1020" t="s">
        <v>24</v>
      </c>
      <c r="G1020" t="s">
        <v>26</v>
      </c>
      <c r="H1020" t="s">
        <v>13</v>
      </c>
      <c r="I1020">
        <v>2075</v>
      </c>
      <c r="J1020">
        <v>3.4535</v>
      </c>
      <c r="K1020" t="s">
        <v>24</v>
      </c>
    </row>
    <row r="1021" spans="1:12" x14ac:dyDescent="0.45">
      <c r="A1021" t="s">
        <v>90</v>
      </c>
      <c r="B1021" t="s">
        <v>6</v>
      </c>
      <c r="C1021" t="s">
        <v>84</v>
      </c>
      <c r="D1021" t="s">
        <v>28</v>
      </c>
      <c r="E1021" t="s">
        <v>25</v>
      </c>
      <c r="F1021" t="s">
        <v>28</v>
      </c>
      <c r="G1021" t="s">
        <v>26</v>
      </c>
      <c r="H1021" t="s">
        <v>12</v>
      </c>
      <c r="I1021">
        <v>2075</v>
      </c>
      <c r="J1021">
        <v>11.9529</v>
      </c>
      <c r="K1021" t="s">
        <v>28</v>
      </c>
    </row>
    <row r="1022" spans="1:12" x14ac:dyDescent="0.45">
      <c r="A1022" t="s">
        <v>90</v>
      </c>
      <c r="B1022" t="s">
        <v>6</v>
      </c>
      <c r="C1022" t="s">
        <v>84</v>
      </c>
      <c r="D1022" t="s">
        <v>27</v>
      </c>
      <c r="E1022" t="s">
        <v>25</v>
      </c>
      <c r="F1022" t="s">
        <v>27</v>
      </c>
      <c r="G1022" t="s">
        <v>26</v>
      </c>
      <c r="H1022" t="s">
        <v>10</v>
      </c>
      <c r="I1022">
        <v>2075</v>
      </c>
      <c r="J1022">
        <v>4.1784499999999998</v>
      </c>
      <c r="K1022" t="s">
        <v>27</v>
      </c>
    </row>
    <row r="1023" spans="1:12" x14ac:dyDescent="0.45">
      <c r="A1023" t="s">
        <v>90</v>
      </c>
      <c r="B1023" t="s">
        <v>6</v>
      </c>
      <c r="C1023" t="s">
        <v>84</v>
      </c>
      <c r="D1023" t="s">
        <v>29</v>
      </c>
      <c r="E1023" t="s">
        <v>30</v>
      </c>
      <c r="F1023" t="s">
        <v>29</v>
      </c>
      <c r="G1023" t="s">
        <v>31</v>
      </c>
      <c r="H1023" t="s">
        <v>32</v>
      </c>
      <c r="I1023">
        <v>2075</v>
      </c>
      <c r="J1023">
        <v>15.43695</v>
      </c>
      <c r="K1023" t="s">
        <v>29</v>
      </c>
    </row>
    <row r="1024" spans="1:12" x14ac:dyDescent="0.45">
      <c r="A1024" t="s">
        <v>90</v>
      </c>
      <c r="B1024" t="s">
        <v>6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2075</v>
      </c>
      <c r="J1024">
        <v>2.2270000000000003</v>
      </c>
      <c r="K1024" t="s">
        <v>33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2075</v>
      </c>
      <c r="J1025">
        <v>5.4064499999999995</v>
      </c>
      <c r="K1025" t="s">
        <v>35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2075</v>
      </c>
      <c r="J1026">
        <v>271.97109999999998</v>
      </c>
      <c r="K1026" t="s">
        <v>37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H1027" t="s">
        <v>89</v>
      </c>
      <c r="I1027">
        <v>2075</v>
      </c>
      <c r="J1027">
        <v>0</v>
      </c>
      <c r="K1027" t="s">
        <v>52</v>
      </c>
      <c r="L1027">
        <v>94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H1028" t="s">
        <v>89</v>
      </c>
      <c r="I1028">
        <v>2075</v>
      </c>
      <c r="J1028">
        <v>5.7100000000000005E-2</v>
      </c>
      <c r="K1028" t="s">
        <v>53</v>
      </c>
      <c r="L1028">
        <v>55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2075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2075</v>
      </c>
      <c r="J1030">
        <v>12.91825</v>
      </c>
      <c r="K1030" t="s">
        <v>85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2080</v>
      </c>
      <c r="J1031">
        <v>105.62224999999999</v>
      </c>
      <c r="K1031" t="s">
        <v>45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2080</v>
      </c>
      <c r="J1032">
        <v>-845.40159999999992</v>
      </c>
      <c r="K1032" t="s">
        <v>48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51</v>
      </c>
      <c r="E1033" t="s">
        <v>46</v>
      </c>
      <c r="F1033" t="s">
        <v>51</v>
      </c>
      <c r="G1033" t="s">
        <v>49</v>
      </c>
      <c r="H1033" t="s">
        <v>50</v>
      </c>
      <c r="I1033">
        <v>2080</v>
      </c>
      <c r="J1033">
        <v>22.930900000000001</v>
      </c>
      <c r="K1033" t="s">
        <v>51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24</v>
      </c>
      <c r="E1034" t="s">
        <v>25</v>
      </c>
      <c r="F1034" t="s">
        <v>24</v>
      </c>
      <c r="G1034" t="s">
        <v>26</v>
      </c>
      <c r="H1034" t="s">
        <v>13</v>
      </c>
      <c r="I1034">
        <v>2080</v>
      </c>
      <c r="J1034">
        <v>3.3367</v>
      </c>
      <c r="K1034" t="s">
        <v>24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28</v>
      </c>
      <c r="E1035" t="s">
        <v>25</v>
      </c>
      <c r="F1035" t="s">
        <v>28</v>
      </c>
      <c r="G1035" t="s">
        <v>26</v>
      </c>
      <c r="H1035" t="s">
        <v>12</v>
      </c>
      <c r="I1035">
        <v>2080</v>
      </c>
      <c r="J1035">
        <v>12.251300000000001</v>
      </c>
      <c r="K1035" t="s">
        <v>28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27</v>
      </c>
      <c r="E1036" t="s">
        <v>25</v>
      </c>
      <c r="F1036" t="s">
        <v>27</v>
      </c>
      <c r="G1036" t="s">
        <v>26</v>
      </c>
      <c r="H1036" t="s">
        <v>10</v>
      </c>
      <c r="I1036">
        <v>2080</v>
      </c>
      <c r="J1036">
        <v>4.2920499999999997</v>
      </c>
      <c r="K1036" t="s">
        <v>27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29</v>
      </c>
      <c r="E1037" t="s">
        <v>30</v>
      </c>
      <c r="F1037" t="s">
        <v>29</v>
      </c>
      <c r="G1037" t="s">
        <v>31</v>
      </c>
      <c r="H1037" t="s">
        <v>32</v>
      </c>
      <c r="I1037">
        <v>2080</v>
      </c>
      <c r="J1037">
        <v>15.325950000000001</v>
      </c>
      <c r="K1037" t="s">
        <v>29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2080</v>
      </c>
      <c r="J1038">
        <v>2.1972499999999999</v>
      </c>
      <c r="K1038" t="s">
        <v>33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2080</v>
      </c>
      <c r="J1039">
        <v>5.3712499999999999</v>
      </c>
      <c r="K1039" t="s">
        <v>35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37</v>
      </c>
      <c r="E1040" t="s">
        <v>30</v>
      </c>
      <c r="F1040" t="s">
        <v>37</v>
      </c>
      <c r="G1040" t="s">
        <v>31</v>
      </c>
      <c r="H1040" t="s">
        <v>38</v>
      </c>
      <c r="I1040">
        <v>2080</v>
      </c>
      <c r="J1040">
        <v>289.13785000000001</v>
      </c>
      <c r="K1040" t="s">
        <v>37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2080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H1042" t="s">
        <v>89</v>
      </c>
      <c r="I1042">
        <v>2080</v>
      </c>
      <c r="J1042">
        <v>1.5949999999999999E-2</v>
      </c>
      <c r="K1042" t="s">
        <v>53</v>
      </c>
      <c r="L1042">
        <v>55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2080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85</v>
      </c>
      <c r="E1044" t="s">
        <v>25</v>
      </c>
      <c r="F1044" t="s">
        <v>85</v>
      </c>
      <c r="G1044" t="s">
        <v>26</v>
      </c>
      <c r="H1044" t="s">
        <v>82</v>
      </c>
      <c r="I1044">
        <v>2080</v>
      </c>
      <c r="J1044">
        <v>13.72955</v>
      </c>
      <c r="K1044" t="s">
        <v>85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2085</v>
      </c>
      <c r="J1045">
        <v>61.954049999999995</v>
      </c>
      <c r="K1045" t="s">
        <v>45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48</v>
      </c>
      <c r="E1046" t="s">
        <v>46</v>
      </c>
      <c r="F1046" t="s">
        <v>48</v>
      </c>
      <c r="G1046" t="s">
        <v>49</v>
      </c>
      <c r="H1046" t="s">
        <v>50</v>
      </c>
      <c r="I1046">
        <v>2085</v>
      </c>
      <c r="J1046">
        <v>-818.23804999999993</v>
      </c>
      <c r="K1046" t="s">
        <v>48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2085</v>
      </c>
      <c r="J1047">
        <v>52.968150000000001</v>
      </c>
      <c r="K1047" t="s">
        <v>51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24</v>
      </c>
      <c r="E1048" t="s">
        <v>25</v>
      </c>
      <c r="F1048" t="s">
        <v>24</v>
      </c>
      <c r="G1048" t="s">
        <v>26</v>
      </c>
      <c r="H1048" t="s">
        <v>13</v>
      </c>
      <c r="I1048">
        <v>2085</v>
      </c>
      <c r="J1048">
        <v>3.1511499999999999</v>
      </c>
      <c r="K1048" t="s">
        <v>24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28</v>
      </c>
      <c r="E1049" t="s">
        <v>25</v>
      </c>
      <c r="F1049" t="s">
        <v>28</v>
      </c>
      <c r="G1049" t="s">
        <v>26</v>
      </c>
      <c r="H1049" t="s">
        <v>12</v>
      </c>
      <c r="I1049">
        <v>2085</v>
      </c>
      <c r="J1049">
        <v>12.2849</v>
      </c>
      <c r="K1049" t="s">
        <v>28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27</v>
      </c>
      <c r="E1050" t="s">
        <v>25</v>
      </c>
      <c r="F1050" t="s">
        <v>27</v>
      </c>
      <c r="G1050" t="s">
        <v>26</v>
      </c>
      <c r="H1050" t="s">
        <v>10</v>
      </c>
      <c r="I1050">
        <v>2085</v>
      </c>
      <c r="J1050">
        <v>4.3967000000000001</v>
      </c>
      <c r="K1050" t="s">
        <v>27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29</v>
      </c>
      <c r="E1051" t="s">
        <v>30</v>
      </c>
      <c r="F1051" t="s">
        <v>29</v>
      </c>
      <c r="G1051" t="s">
        <v>31</v>
      </c>
      <c r="H1051" t="s">
        <v>32</v>
      </c>
      <c r="I1051">
        <v>2085</v>
      </c>
      <c r="J1051">
        <v>15.232099999999999</v>
      </c>
      <c r="K1051" t="s">
        <v>29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2085</v>
      </c>
      <c r="J1052">
        <v>2.1886000000000001</v>
      </c>
      <c r="K1052" t="s">
        <v>33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2085</v>
      </c>
      <c r="J1053">
        <v>5.36965</v>
      </c>
      <c r="K1053" t="s">
        <v>35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37</v>
      </c>
      <c r="E1054" t="s">
        <v>30</v>
      </c>
      <c r="F1054" t="s">
        <v>37</v>
      </c>
      <c r="G1054" t="s">
        <v>31</v>
      </c>
      <c r="H1054" t="s">
        <v>38</v>
      </c>
      <c r="I1054">
        <v>2085</v>
      </c>
      <c r="J1054">
        <v>286.10069999999996</v>
      </c>
      <c r="K1054" t="s">
        <v>37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2085</v>
      </c>
      <c r="J1055">
        <v>0</v>
      </c>
      <c r="K1055" t="s">
        <v>52</v>
      </c>
      <c r="L1055">
        <v>94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2085</v>
      </c>
      <c r="J1056">
        <v>8.0000000000000002E-3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2085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85</v>
      </c>
      <c r="E1058" t="s">
        <v>25</v>
      </c>
      <c r="F1058" t="s">
        <v>85</v>
      </c>
      <c r="G1058" t="s">
        <v>26</v>
      </c>
      <c r="H1058" t="s">
        <v>82</v>
      </c>
      <c r="I1058">
        <v>2085</v>
      </c>
      <c r="J1058">
        <v>14.718299999999999</v>
      </c>
      <c r="K1058" t="s">
        <v>85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2090</v>
      </c>
      <c r="J1059">
        <v>18.28585</v>
      </c>
      <c r="K1059" t="s">
        <v>45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2090</v>
      </c>
      <c r="J1060">
        <v>-791.07449999999994</v>
      </c>
      <c r="K1060" t="s">
        <v>48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51</v>
      </c>
      <c r="E1061" t="s">
        <v>46</v>
      </c>
      <c r="F1061" t="s">
        <v>51</v>
      </c>
      <c r="G1061" t="s">
        <v>49</v>
      </c>
      <c r="H1061" t="s">
        <v>50</v>
      </c>
      <c r="I1061">
        <v>2090</v>
      </c>
      <c r="J1061">
        <v>83.005400000000009</v>
      </c>
      <c r="K1061" t="s">
        <v>51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24</v>
      </c>
      <c r="E1062" t="s">
        <v>25</v>
      </c>
      <c r="F1062" t="s">
        <v>24</v>
      </c>
      <c r="G1062" t="s">
        <v>26</v>
      </c>
      <c r="H1062" t="s">
        <v>13</v>
      </c>
      <c r="I1062">
        <v>2090</v>
      </c>
      <c r="J1062">
        <v>2.9657</v>
      </c>
      <c r="K1062" t="s">
        <v>24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2090</v>
      </c>
      <c r="J1063">
        <v>12.31855</v>
      </c>
      <c r="K1063" t="s">
        <v>28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27</v>
      </c>
      <c r="E1064" t="s">
        <v>25</v>
      </c>
      <c r="F1064" t="s">
        <v>27</v>
      </c>
      <c r="G1064" t="s">
        <v>26</v>
      </c>
      <c r="H1064" t="s">
        <v>10</v>
      </c>
      <c r="I1064">
        <v>2090</v>
      </c>
      <c r="J1064">
        <v>4.5013500000000004</v>
      </c>
      <c r="K1064" t="s">
        <v>27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2090</v>
      </c>
      <c r="J1065">
        <v>15.138300000000001</v>
      </c>
      <c r="K1065" t="s">
        <v>29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2090</v>
      </c>
      <c r="J1066">
        <v>2.1798999999999999</v>
      </c>
      <c r="K1066" t="s">
        <v>33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2090</v>
      </c>
      <c r="J1067">
        <v>5.3680500000000002</v>
      </c>
      <c r="K1067" t="s">
        <v>35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37</v>
      </c>
      <c r="E1068" t="s">
        <v>30</v>
      </c>
      <c r="F1068" t="s">
        <v>37</v>
      </c>
      <c r="G1068" t="s">
        <v>31</v>
      </c>
      <c r="H1068" t="s">
        <v>38</v>
      </c>
      <c r="I1068">
        <v>2090</v>
      </c>
      <c r="J1068">
        <v>283.06349999999998</v>
      </c>
      <c r="K1068" t="s">
        <v>37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52</v>
      </c>
      <c r="E1069" t="s">
        <v>25</v>
      </c>
      <c r="F1069" t="s">
        <v>52</v>
      </c>
      <c r="G1069" t="s">
        <v>71</v>
      </c>
      <c r="H1069" t="s">
        <v>89</v>
      </c>
      <c r="I1069">
        <v>2090</v>
      </c>
      <c r="J1069">
        <v>0</v>
      </c>
      <c r="K1069" t="s">
        <v>52</v>
      </c>
      <c r="L1069">
        <v>94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2090</v>
      </c>
      <c r="J1070">
        <v>5.0000000000000002E-5</v>
      </c>
      <c r="K1070" t="s">
        <v>53</v>
      </c>
      <c r="L1070">
        <v>55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2090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85</v>
      </c>
      <c r="E1072" t="s">
        <v>25</v>
      </c>
      <c r="F1072" t="s">
        <v>85</v>
      </c>
      <c r="G1072" t="s">
        <v>26</v>
      </c>
      <c r="H1072" t="s">
        <v>82</v>
      </c>
      <c r="I1072">
        <v>2090</v>
      </c>
      <c r="J1072">
        <v>15.707100000000001</v>
      </c>
      <c r="K1072" t="s">
        <v>85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2095</v>
      </c>
      <c r="J1073">
        <v>10.505749999999999</v>
      </c>
      <c r="K1073" t="s">
        <v>45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2095</v>
      </c>
      <c r="J1074">
        <v>-788.96589999999992</v>
      </c>
      <c r="K1074" t="s">
        <v>48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51</v>
      </c>
      <c r="E1075" t="s">
        <v>46</v>
      </c>
      <c r="F1075" t="s">
        <v>51</v>
      </c>
      <c r="G1075" t="s">
        <v>49</v>
      </c>
      <c r="H1075" t="s">
        <v>50</v>
      </c>
      <c r="I1075">
        <v>2095</v>
      </c>
      <c r="J1075">
        <v>88.409750000000003</v>
      </c>
      <c r="K1075" t="s">
        <v>51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24</v>
      </c>
      <c r="E1076" t="s">
        <v>25</v>
      </c>
      <c r="F1076" t="s">
        <v>24</v>
      </c>
      <c r="G1076" t="s">
        <v>26</v>
      </c>
      <c r="H1076" t="s">
        <v>13</v>
      </c>
      <c r="I1076">
        <v>2095</v>
      </c>
      <c r="J1076">
        <v>2.8161999999999998</v>
      </c>
      <c r="K1076" t="s">
        <v>24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28</v>
      </c>
      <c r="E1077" t="s">
        <v>25</v>
      </c>
      <c r="F1077" t="s">
        <v>28</v>
      </c>
      <c r="G1077" t="s">
        <v>26</v>
      </c>
      <c r="H1077" t="s">
        <v>12</v>
      </c>
      <c r="I1077">
        <v>2095</v>
      </c>
      <c r="J1077">
        <v>12.400649999999999</v>
      </c>
      <c r="K1077" t="s">
        <v>28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27</v>
      </c>
      <c r="E1078" t="s">
        <v>25</v>
      </c>
      <c r="F1078" t="s">
        <v>27</v>
      </c>
      <c r="G1078" t="s">
        <v>26</v>
      </c>
      <c r="H1078" t="s">
        <v>10</v>
      </c>
      <c r="I1078">
        <v>2095</v>
      </c>
      <c r="J1078">
        <v>4.6070000000000002</v>
      </c>
      <c r="K1078" t="s">
        <v>27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2095</v>
      </c>
      <c r="J1079">
        <v>15.0703</v>
      </c>
      <c r="K1079" t="s">
        <v>29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2095</v>
      </c>
      <c r="J1080">
        <v>2.117</v>
      </c>
      <c r="K1080" t="s">
        <v>33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2095</v>
      </c>
      <c r="J1081">
        <v>5.4055999999999997</v>
      </c>
      <c r="K1081" t="s">
        <v>35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37</v>
      </c>
      <c r="E1082" t="s">
        <v>30</v>
      </c>
      <c r="F1082" t="s">
        <v>37</v>
      </c>
      <c r="G1082" t="s">
        <v>31</v>
      </c>
      <c r="H1082" t="s">
        <v>38</v>
      </c>
      <c r="I1082">
        <v>2095</v>
      </c>
      <c r="J1082">
        <v>302.07745</v>
      </c>
      <c r="K1082" t="s">
        <v>37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2095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53</v>
      </c>
      <c r="E1084" t="s">
        <v>25</v>
      </c>
      <c r="F1084" t="s">
        <v>53</v>
      </c>
      <c r="G1084" t="s">
        <v>71</v>
      </c>
      <c r="H1084" t="s">
        <v>89</v>
      </c>
      <c r="I1084">
        <v>2095</v>
      </c>
      <c r="J1084">
        <v>0</v>
      </c>
      <c r="K1084" t="s">
        <v>53</v>
      </c>
      <c r="L1084">
        <v>55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2095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85</v>
      </c>
      <c r="E1086" t="s">
        <v>25</v>
      </c>
      <c r="F1086" t="s">
        <v>85</v>
      </c>
      <c r="G1086" t="s">
        <v>26</v>
      </c>
      <c r="H1086" t="s">
        <v>82</v>
      </c>
      <c r="I1086">
        <v>2095</v>
      </c>
      <c r="J1086">
        <v>15.27155</v>
      </c>
      <c r="K1086" t="s">
        <v>85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2100</v>
      </c>
      <c r="J1087">
        <v>2.7254999999999998</v>
      </c>
      <c r="K1087" t="s">
        <v>45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2100</v>
      </c>
      <c r="J1088">
        <v>-786.85735</v>
      </c>
      <c r="K1088" t="s">
        <v>48</v>
      </c>
    </row>
    <row r="1089" spans="1:12" x14ac:dyDescent="0.45">
      <c r="A1089" t="s">
        <v>90</v>
      </c>
      <c r="B1089" t="s">
        <v>6</v>
      </c>
      <c r="C1089" t="s">
        <v>84</v>
      </c>
      <c r="D1089" t="s">
        <v>51</v>
      </c>
      <c r="E1089" t="s">
        <v>46</v>
      </c>
      <c r="F1089" t="s">
        <v>51</v>
      </c>
      <c r="G1089" t="s">
        <v>49</v>
      </c>
      <c r="H1089" t="s">
        <v>50</v>
      </c>
      <c r="I1089">
        <v>2100</v>
      </c>
      <c r="J1089">
        <v>93.814050000000009</v>
      </c>
      <c r="K1089" t="s">
        <v>51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24</v>
      </c>
      <c r="E1090" t="s">
        <v>25</v>
      </c>
      <c r="F1090" t="s">
        <v>24</v>
      </c>
      <c r="G1090" t="s">
        <v>26</v>
      </c>
      <c r="H1090" t="s">
        <v>13</v>
      </c>
      <c r="I1090">
        <v>2100</v>
      </c>
      <c r="J1090">
        <v>2.6666999999999996</v>
      </c>
      <c r="K1090" t="s">
        <v>24</v>
      </c>
    </row>
    <row r="1091" spans="1:12" x14ac:dyDescent="0.45">
      <c r="A1091" t="s">
        <v>90</v>
      </c>
      <c r="B1091" t="s">
        <v>6</v>
      </c>
      <c r="C1091" t="s">
        <v>84</v>
      </c>
      <c r="D1091" t="s">
        <v>28</v>
      </c>
      <c r="E1091" t="s">
        <v>25</v>
      </c>
      <c r="F1091" t="s">
        <v>28</v>
      </c>
      <c r="G1091" t="s">
        <v>26</v>
      </c>
      <c r="H1091" t="s">
        <v>12</v>
      </c>
      <c r="I1091">
        <v>2100</v>
      </c>
      <c r="J1091">
        <v>12.482800000000001</v>
      </c>
      <c r="K1091" t="s">
        <v>28</v>
      </c>
    </row>
    <row r="1092" spans="1:12" x14ac:dyDescent="0.45">
      <c r="A1092" t="s">
        <v>90</v>
      </c>
      <c r="B1092" t="s">
        <v>6</v>
      </c>
      <c r="C1092" t="s">
        <v>84</v>
      </c>
      <c r="D1092" t="s">
        <v>27</v>
      </c>
      <c r="E1092" t="s">
        <v>25</v>
      </c>
      <c r="F1092" t="s">
        <v>27</v>
      </c>
      <c r="G1092" t="s">
        <v>26</v>
      </c>
      <c r="H1092" t="s">
        <v>10</v>
      </c>
      <c r="I1092">
        <v>2100</v>
      </c>
      <c r="J1092">
        <v>4.71265</v>
      </c>
      <c r="K1092" t="s">
        <v>27</v>
      </c>
    </row>
    <row r="1093" spans="1:12" x14ac:dyDescent="0.45">
      <c r="A1093" t="s">
        <v>90</v>
      </c>
      <c r="B1093" t="s">
        <v>6</v>
      </c>
      <c r="C1093" t="s">
        <v>84</v>
      </c>
      <c r="D1093" t="s">
        <v>29</v>
      </c>
      <c r="E1093" t="s">
        <v>30</v>
      </c>
      <c r="F1093" t="s">
        <v>29</v>
      </c>
      <c r="G1093" t="s">
        <v>31</v>
      </c>
      <c r="H1093" t="s">
        <v>32</v>
      </c>
      <c r="I1093">
        <v>2100</v>
      </c>
      <c r="J1093">
        <v>15.00235</v>
      </c>
      <c r="K1093" t="s">
        <v>29</v>
      </c>
    </row>
    <row r="1094" spans="1:12" x14ac:dyDescent="0.45">
      <c r="A1094" t="s">
        <v>90</v>
      </c>
      <c r="B1094" t="s">
        <v>6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2.0540000000000003</v>
      </c>
      <c r="K1094" t="s">
        <v>33</v>
      </c>
    </row>
    <row r="1095" spans="1:12" x14ac:dyDescent="0.45">
      <c r="A1095" t="s">
        <v>90</v>
      </c>
      <c r="B1095" t="s">
        <v>6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5.4432</v>
      </c>
      <c r="K1095" t="s">
        <v>35</v>
      </c>
    </row>
    <row r="1096" spans="1:12" x14ac:dyDescent="0.45">
      <c r="A1096" t="s">
        <v>90</v>
      </c>
      <c r="B1096" t="s">
        <v>6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2100</v>
      </c>
      <c r="J1096">
        <v>321.09134999999998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52</v>
      </c>
      <c r="E1097" t="s">
        <v>25</v>
      </c>
      <c r="F1097" t="s">
        <v>52</v>
      </c>
      <c r="G1097" t="s">
        <v>71</v>
      </c>
      <c r="H1097" t="s">
        <v>89</v>
      </c>
      <c r="I1097">
        <v>2100</v>
      </c>
      <c r="J1097">
        <v>0</v>
      </c>
      <c r="K1097" t="s">
        <v>52</v>
      </c>
      <c r="L1097">
        <v>94</v>
      </c>
    </row>
    <row r="1098" spans="1:12" x14ac:dyDescent="0.45">
      <c r="A1098" t="s">
        <v>90</v>
      </c>
      <c r="B1098" t="s">
        <v>6</v>
      </c>
      <c r="C1098" t="s">
        <v>84</v>
      </c>
      <c r="D1098" t="s">
        <v>53</v>
      </c>
      <c r="E1098" t="s">
        <v>25</v>
      </c>
      <c r="F1098" t="s">
        <v>53</v>
      </c>
      <c r="G1098" t="s">
        <v>71</v>
      </c>
      <c r="H1098" t="s">
        <v>89</v>
      </c>
      <c r="I1098">
        <v>2100</v>
      </c>
      <c r="J1098">
        <v>0</v>
      </c>
      <c r="K1098" t="s">
        <v>53</v>
      </c>
      <c r="L1098">
        <v>55</v>
      </c>
    </row>
    <row r="1099" spans="1:12" x14ac:dyDescent="0.45">
      <c r="A1099" t="s">
        <v>90</v>
      </c>
      <c r="B1099" t="s">
        <v>6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6</v>
      </c>
      <c r="C1100" t="s">
        <v>84</v>
      </c>
      <c r="D1100" t="s">
        <v>85</v>
      </c>
      <c r="E1100" t="s">
        <v>25</v>
      </c>
      <c r="F1100" t="s">
        <v>85</v>
      </c>
      <c r="G1100" t="s">
        <v>26</v>
      </c>
      <c r="H1100" t="s">
        <v>82</v>
      </c>
      <c r="I1100">
        <v>2100</v>
      </c>
      <c r="J1100">
        <v>14.83595</v>
      </c>
      <c r="K1100" t="s">
        <v>85</v>
      </c>
    </row>
    <row r="1101" spans="1:12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2.2551000000000001</v>
      </c>
      <c r="K1101" t="s">
        <v>45</v>
      </c>
    </row>
    <row r="1102" spans="1:12" x14ac:dyDescent="0.45">
      <c r="A1102" t="s">
        <v>90</v>
      </c>
      <c r="B1102" t="s">
        <v>5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2020</v>
      </c>
      <c r="J1102">
        <v>4048.3285999999998</v>
      </c>
      <c r="K1102" t="s">
        <v>48</v>
      </c>
    </row>
    <row r="1103" spans="1:12" x14ac:dyDescent="0.45">
      <c r="A1103" t="s">
        <v>90</v>
      </c>
      <c r="B1103" t="s">
        <v>5</v>
      </c>
      <c r="C1103" t="s">
        <v>84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2020</v>
      </c>
      <c r="J1103">
        <v>4763.2656999999999</v>
      </c>
      <c r="K1103" t="s">
        <v>51</v>
      </c>
    </row>
    <row r="1104" spans="1:12" x14ac:dyDescent="0.45">
      <c r="A1104" t="s">
        <v>90</v>
      </c>
      <c r="B1104" t="s">
        <v>5</v>
      </c>
      <c r="C1104" t="s">
        <v>84</v>
      </c>
      <c r="D1104" t="s">
        <v>24</v>
      </c>
      <c r="E1104" t="s">
        <v>25</v>
      </c>
      <c r="F1104" t="s">
        <v>24</v>
      </c>
      <c r="G1104" t="s">
        <v>26</v>
      </c>
      <c r="H1104" t="s">
        <v>13</v>
      </c>
      <c r="I1104">
        <v>2020</v>
      </c>
      <c r="J1104">
        <v>3.1556000000000002</v>
      </c>
      <c r="K1104" t="s">
        <v>24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28</v>
      </c>
      <c r="E1105" t="s">
        <v>25</v>
      </c>
      <c r="F1105" t="s">
        <v>28</v>
      </c>
      <c r="G1105" t="s">
        <v>26</v>
      </c>
      <c r="H1105" t="s">
        <v>12</v>
      </c>
      <c r="I1105">
        <v>2020</v>
      </c>
      <c r="J1105">
        <v>10.713200000000001</v>
      </c>
      <c r="K1105" t="s">
        <v>28</v>
      </c>
    </row>
    <row r="1106" spans="1:12" x14ac:dyDescent="0.45">
      <c r="A1106" t="s">
        <v>90</v>
      </c>
      <c r="B1106" t="s">
        <v>5</v>
      </c>
      <c r="C1106" t="s">
        <v>84</v>
      </c>
      <c r="D1106" t="s">
        <v>27</v>
      </c>
      <c r="E1106" t="s">
        <v>25</v>
      </c>
      <c r="F1106" t="s">
        <v>27</v>
      </c>
      <c r="G1106" t="s">
        <v>26</v>
      </c>
      <c r="H1106" t="s">
        <v>10</v>
      </c>
      <c r="I1106">
        <v>2020</v>
      </c>
      <c r="J1106">
        <v>0.27579999999999999</v>
      </c>
      <c r="K1106" t="s">
        <v>27</v>
      </c>
    </row>
    <row r="1107" spans="1:12" x14ac:dyDescent="0.45">
      <c r="A1107" t="s">
        <v>90</v>
      </c>
      <c r="B1107" t="s">
        <v>5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2" x14ac:dyDescent="0.45">
      <c r="A1108" t="s">
        <v>90</v>
      </c>
      <c r="B1108" t="s">
        <v>5</v>
      </c>
      <c r="C1108" t="s">
        <v>84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2020</v>
      </c>
      <c r="J1108">
        <v>2.0344000000000002</v>
      </c>
      <c r="K1108" t="s">
        <v>33</v>
      </c>
    </row>
    <row r="1109" spans="1:12" x14ac:dyDescent="0.45">
      <c r="A1109" t="s">
        <v>90</v>
      </c>
      <c r="B1109" t="s">
        <v>5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2020</v>
      </c>
      <c r="J1109">
        <v>3.9710999999999999</v>
      </c>
      <c r="K1109" t="s">
        <v>35</v>
      </c>
    </row>
    <row r="1110" spans="1:12" x14ac:dyDescent="0.45">
      <c r="A1110" t="s">
        <v>90</v>
      </c>
      <c r="B1110" t="s">
        <v>5</v>
      </c>
      <c r="C1110" t="s">
        <v>84</v>
      </c>
      <c r="D1110" t="s">
        <v>37</v>
      </c>
      <c r="E1110" t="s">
        <v>30</v>
      </c>
      <c r="F1110" t="s">
        <v>37</v>
      </c>
      <c r="G1110" t="s">
        <v>31</v>
      </c>
      <c r="H1110" t="s">
        <v>38</v>
      </c>
      <c r="I1110">
        <v>2020</v>
      </c>
      <c r="J1110">
        <v>81.473500000000001</v>
      </c>
      <c r="K1110" t="s">
        <v>37</v>
      </c>
    </row>
    <row r="1111" spans="1:12" x14ac:dyDescent="0.45">
      <c r="A1111" t="s">
        <v>90</v>
      </c>
      <c r="B1111" t="s">
        <v>5</v>
      </c>
      <c r="C1111" t="s">
        <v>84</v>
      </c>
      <c r="D1111" t="s">
        <v>52</v>
      </c>
      <c r="E1111" t="s">
        <v>25</v>
      </c>
      <c r="F1111" t="s">
        <v>52</v>
      </c>
      <c r="G1111" t="s">
        <v>71</v>
      </c>
      <c r="H1111" t="s">
        <v>89</v>
      </c>
      <c r="I1111">
        <v>2020</v>
      </c>
      <c r="J1111">
        <v>3.0137</v>
      </c>
      <c r="K1111" t="s">
        <v>52</v>
      </c>
      <c r="L1111">
        <v>94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2020</v>
      </c>
      <c r="J1112">
        <v>7.1176000000000004</v>
      </c>
      <c r="K1112" t="s">
        <v>53</v>
      </c>
      <c r="L1112">
        <v>55</v>
      </c>
    </row>
    <row r="1113" spans="1:12" x14ac:dyDescent="0.45">
      <c r="A1113" t="s">
        <v>90</v>
      </c>
      <c r="B1113" t="s">
        <v>5</v>
      </c>
      <c r="C1113" t="s">
        <v>84</v>
      </c>
      <c r="D1113" t="s">
        <v>54</v>
      </c>
      <c r="E1113" t="s">
        <v>25</v>
      </c>
      <c r="F1113" t="s">
        <v>54</v>
      </c>
      <c r="G1113" t="s">
        <v>71</v>
      </c>
      <c r="H1113" t="s">
        <v>89</v>
      </c>
      <c r="I1113">
        <v>2020</v>
      </c>
      <c r="J1113">
        <v>0.128</v>
      </c>
      <c r="K1113" t="s">
        <v>54</v>
      </c>
      <c r="L1113">
        <v>70</v>
      </c>
    </row>
    <row r="1114" spans="1:12" x14ac:dyDescent="0.45">
      <c r="A1114" t="s">
        <v>90</v>
      </c>
      <c r="B1114" t="s">
        <v>5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2020</v>
      </c>
      <c r="J1114">
        <v>0.1113</v>
      </c>
      <c r="K1114" t="s">
        <v>85</v>
      </c>
    </row>
    <row r="1115" spans="1:12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2025</v>
      </c>
      <c r="J1115">
        <v>28.1</v>
      </c>
      <c r="K1115" t="s">
        <v>45</v>
      </c>
    </row>
    <row r="1116" spans="1:12" x14ac:dyDescent="0.45">
      <c r="A1116" t="s">
        <v>90</v>
      </c>
      <c r="B1116" t="s">
        <v>5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2025</v>
      </c>
      <c r="J1116">
        <v>2998.5160000000001</v>
      </c>
      <c r="K1116" t="s">
        <v>48</v>
      </c>
    </row>
    <row r="1117" spans="1:12" x14ac:dyDescent="0.45">
      <c r="A1117" t="s">
        <v>90</v>
      </c>
      <c r="B1117" t="s">
        <v>5</v>
      </c>
      <c r="C1117" t="s">
        <v>84</v>
      </c>
      <c r="D1117" t="s">
        <v>51</v>
      </c>
      <c r="E1117" t="s">
        <v>46</v>
      </c>
      <c r="F1117" t="s">
        <v>51</v>
      </c>
      <c r="G1117" t="s">
        <v>49</v>
      </c>
      <c r="H1117" t="s">
        <v>50</v>
      </c>
      <c r="I1117">
        <v>2025</v>
      </c>
      <c r="J1117">
        <v>3724.0314499999999</v>
      </c>
      <c r="K1117" t="s">
        <v>51</v>
      </c>
    </row>
    <row r="1118" spans="1:12" x14ac:dyDescent="0.45">
      <c r="A1118" t="s">
        <v>90</v>
      </c>
      <c r="B1118" t="s">
        <v>5</v>
      </c>
      <c r="C1118" t="s">
        <v>84</v>
      </c>
      <c r="D1118" t="s">
        <v>24</v>
      </c>
      <c r="E1118" t="s">
        <v>25</v>
      </c>
      <c r="F1118" t="s">
        <v>24</v>
      </c>
      <c r="G1118" t="s">
        <v>26</v>
      </c>
      <c r="H1118" t="s">
        <v>13</v>
      </c>
      <c r="I1118">
        <v>2025</v>
      </c>
      <c r="J1118">
        <v>2.4101999999999997</v>
      </c>
      <c r="K1118" t="s">
        <v>24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2025</v>
      </c>
      <c r="J1119">
        <v>10.875350000000001</v>
      </c>
      <c r="K1119" t="s">
        <v>28</v>
      </c>
    </row>
    <row r="1120" spans="1:12" x14ac:dyDescent="0.45">
      <c r="A1120" t="s">
        <v>90</v>
      </c>
      <c r="B1120" t="s">
        <v>5</v>
      </c>
      <c r="C1120" t="s">
        <v>84</v>
      </c>
      <c r="D1120" t="s">
        <v>27</v>
      </c>
      <c r="E1120" t="s">
        <v>25</v>
      </c>
      <c r="F1120" t="s">
        <v>27</v>
      </c>
      <c r="G1120" t="s">
        <v>26</v>
      </c>
      <c r="H1120" t="s">
        <v>10</v>
      </c>
      <c r="I1120">
        <v>2025</v>
      </c>
      <c r="J1120">
        <v>0.59135000000000004</v>
      </c>
      <c r="K1120" t="s">
        <v>27</v>
      </c>
    </row>
    <row r="1121" spans="1:12" x14ac:dyDescent="0.45">
      <c r="A1121" t="s">
        <v>90</v>
      </c>
      <c r="B1121" t="s">
        <v>5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2025</v>
      </c>
      <c r="J1121">
        <v>5.3708</v>
      </c>
      <c r="K1121" t="s">
        <v>29</v>
      </c>
    </row>
    <row r="1122" spans="1:12" x14ac:dyDescent="0.45">
      <c r="A1122" t="s">
        <v>90</v>
      </c>
      <c r="B1122" t="s">
        <v>5</v>
      </c>
      <c r="C1122" t="s">
        <v>84</v>
      </c>
      <c r="D1122" t="s">
        <v>33</v>
      </c>
      <c r="E1122" t="s">
        <v>30</v>
      </c>
      <c r="F1122" t="s">
        <v>33</v>
      </c>
      <c r="G1122" t="s">
        <v>31</v>
      </c>
      <c r="H1122" t="s">
        <v>34</v>
      </c>
      <c r="I1122">
        <v>2025</v>
      </c>
      <c r="J1122">
        <v>2.3414999999999999</v>
      </c>
      <c r="K1122" t="s">
        <v>33</v>
      </c>
    </row>
    <row r="1123" spans="1:12" x14ac:dyDescent="0.45">
      <c r="A1123" t="s">
        <v>90</v>
      </c>
      <c r="B1123" t="s">
        <v>5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2025</v>
      </c>
      <c r="J1123">
        <v>4.6830999999999996</v>
      </c>
      <c r="K1123" t="s">
        <v>35</v>
      </c>
    </row>
    <row r="1124" spans="1:12" x14ac:dyDescent="0.45">
      <c r="A1124" t="s">
        <v>90</v>
      </c>
      <c r="B1124" t="s">
        <v>5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2025</v>
      </c>
      <c r="J1124">
        <v>65.561549999999997</v>
      </c>
      <c r="K1124" t="s">
        <v>37</v>
      </c>
    </row>
    <row r="1125" spans="1:12" x14ac:dyDescent="0.45">
      <c r="A1125" t="s">
        <v>90</v>
      </c>
      <c r="B1125" t="s">
        <v>5</v>
      </c>
      <c r="C1125" t="s">
        <v>84</v>
      </c>
      <c r="D1125" t="s">
        <v>52</v>
      </c>
      <c r="E1125" t="s">
        <v>25</v>
      </c>
      <c r="F1125" t="s">
        <v>52</v>
      </c>
      <c r="G1125" t="s">
        <v>71</v>
      </c>
      <c r="H1125" t="s">
        <v>89</v>
      </c>
      <c r="I1125">
        <v>2025</v>
      </c>
      <c r="J1125">
        <v>1.0499000000000001</v>
      </c>
      <c r="K1125" t="s">
        <v>52</v>
      </c>
      <c r="L1125">
        <v>94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53</v>
      </c>
      <c r="E1126" t="s">
        <v>25</v>
      </c>
      <c r="F1126" t="s">
        <v>53</v>
      </c>
      <c r="G1126" t="s">
        <v>71</v>
      </c>
      <c r="H1126" t="s">
        <v>89</v>
      </c>
      <c r="I1126">
        <v>2025</v>
      </c>
      <c r="J1126">
        <v>6.8305999999999996</v>
      </c>
      <c r="K1126" t="s">
        <v>53</v>
      </c>
      <c r="L1126">
        <v>55</v>
      </c>
    </row>
    <row r="1127" spans="1:12" x14ac:dyDescent="0.45">
      <c r="A1127" t="s">
        <v>90</v>
      </c>
      <c r="B1127" t="s">
        <v>5</v>
      </c>
      <c r="C1127" t="s">
        <v>84</v>
      </c>
      <c r="D1127" t="s">
        <v>54</v>
      </c>
      <c r="E1127" t="s">
        <v>25</v>
      </c>
      <c r="F1127" t="s">
        <v>54</v>
      </c>
      <c r="G1127" t="s">
        <v>71</v>
      </c>
      <c r="H1127" t="s">
        <v>89</v>
      </c>
      <c r="I1127">
        <v>2025</v>
      </c>
      <c r="J1127">
        <v>7.9000000000000001E-2</v>
      </c>
      <c r="K1127" t="s">
        <v>54</v>
      </c>
      <c r="L1127">
        <v>70</v>
      </c>
    </row>
    <row r="1128" spans="1:12" x14ac:dyDescent="0.45">
      <c r="A1128" t="s">
        <v>90</v>
      </c>
      <c r="B1128" t="s">
        <v>5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2025</v>
      </c>
      <c r="J1128">
        <v>0.36029999999999995</v>
      </c>
      <c r="K1128" t="s">
        <v>85</v>
      </c>
    </row>
    <row r="1129" spans="1:12" x14ac:dyDescent="0.45">
      <c r="A1129" t="s">
        <v>90</v>
      </c>
      <c r="B1129" t="s">
        <v>5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2030</v>
      </c>
      <c r="J1129">
        <v>221.6283</v>
      </c>
      <c r="K1129" t="s">
        <v>45</v>
      </c>
    </row>
    <row r="1130" spans="1:12" x14ac:dyDescent="0.45">
      <c r="A1130" t="s">
        <v>90</v>
      </c>
      <c r="B1130" t="s">
        <v>5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2030</v>
      </c>
      <c r="J1130">
        <v>1279.5106000000001</v>
      </c>
      <c r="K1130" t="s">
        <v>48</v>
      </c>
    </row>
    <row r="1131" spans="1:12" x14ac:dyDescent="0.45">
      <c r="A1131" t="s">
        <v>90</v>
      </c>
      <c r="B1131" t="s">
        <v>5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2030</v>
      </c>
      <c r="J1131">
        <v>2038.17155</v>
      </c>
      <c r="K1131" t="s">
        <v>51</v>
      </c>
    </row>
    <row r="1132" spans="1:12" x14ac:dyDescent="0.45">
      <c r="A1132" t="s">
        <v>90</v>
      </c>
      <c r="B1132" t="s">
        <v>5</v>
      </c>
      <c r="C1132" t="s">
        <v>84</v>
      </c>
      <c r="D1132" t="s">
        <v>24</v>
      </c>
      <c r="E1132" t="s">
        <v>25</v>
      </c>
      <c r="F1132" t="s">
        <v>24</v>
      </c>
      <c r="G1132" t="s">
        <v>26</v>
      </c>
      <c r="H1132" t="s">
        <v>13</v>
      </c>
      <c r="I1132">
        <v>2030</v>
      </c>
      <c r="J1132">
        <v>2.4428999999999998</v>
      </c>
      <c r="K1132" t="s">
        <v>24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2030</v>
      </c>
      <c r="J1133">
        <v>10.227450000000001</v>
      </c>
      <c r="K1133" t="s">
        <v>28</v>
      </c>
    </row>
    <row r="1134" spans="1:12" x14ac:dyDescent="0.45">
      <c r="A1134" t="s">
        <v>90</v>
      </c>
      <c r="B1134" t="s">
        <v>5</v>
      </c>
      <c r="C1134" t="s">
        <v>84</v>
      </c>
      <c r="D1134" t="s">
        <v>27</v>
      </c>
      <c r="E1134" t="s">
        <v>25</v>
      </c>
      <c r="F1134" t="s">
        <v>27</v>
      </c>
      <c r="G1134" t="s">
        <v>26</v>
      </c>
      <c r="H1134" t="s">
        <v>10</v>
      </c>
      <c r="I1134">
        <v>2030</v>
      </c>
      <c r="J1134">
        <v>1.3069999999999999</v>
      </c>
      <c r="K1134" t="s">
        <v>27</v>
      </c>
    </row>
    <row r="1135" spans="1:12" x14ac:dyDescent="0.45">
      <c r="A1135" t="s">
        <v>90</v>
      </c>
      <c r="B1135" t="s">
        <v>5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2030</v>
      </c>
      <c r="J1135">
        <v>5.2363499999999998</v>
      </c>
      <c r="K1135" t="s">
        <v>29</v>
      </c>
    </row>
    <row r="1136" spans="1:12" x14ac:dyDescent="0.45">
      <c r="A1136" t="s">
        <v>90</v>
      </c>
      <c r="B1136" t="s">
        <v>5</v>
      </c>
      <c r="C1136" t="s">
        <v>84</v>
      </c>
      <c r="D1136" t="s">
        <v>33</v>
      </c>
      <c r="E1136" t="s">
        <v>30</v>
      </c>
      <c r="F1136" t="s">
        <v>33</v>
      </c>
      <c r="G1136" t="s">
        <v>31</v>
      </c>
      <c r="H1136" t="s">
        <v>34</v>
      </c>
      <c r="I1136">
        <v>2030</v>
      </c>
      <c r="J1136">
        <v>1.6132</v>
      </c>
      <c r="K1136" t="s">
        <v>33</v>
      </c>
    </row>
    <row r="1137" spans="1:12" x14ac:dyDescent="0.45">
      <c r="A1137" t="s">
        <v>90</v>
      </c>
      <c r="B1137" t="s">
        <v>5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4.3525</v>
      </c>
      <c r="K1137" t="s">
        <v>35</v>
      </c>
    </row>
    <row r="1138" spans="1:12" x14ac:dyDescent="0.45">
      <c r="A1138" t="s">
        <v>90</v>
      </c>
      <c r="B1138" t="s">
        <v>5</v>
      </c>
      <c r="C1138" t="s">
        <v>84</v>
      </c>
      <c r="D1138" t="s">
        <v>37</v>
      </c>
      <c r="E1138" t="s">
        <v>30</v>
      </c>
      <c r="F1138" t="s">
        <v>37</v>
      </c>
      <c r="G1138" t="s">
        <v>31</v>
      </c>
      <c r="H1138" t="s">
        <v>38</v>
      </c>
      <c r="I1138">
        <v>2030</v>
      </c>
      <c r="J1138">
        <v>77.154449999999997</v>
      </c>
      <c r="K1138" t="s">
        <v>37</v>
      </c>
    </row>
    <row r="1139" spans="1:12" x14ac:dyDescent="0.45">
      <c r="A1139" t="s">
        <v>90</v>
      </c>
      <c r="B1139" t="s">
        <v>5</v>
      </c>
      <c r="C1139" t="s">
        <v>84</v>
      </c>
      <c r="D1139" t="s">
        <v>52</v>
      </c>
      <c r="E1139" t="s">
        <v>25</v>
      </c>
      <c r="F1139" t="s">
        <v>52</v>
      </c>
      <c r="G1139" t="s">
        <v>71</v>
      </c>
      <c r="H1139" t="s">
        <v>89</v>
      </c>
      <c r="I1139">
        <v>2030</v>
      </c>
      <c r="J1139">
        <v>6.1999999999999998E-3</v>
      </c>
      <c r="K1139" t="s">
        <v>52</v>
      </c>
      <c r="L1139">
        <v>94</v>
      </c>
    </row>
    <row r="1140" spans="1:12" x14ac:dyDescent="0.45">
      <c r="A1140" t="s">
        <v>90</v>
      </c>
      <c r="B1140" t="s">
        <v>5</v>
      </c>
      <c r="C1140" t="s">
        <v>84</v>
      </c>
      <c r="D1140" t="s">
        <v>53</v>
      </c>
      <c r="E1140" t="s">
        <v>25</v>
      </c>
      <c r="F1140" t="s">
        <v>53</v>
      </c>
      <c r="G1140" t="s">
        <v>71</v>
      </c>
      <c r="H1140" t="s">
        <v>89</v>
      </c>
      <c r="I1140">
        <v>2030</v>
      </c>
      <c r="J1140">
        <v>3.4314</v>
      </c>
      <c r="K1140" t="s">
        <v>53</v>
      </c>
      <c r="L1140">
        <v>55</v>
      </c>
    </row>
    <row r="1141" spans="1:12" x14ac:dyDescent="0.45">
      <c r="A1141" t="s">
        <v>90</v>
      </c>
      <c r="B1141" t="s">
        <v>5</v>
      </c>
      <c r="C1141" t="s">
        <v>84</v>
      </c>
      <c r="D1141" t="s">
        <v>54</v>
      </c>
      <c r="E1141" t="s">
        <v>25</v>
      </c>
      <c r="F1141" t="s">
        <v>54</v>
      </c>
      <c r="G1141" t="s">
        <v>71</v>
      </c>
      <c r="H1141" t="s">
        <v>89</v>
      </c>
      <c r="I1141">
        <v>2030</v>
      </c>
      <c r="J1141">
        <v>2.7E-2</v>
      </c>
      <c r="K1141" t="s">
        <v>54</v>
      </c>
      <c r="L1141">
        <v>70</v>
      </c>
    </row>
    <row r="1142" spans="1:12" x14ac:dyDescent="0.45">
      <c r="A1142" t="s">
        <v>90</v>
      </c>
      <c r="B1142" t="s">
        <v>5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2030</v>
      </c>
      <c r="J1142">
        <v>0.68759999999999999</v>
      </c>
      <c r="K1142" t="s">
        <v>85</v>
      </c>
    </row>
    <row r="1143" spans="1:12" x14ac:dyDescent="0.45">
      <c r="A1143" t="s">
        <v>90</v>
      </c>
      <c r="B1143" t="s">
        <v>5</v>
      </c>
      <c r="C1143" t="s">
        <v>84</v>
      </c>
      <c r="D1143" t="s">
        <v>45</v>
      </c>
      <c r="E1143" t="s">
        <v>46</v>
      </c>
      <c r="F1143" t="s">
        <v>45</v>
      </c>
      <c r="G1143" t="s">
        <v>47</v>
      </c>
      <c r="H1143" t="s">
        <v>89</v>
      </c>
      <c r="I1143">
        <v>2035</v>
      </c>
      <c r="J1143">
        <v>356.21505000000002</v>
      </c>
      <c r="K1143" t="s">
        <v>45</v>
      </c>
    </row>
    <row r="1144" spans="1:12" x14ac:dyDescent="0.45">
      <c r="A1144" t="s">
        <v>90</v>
      </c>
      <c r="B1144" t="s">
        <v>5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2035</v>
      </c>
      <c r="J1144">
        <v>239.73745</v>
      </c>
      <c r="K1144" t="s">
        <v>48</v>
      </c>
    </row>
    <row r="1145" spans="1:12" x14ac:dyDescent="0.45">
      <c r="A1145" t="s">
        <v>90</v>
      </c>
      <c r="B1145" t="s">
        <v>5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2035</v>
      </c>
      <c r="J1145">
        <v>1007.8833999999999</v>
      </c>
      <c r="K1145" t="s">
        <v>51</v>
      </c>
    </row>
    <row r="1146" spans="1:12" x14ac:dyDescent="0.45">
      <c r="A1146" t="s">
        <v>90</v>
      </c>
      <c r="B1146" t="s">
        <v>5</v>
      </c>
      <c r="C1146" t="s">
        <v>84</v>
      </c>
      <c r="D1146" t="s">
        <v>24</v>
      </c>
      <c r="E1146" t="s">
        <v>25</v>
      </c>
      <c r="F1146" t="s">
        <v>24</v>
      </c>
      <c r="G1146" t="s">
        <v>26</v>
      </c>
      <c r="H1146" t="s">
        <v>13</v>
      </c>
      <c r="I1146">
        <v>2035</v>
      </c>
      <c r="J1146">
        <v>2.4975500000000004</v>
      </c>
      <c r="K1146" t="s">
        <v>24</v>
      </c>
    </row>
    <row r="1147" spans="1:12" x14ac:dyDescent="0.45">
      <c r="A1147" t="s">
        <v>90</v>
      </c>
      <c r="B1147" t="s">
        <v>5</v>
      </c>
      <c r="C1147" t="s">
        <v>84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2035</v>
      </c>
      <c r="J1147">
        <v>11.129100000000001</v>
      </c>
      <c r="K1147" t="s">
        <v>28</v>
      </c>
    </row>
    <row r="1148" spans="1:12" x14ac:dyDescent="0.45">
      <c r="A1148" t="s">
        <v>90</v>
      </c>
      <c r="B1148" t="s">
        <v>5</v>
      </c>
      <c r="C1148" t="s">
        <v>84</v>
      </c>
      <c r="D1148" t="s">
        <v>27</v>
      </c>
      <c r="E1148" t="s">
        <v>25</v>
      </c>
      <c r="F1148" t="s">
        <v>27</v>
      </c>
      <c r="G1148" t="s">
        <v>26</v>
      </c>
      <c r="H1148" t="s">
        <v>10</v>
      </c>
      <c r="I1148">
        <v>2035</v>
      </c>
      <c r="J1148">
        <v>2.2339500000000001</v>
      </c>
      <c r="K1148" t="s">
        <v>27</v>
      </c>
    </row>
    <row r="1149" spans="1:12" x14ac:dyDescent="0.45">
      <c r="A1149" t="s">
        <v>90</v>
      </c>
      <c r="B1149" t="s">
        <v>5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2035</v>
      </c>
      <c r="J1149">
        <v>7.7720500000000001</v>
      </c>
      <c r="K1149" t="s">
        <v>29</v>
      </c>
    </row>
    <row r="1150" spans="1:12" x14ac:dyDescent="0.45">
      <c r="A1150" t="s">
        <v>90</v>
      </c>
      <c r="B1150" t="s">
        <v>5</v>
      </c>
      <c r="C1150" t="s">
        <v>84</v>
      </c>
      <c r="D1150" t="s">
        <v>33</v>
      </c>
      <c r="E1150" t="s">
        <v>30</v>
      </c>
      <c r="F1150" t="s">
        <v>33</v>
      </c>
      <c r="G1150" t="s">
        <v>31</v>
      </c>
      <c r="H1150" t="s">
        <v>34</v>
      </c>
      <c r="I1150">
        <v>2035</v>
      </c>
      <c r="J1150">
        <v>1.1793999999999998</v>
      </c>
      <c r="K1150" t="s">
        <v>33</v>
      </c>
    </row>
    <row r="1151" spans="1:12" x14ac:dyDescent="0.45">
      <c r="A1151" t="s">
        <v>90</v>
      </c>
      <c r="B1151" t="s">
        <v>5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2035</v>
      </c>
      <c r="J1151">
        <v>5.21875</v>
      </c>
      <c r="K1151" t="s">
        <v>35</v>
      </c>
    </row>
    <row r="1152" spans="1:12" x14ac:dyDescent="0.45">
      <c r="A1152" t="s">
        <v>90</v>
      </c>
      <c r="B1152" t="s">
        <v>5</v>
      </c>
      <c r="C1152" t="s">
        <v>84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2035</v>
      </c>
      <c r="J1152">
        <v>83.237899999999996</v>
      </c>
      <c r="K1152" t="s">
        <v>37</v>
      </c>
    </row>
    <row r="1153" spans="1:12" x14ac:dyDescent="0.45">
      <c r="A1153" t="s">
        <v>90</v>
      </c>
      <c r="B1153" t="s">
        <v>5</v>
      </c>
      <c r="C1153" t="s">
        <v>84</v>
      </c>
      <c r="D1153" t="s">
        <v>52</v>
      </c>
      <c r="E1153" t="s">
        <v>25</v>
      </c>
      <c r="F1153" t="s">
        <v>52</v>
      </c>
      <c r="G1153" t="s">
        <v>71</v>
      </c>
      <c r="H1153" t="s">
        <v>89</v>
      </c>
      <c r="I1153">
        <v>2035</v>
      </c>
      <c r="J1153">
        <v>8.9999999999999998E-4</v>
      </c>
      <c r="K1153" t="s">
        <v>52</v>
      </c>
      <c r="L1153">
        <v>94</v>
      </c>
    </row>
    <row r="1154" spans="1:12" x14ac:dyDescent="0.45">
      <c r="A1154" t="s">
        <v>90</v>
      </c>
      <c r="B1154" t="s">
        <v>5</v>
      </c>
      <c r="C1154" t="s">
        <v>84</v>
      </c>
      <c r="D1154" t="s">
        <v>53</v>
      </c>
      <c r="E1154" t="s">
        <v>25</v>
      </c>
      <c r="F1154" t="s">
        <v>53</v>
      </c>
      <c r="G1154" t="s">
        <v>71</v>
      </c>
      <c r="H1154" t="s">
        <v>89</v>
      </c>
      <c r="I1154">
        <v>2035</v>
      </c>
      <c r="J1154">
        <v>1.2662</v>
      </c>
      <c r="K1154" t="s">
        <v>53</v>
      </c>
      <c r="L1154">
        <v>55</v>
      </c>
    </row>
    <row r="1155" spans="1:12" x14ac:dyDescent="0.45">
      <c r="A1155" t="s">
        <v>90</v>
      </c>
      <c r="B1155" t="s">
        <v>5</v>
      </c>
      <c r="C1155" t="s">
        <v>84</v>
      </c>
      <c r="D1155" t="s">
        <v>54</v>
      </c>
      <c r="E1155" t="s">
        <v>25</v>
      </c>
      <c r="F1155" t="s">
        <v>54</v>
      </c>
      <c r="G1155" t="s">
        <v>71</v>
      </c>
      <c r="H1155" t="s">
        <v>89</v>
      </c>
      <c r="I1155">
        <v>2035</v>
      </c>
      <c r="J1155">
        <v>0</v>
      </c>
      <c r="K1155" t="s">
        <v>54</v>
      </c>
      <c r="L1155">
        <v>70</v>
      </c>
    </row>
    <row r="1156" spans="1:12" x14ac:dyDescent="0.45">
      <c r="A1156" t="s">
        <v>90</v>
      </c>
      <c r="B1156" t="s">
        <v>5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2035</v>
      </c>
      <c r="J1156">
        <v>1.1589499999999999</v>
      </c>
      <c r="K1156" t="s">
        <v>85</v>
      </c>
    </row>
    <row r="1157" spans="1:12" x14ac:dyDescent="0.45">
      <c r="A1157" t="s">
        <v>90</v>
      </c>
      <c r="B1157" t="s">
        <v>5</v>
      </c>
      <c r="C1157" t="s">
        <v>84</v>
      </c>
      <c r="D1157" t="s">
        <v>45</v>
      </c>
      <c r="E1157" t="s">
        <v>46</v>
      </c>
      <c r="F1157" t="s">
        <v>45</v>
      </c>
      <c r="G1157" t="s">
        <v>47</v>
      </c>
      <c r="H1157" t="s">
        <v>89</v>
      </c>
      <c r="I1157">
        <v>2040</v>
      </c>
      <c r="J1157">
        <v>446.5025</v>
      </c>
      <c r="K1157" t="s">
        <v>45</v>
      </c>
    </row>
    <row r="1158" spans="1:12" x14ac:dyDescent="0.45">
      <c r="A1158" t="s">
        <v>90</v>
      </c>
      <c r="B1158" t="s">
        <v>5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2040</v>
      </c>
      <c r="J1158">
        <v>-566.20409999999993</v>
      </c>
      <c r="K1158" t="s">
        <v>48</v>
      </c>
    </row>
    <row r="1159" spans="1:12" x14ac:dyDescent="0.45">
      <c r="A1159" t="s">
        <v>90</v>
      </c>
      <c r="B1159" t="s">
        <v>5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2040</v>
      </c>
      <c r="J1159">
        <v>229.41034999999999</v>
      </c>
      <c r="K1159" t="s">
        <v>51</v>
      </c>
    </row>
    <row r="1160" spans="1:12" x14ac:dyDescent="0.45">
      <c r="A1160" t="s">
        <v>90</v>
      </c>
      <c r="B1160" t="s">
        <v>5</v>
      </c>
      <c r="C1160" t="s">
        <v>84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2040</v>
      </c>
      <c r="J1160">
        <v>2.4566499999999998</v>
      </c>
      <c r="K1160" t="s">
        <v>24</v>
      </c>
    </row>
    <row r="1161" spans="1:12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2040</v>
      </c>
      <c r="J1161">
        <v>11.2964</v>
      </c>
      <c r="K1161" t="s">
        <v>28</v>
      </c>
    </row>
    <row r="1162" spans="1:12" x14ac:dyDescent="0.45">
      <c r="A1162" t="s">
        <v>90</v>
      </c>
      <c r="B1162" t="s">
        <v>5</v>
      </c>
      <c r="C1162" t="s">
        <v>84</v>
      </c>
      <c r="D1162" t="s">
        <v>27</v>
      </c>
      <c r="E1162" t="s">
        <v>25</v>
      </c>
      <c r="F1162" t="s">
        <v>27</v>
      </c>
      <c r="G1162" t="s">
        <v>26</v>
      </c>
      <c r="H1162" t="s">
        <v>10</v>
      </c>
      <c r="I1162">
        <v>2040</v>
      </c>
      <c r="J1162">
        <v>2.90605</v>
      </c>
      <c r="K1162" t="s">
        <v>27</v>
      </c>
    </row>
    <row r="1163" spans="1:12" x14ac:dyDescent="0.45">
      <c r="A1163" t="s">
        <v>90</v>
      </c>
      <c r="B1163" t="s">
        <v>5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2040</v>
      </c>
      <c r="J1163">
        <v>8.9328500000000002</v>
      </c>
      <c r="K1163" t="s">
        <v>29</v>
      </c>
    </row>
    <row r="1164" spans="1:12" x14ac:dyDescent="0.45">
      <c r="A1164" t="s">
        <v>90</v>
      </c>
      <c r="B1164" t="s">
        <v>5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2040</v>
      </c>
      <c r="J1164">
        <v>1.33395</v>
      </c>
      <c r="K1164" t="s">
        <v>33</v>
      </c>
    </row>
    <row r="1165" spans="1:12" x14ac:dyDescent="0.45">
      <c r="A1165" t="s">
        <v>90</v>
      </c>
      <c r="B1165" t="s">
        <v>5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2040</v>
      </c>
      <c r="J1165">
        <v>4.6133500000000005</v>
      </c>
      <c r="K1165" t="s">
        <v>35</v>
      </c>
    </row>
    <row r="1166" spans="1:12" x14ac:dyDescent="0.45">
      <c r="A1166" t="s">
        <v>90</v>
      </c>
      <c r="B1166" t="s">
        <v>5</v>
      </c>
      <c r="C1166" t="s">
        <v>84</v>
      </c>
      <c r="D1166" t="s">
        <v>37</v>
      </c>
      <c r="E1166" t="s">
        <v>30</v>
      </c>
      <c r="F1166" t="s">
        <v>37</v>
      </c>
      <c r="G1166" t="s">
        <v>31</v>
      </c>
      <c r="H1166" t="s">
        <v>38</v>
      </c>
      <c r="I1166">
        <v>2040</v>
      </c>
      <c r="J1166">
        <v>96.67734999999999</v>
      </c>
      <c r="K1166" t="s">
        <v>37</v>
      </c>
    </row>
    <row r="1167" spans="1:12" x14ac:dyDescent="0.45">
      <c r="A1167" t="s">
        <v>90</v>
      </c>
      <c r="B1167" t="s">
        <v>5</v>
      </c>
      <c r="C1167" t="s">
        <v>84</v>
      </c>
      <c r="D1167" t="s">
        <v>52</v>
      </c>
      <c r="E1167" t="s">
        <v>25</v>
      </c>
      <c r="F1167" t="s">
        <v>52</v>
      </c>
      <c r="G1167" t="s">
        <v>71</v>
      </c>
      <c r="H1167" t="s">
        <v>89</v>
      </c>
      <c r="I1167">
        <v>2040</v>
      </c>
      <c r="J1167">
        <v>6.9999999999999999E-4</v>
      </c>
      <c r="K1167" t="s">
        <v>52</v>
      </c>
      <c r="L1167">
        <v>94</v>
      </c>
    </row>
    <row r="1168" spans="1:12" x14ac:dyDescent="0.45">
      <c r="A1168" t="s">
        <v>90</v>
      </c>
      <c r="B1168" t="s">
        <v>5</v>
      </c>
      <c r="C1168" t="s">
        <v>84</v>
      </c>
      <c r="D1168" t="s">
        <v>53</v>
      </c>
      <c r="E1168" t="s">
        <v>25</v>
      </c>
      <c r="F1168" t="s">
        <v>53</v>
      </c>
      <c r="G1168" t="s">
        <v>71</v>
      </c>
      <c r="H1168" t="s">
        <v>89</v>
      </c>
      <c r="I1168">
        <v>2040</v>
      </c>
      <c r="J1168">
        <v>1.5800000000000002E-2</v>
      </c>
      <c r="K1168" t="s">
        <v>53</v>
      </c>
      <c r="L1168">
        <v>55</v>
      </c>
    </row>
    <row r="1169" spans="1:12" x14ac:dyDescent="0.45">
      <c r="A1169" t="s">
        <v>90</v>
      </c>
      <c r="B1169" t="s">
        <v>5</v>
      </c>
      <c r="C1169" t="s">
        <v>84</v>
      </c>
      <c r="D1169" t="s">
        <v>54</v>
      </c>
      <c r="E1169" t="s">
        <v>25</v>
      </c>
      <c r="F1169" t="s">
        <v>54</v>
      </c>
      <c r="G1169" t="s">
        <v>71</v>
      </c>
      <c r="H1169" t="s">
        <v>89</v>
      </c>
      <c r="I1169">
        <v>2040</v>
      </c>
      <c r="J1169">
        <v>0</v>
      </c>
      <c r="K1169" t="s">
        <v>54</v>
      </c>
      <c r="L1169">
        <v>70</v>
      </c>
    </row>
    <row r="1170" spans="1:12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2040</v>
      </c>
      <c r="J1170">
        <v>1.6034000000000002</v>
      </c>
      <c r="K1170" t="s">
        <v>85</v>
      </c>
    </row>
    <row r="1171" spans="1:12" x14ac:dyDescent="0.45">
      <c r="A1171" t="s">
        <v>90</v>
      </c>
      <c r="B1171" t="s">
        <v>5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H1171" t="s">
        <v>89</v>
      </c>
      <c r="I1171">
        <v>2045</v>
      </c>
      <c r="J1171">
        <v>512.11054999999999</v>
      </c>
      <c r="K1171" t="s">
        <v>45</v>
      </c>
    </row>
    <row r="1172" spans="1:12" x14ac:dyDescent="0.45">
      <c r="A1172" t="s">
        <v>90</v>
      </c>
      <c r="B1172" t="s">
        <v>5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2045</v>
      </c>
      <c r="J1172">
        <v>-899.74890000000005</v>
      </c>
      <c r="K1172" t="s">
        <v>48</v>
      </c>
    </row>
    <row r="1173" spans="1:12" x14ac:dyDescent="0.45">
      <c r="A1173" t="s">
        <v>90</v>
      </c>
      <c r="B1173" t="s">
        <v>5</v>
      </c>
      <c r="C1173" t="s">
        <v>84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2045</v>
      </c>
      <c r="J1173">
        <v>-80.426200000000009</v>
      </c>
      <c r="K1173" t="s">
        <v>51</v>
      </c>
    </row>
    <row r="1174" spans="1:12" x14ac:dyDescent="0.45">
      <c r="A1174" t="s">
        <v>90</v>
      </c>
      <c r="B1174" t="s">
        <v>5</v>
      </c>
      <c r="C1174" t="s">
        <v>84</v>
      </c>
      <c r="D1174" t="s">
        <v>24</v>
      </c>
      <c r="E1174" t="s">
        <v>25</v>
      </c>
      <c r="F1174" t="s">
        <v>24</v>
      </c>
      <c r="G1174" t="s">
        <v>26</v>
      </c>
      <c r="H1174" t="s">
        <v>13</v>
      </c>
      <c r="I1174">
        <v>2045</v>
      </c>
      <c r="J1174">
        <v>2.4170499999999997</v>
      </c>
      <c r="K1174" t="s">
        <v>24</v>
      </c>
    </row>
    <row r="1175" spans="1:12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2045</v>
      </c>
      <c r="J1175">
        <v>11.66015</v>
      </c>
      <c r="K1175" t="s">
        <v>28</v>
      </c>
    </row>
    <row r="1176" spans="1:12" x14ac:dyDescent="0.45">
      <c r="A1176" t="s">
        <v>90</v>
      </c>
      <c r="B1176" t="s">
        <v>5</v>
      </c>
      <c r="C1176" t="s">
        <v>84</v>
      </c>
      <c r="D1176" t="s">
        <v>27</v>
      </c>
      <c r="E1176" t="s">
        <v>25</v>
      </c>
      <c r="F1176" t="s">
        <v>27</v>
      </c>
      <c r="G1176" t="s">
        <v>26</v>
      </c>
      <c r="H1176" t="s">
        <v>10</v>
      </c>
      <c r="I1176">
        <v>2045</v>
      </c>
      <c r="J1176">
        <v>3.0732499999999998</v>
      </c>
      <c r="K1176" t="s">
        <v>27</v>
      </c>
    </row>
    <row r="1177" spans="1:12" x14ac:dyDescent="0.45">
      <c r="A1177" t="s">
        <v>90</v>
      </c>
      <c r="B1177" t="s">
        <v>5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2045</v>
      </c>
      <c r="J1177">
        <v>10.32155</v>
      </c>
      <c r="K1177" t="s">
        <v>29</v>
      </c>
    </row>
    <row r="1178" spans="1:12" x14ac:dyDescent="0.45">
      <c r="A1178" t="s">
        <v>90</v>
      </c>
      <c r="B1178" t="s">
        <v>5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2045</v>
      </c>
      <c r="J1178">
        <v>1.2519499999999999</v>
      </c>
      <c r="K1178" t="s">
        <v>33</v>
      </c>
    </row>
    <row r="1179" spans="1:12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2045</v>
      </c>
      <c r="J1179">
        <v>4.0944000000000003</v>
      </c>
      <c r="K1179" t="s">
        <v>35</v>
      </c>
    </row>
    <row r="1180" spans="1:12" x14ac:dyDescent="0.45">
      <c r="A1180" t="s">
        <v>90</v>
      </c>
      <c r="B1180" t="s">
        <v>5</v>
      </c>
      <c r="C1180" t="s">
        <v>84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2045</v>
      </c>
      <c r="J1180">
        <v>85.596149999999994</v>
      </c>
      <c r="K1180" t="s">
        <v>37</v>
      </c>
    </row>
    <row r="1181" spans="1:12" x14ac:dyDescent="0.45">
      <c r="A1181" t="s">
        <v>90</v>
      </c>
      <c r="B1181" t="s">
        <v>5</v>
      </c>
      <c r="C1181" t="s">
        <v>84</v>
      </c>
      <c r="D1181" t="s">
        <v>52</v>
      </c>
      <c r="E1181" t="s">
        <v>25</v>
      </c>
      <c r="F1181" t="s">
        <v>52</v>
      </c>
      <c r="G1181" t="s">
        <v>71</v>
      </c>
      <c r="H1181" t="s">
        <v>89</v>
      </c>
      <c r="I1181">
        <v>2045</v>
      </c>
      <c r="J1181">
        <v>4.0000000000000002E-4</v>
      </c>
      <c r="K1181" t="s">
        <v>52</v>
      </c>
      <c r="L1181">
        <v>94</v>
      </c>
    </row>
    <row r="1182" spans="1:12" x14ac:dyDescent="0.45">
      <c r="A1182" t="s">
        <v>90</v>
      </c>
      <c r="B1182" t="s">
        <v>5</v>
      </c>
      <c r="C1182" t="s">
        <v>84</v>
      </c>
      <c r="D1182" t="s">
        <v>53</v>
      </c>
      <c r="E1182" t="s">
        <v>25</v>
      </c>
      <c r="F1182" t="s">
        <v>53</v>
      </c>
      <c r="G1182" t="s">
        <v>71</v>
      </c>
      <c r="H1182" t="s">
        <v>89</v>
      </c>
      <c r="I1182">
        <v>2045</v>
      </c>
      <c r="J1182">
        <v>1.2E-2</v>
      </c>
      <c r="K1182" t="s">
        <v>53</v>
      </c>
      <c r="L1182">
        <v>55</v>
      </c>
    </row>
    <row r="1183" spans="1:12" x14ac:dyDescent="0.45">
      <c r="A1183" t="s">
        <v>90</v>
      </c>
      <c r="B1183" t="s">
        <v>5</v>
      </c>
      <c r="C1183" t="s">
        <v>84</v>
      </c>
      <c r="D1183" t="s">
        <v>54</v>
      </c>
      <c r="E1183" t="s">
        <v>25</v>
      </c>
      <c r="F1183" t="s">
        <v>54</v>
      </c>
      <c r="G1183" t="s">
        <v>71</v>
      </c>
      <c r="H1183" t="s">
        <v>89</v>
      </c>
      <c r="I1183">
        <v>2045</v>
      </c>
      <c r="J1183">
        <v>0</v>
      </c>
      <c r="K1183" t="s">
        <v>54</v>
      </c>
      <c r="L1183">
        <v>70</v>
      </c>
    </row>
    <row r="1184" spans="1:12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2045</v>
      </c>
      <c r="J1184">
        <v>1.8732</v>
      </c>
      <c r="K1184" t="s">
        <v>85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45</v>
      </c>
      <c r="E1185" t="s">
        <v>46</v>
      </c>
      <c r="F1185" t="s">
        <v>45</v>
      </c>
      <c r="G1185" t="s">
        <v>47</v>
      </c>
      <c r="H1185" t="s">
        <v>89</v>
      </c>
      <c r="I1185">
        <v>2050</v>
      </c>
      <c r="J1185">
        <v>570.63840000000005</v>
      </c>
      <c r="K1185" t="s">
        <v>45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2050</v>
      </c>
      <c r="J1186">
        <v>-1130.0226</v>
      </c>
      <c r="K1186" t="s">
        <v>48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2050</v>
      </c>
      <c r="J1187">
        <v>-293.04685000000001</v>
      </c>
      <c r="K1187" t="s">
        <v>51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2050</v>
      </c>
      <c r="J1188">
        <v>2.3616999999999999</v>
      </c>
      <c r="K1188" t="s">
        <v>24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28</v>
      </c>
      <c r="E1189" t="s">
        <v>25</v>
      </c>
      <c r="F1189" t="s">
        <v>28</v>
      </c>
      <c r="G1189" t="s">
        <v>26</v>
      </c>
      <c r="H1189" t="s">
        <v>12</v>
      </c>
      <c r="I1189">
        <v>2050</v>
      </c>
      <c r="J1189">
        <v>11.908300000000001</v>
      </c>
      <c r="K1189" t="s">
        <v>28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2050</v>
      </c>
      <c r="J1190">
        <v>2.80715</v>
      </c>
      <c r="K1190" t="s">
        <v>27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2050</v>
      </c>
      <c r="J1191">
        <v>12.79175</v>
      </c>
      <c r="K1191" t="s">
        <v>29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2050</v>
      </c>
      <c r="J1192">
        <v>1.59405</v>
      </c>
      <c r="K1192" t="s">
        <v>33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2050</v>
      </c>
      <c r="J1193">
        <v>4.16275</v>
      </c>
      <c r="K1193" t="s">
        <v>35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2050</v>
      </c>
      <c r="J1194">
        <v>111.8875</v>
      </c>
      <c r="K1194" t="s">
        <v>37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52</v>
      </c>
      <c r="E1195" t="s">
        <v>25</v>
      </c>
      <c r="F1195" t="s">
        <v>52</v>
      </c>
      <c r="G1195" t="s">
        <v>71</v>
      </c>
      <c r="H1195" t="s">
        <v>89</v>
      </c>
      <c r="I1195">
        <v>2050</v>
      </c>
      <c r="J1195">
        <v>2.0000000000000001E-4</v>
      </c>
      <c r="K1195" t="s">
        <v>52</v>
      </c>
      <c r="L1195">
        <v>94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53</v>
      </c>
      <c r="E1196" t="s">
        <v>25</v>
      </c>
      <c r="F1196" t="s">
        <v>53</v>
      </c>
      <c r="G1196" t="s">
        <v>71</v>
      </c>
      <c r="H1196" t="s">
        <v>89</v>
      </c>
      <c r="I1196">
        <v>2050</v>
      </c>
      <c r="J1196">
        <v>9.5999999999999992E-3</v>
      </c>
      <c r="K1196" t="s">
        <v>53</v>
      </c>
      <c r="L1196">
        <v>55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54</v>
      </c>
      <c r="E1197" t="s">
        <v>25</v>
      </c>
      <c r="F1197" t="s">
        <v>54</v>
      </c>
      <c r="G1197" t="s">
        <v>71</v>
      </c>
      <c r="H1197" t="s">
        <v>89</v>
      </c>
      <c r="I1197">
        <v>2050</v>
      </c>
      <c r="J1197">
        <v>0</v>
      </c>
      <c r="K1197" t="s">
        <v>54</v>
      </c>
      <c r="L1197">
        <v>70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2050</v>
      </c>
      <c r="J1198">
        <v>2.1103500000000004</v>
      </c>
      <c r="K1198" t="s">
        <v>85</v>
      </c>
    </row>
    <row r="1199" spans="1:12" x14ac:dyDescent="0.45">
      <c r="A1199" t="s">
        <v>90</v>
      </c>
      <c r="B1199" t="s">
        <v>5</v>
      </c>
      <c r="C1199" t="s">
        <v>84</v>
      </c>
      <c r="D1199" t="s">
        <v>45</v>
      </c>
      <c r="E1199" t="s">
        <v>46</v>
      </c>
      <c r="F1199" t="s">
        <v>45</v>
      </c>
      <c r="G1199" t="s">
        <v>47</v>
      </c>
      <c r="H1199" t="s">
        <v>89</v>
      </c>
      <c r="I1199">
        <v>2055</v>
      </c>
      <c r="J1199">
        <v>618.85995000000003</v>
      </c>
      <c r="K1199" t="s">
        <v>45</v>
      </c>
    </row>
    <row r="1200" spans="1:12" x14ac:dyDescent="0.45">
      <c r="A1200" t="s">
        <v>90</v>
      </c>
      <c r="B1200" t="s">
        <v>5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2055</v>
      </c>
      <c r="J1200">
        <v>-1272.7759999999998</v>
      </c>
      <c r="K1200" t="s">
        <v>48</v>
      </c>
    </row>
    <row r="1201" spans="1:12" x14ac:dyDescent="0.45">
      <c r="A1201" t="s">
        <v>90</v>
      </c>
      <c r="B1201" t="s">
        <v>5</v>
      </c>
      <c r="C1201" t="s">
        <v>84</v>
      </c>
      <c r="D1201" t="s">
        <v>51</v>
      </c>
      <c r="E1201" t="s">
        <v>46</v>
      </c>
      <c r="F1201" t="s">
        <v>51</v>
      </c>
      <c r="G1201" t="s">
        <v>49</v>
      </c>
      <c r="H1201" t="s">
        <v>50</v>
      </c>
      <c r="I1201">
        <v>2055</v>
      </c>
      <c r="J1201">
        <v>-432.31885</v>
      </c>
      <c r="K1201" t="s">
        <v>51</v>
      </c>
    </row>
    <row r="1202" spans="1:12" x14ac:dyDescent="0.45">
      <c r="A1202" t="s">
        <v>90</v>
      </c>
      <c r="B1202" t="s">
        <v>5</v>
      </c>
      <c r="C1202" t="s">
        <v>84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2055</v>
      </c>
      <c r="J1202">
        <v>2.2012499999999999</v>
      </c>
      <c r="K1202" t="s">
        <v>24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2055</v>
      </c>
      <c r="J1203">
        <v>10.907350000000001</v>
      </c>
      <c r="K1203" t="s">
        <v>28</v>
      </c>
    </row>
    <row r="1204" spans="1:12" x14ac:dyDescent="0.45">
      <c r="A1204" t="s">
        <v>90</v>
      </c>
      <c r="B1204" t="s">
        <v>5</v>
      </c>
      <c r="C1204" t="s">
        <v>84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2055</v>
      </c>
      <c r="J1204">
        <v>3.3488499999999997</v>
      </c>
      <c r="K1204" t="s">
        <v>27</v>
      </c>
    </row>
    <row r="1205" spans="1:12" x14ac:dyDescent="0.45">
      <c r="A1205" t="s">
        <v>90</v>
      </c>
      <c r="B1205" t="s">
        <v>5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2055</v>
      </c>
      <c r="J1205">
        <v>10.578399999999998</v>
      </c>
      <c r="K1205" t="s">
        <v>29</v>
      </c>
    </row>
    <row r="1206" spans="1:12" x14ac:dyDescent="0.45">
      <c r="A1206" t="s">
        <v>90</v>
      </c>
      <c r="B1206" t="s">
        <v>5</v>
      </c>
      <c r="C1206" t="s">
        <v>84</v>
      </c>
      <c r="D1206" t="s">
        <v>33</v>
      </c>
      <c r="E1206" t="s">
        <v>30</v>
      </c>
      <c r="F1206" t="s">
        <v>33</v>
      </c>
      <c r="G1206" t="s">
        <v>31</v>
      </c>
      <c r="H1206" t="s">
        <v>34</v>
      </c>
      <c r="I1206">
        <v>2055</v>
      </c>
      <c r="J1206">
        <v>1.51485</v>
      </c>
      <c r="K1206" t="s">
        <v>33</v>
      </c>
    </row>
    <row r="1207" spans="1:12" x14ac:dyDescent="0.45">
      <c r="A1207" t="s">
        <v>90</v>
      </c>
      <c r="B1207" t="s">
        <v>5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2055</v>
      </c>
      <c r="J1207">
        <v>4.0207499999999996</v>
      </c>
      <c r="K1207" t="s">
        <v>35</v>
      </c>
    </row>
    <row r="1208" spans="1:12" x14ac:dyDescent="0.45">
      <c r="A1208" t="s">
        <v>90</v>
      </c>
      <c r="B1208" t="s">
        <v>5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2055</v>
      </c>
      <c r="J1208">
        <v>125.91630000000001</v>
      </c>
      <c r="K1208" t="s">
        <v>37</v>
      </c>
    </row>
    <row r="1209" spans="1:12" x14ac:dyDescent="0.45">
      <c r="A1209" t="s">
        <v>90</v>
      </c>
      <c r="B1209" t="s">
        <v>5</v>
      </c>
      <c r="C1209" t="s">
        <v>84</v>
      </c>
      <c r="D1209" t="s">
        <v>52</v>
      </c>
      <c r="E1209" t="s">
        <v>25</v>
      </c>
      <c r="F1209" t="s">
        <v>52</v>
      </c>
      <c r="G1209" t="s">
        <v>71</v>
      </c>
      <c r="H1209" t="s">
        <v>89</v>
      </c>
      <c r="I1209">
        <v>2055</v>
      </c>
      <c r="J1209">
        <v>1E-4</v>
      </c>
      <c r="K1209" t="s">
        <v>52</v>
      </c>
      <c r="L1209">
        <v>94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2055</v>
      </c>
      <c r="J1210">
        <v>7.7999999999999996E-3</v>
      </c>
      <c r="K1210" t="s">
        <v>53</v>
      </c>
      <c r="L1210">
        <v>55</v>
      </c>
    </row>
    <row r="1211" spans="1:12" x14ac:dyDescent="0.45">
      <c r="A1211" t="s">
        <v>90</v>
      </c>
      <c r="B1211" t="s">
        <v>5</v>
      </c>
      <c r="C1211" t="s">
        <v>84</v>
      </c>
      <c r="D1211" t="s">
        <v>54</v>
      </c>
      <c r="E1211" t="s">
        <v>25</v>
      </c>
      <c r="F1211" t="s">
        <v>54</v>
      </c>
      <c r="G1211" t="s">
        <v>71</v>
      </c>
      <c r="H1211" t="s">
        <v>89</v>
      </c>
      <c r="I1211">
        <v>2055</v>
      </c>
      <c r="J1211">
        <v>0</v>
      </c>
      <c r="K1211" t="s">
        <v>54</v>
      </c>
      <c r="L1211">
        <v>70</v>
      </c>
    </row>
    <row r="1212" spans="1:12" x14ac:dyDescent="0.45">
      <c r="A1212" t="s">
        <v>90</v>
      </c>
      <c r="B1212" t="s">
        <v>5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2055</v>
      </c>
      <c r="J1212">
        <v>1.9706000000000001</v>
      </c>
      <c r="K1212" t="s">
        <v>85</v>
      </c>
    </row>
    <row r="1213" spans="1:12" x14ac:dyDescent="0.45">
      <c r="A1213" t="s">
        <v>90</v>
      </c>
      <c r="B1213" t="s">
        <v>5</v>
      </c>
      <c r="C1213" t="s">
        <v>84</v>
      </c>
      <c r="D1213" t="s">
        <v>45</v>
      </c>
      <c r="E1213" t="s">
        <v>46</v>
      </c>
      <c r="F1213" t="s">
        <v>45</v>
      </c>
      <c r="G1213" t="s">
        <v>47</v>
      </c>
      <c r="H1213" t="s">
        <v>89</v>
      </c>
      <c r="I1213">
        <v>2060</v>
      </c>
      <c r="J1213">
        <v>670.84839999999997</v>
      </c>
      <c r="K1213" t="s">
        <v>45</v>
      </c>
    </row>
    <row r="1214" spans="1:12" x14ac:dyDescent="0.45">
      <c r="A1214" t="s">
        <v>90</v>
      </c>
      <c r="B1214" t="s">
        <v>5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2060</v>
      </c>
      <c r="J1214">
        <v>-1379.6008499999998</v>
      </c>
      <c r="K1214" t="s">
        <v>48</v>
      </c>
    </row>
    <row r="1215" spans="1:12" x14ac:dyDescent="0.45">
      <c r="A1215" t="s">
        <v>90</v>
      </c>
      <c r="B1215" t="s">
        <v>5</v>
      </c>
      <c r="C1215" t="s">
        <v>84</v>
      </c>
      <c r="D1215" t="s">
        <v>51</v>
      </c>
      <c r="E1215" t="s">
        <v>46</v>
      </c>
      <c r="F1215" t="s">
        <v>51</v>
      </c>
      <c r="G1215" t="s">
        <v>49</v>
      </c>
      <c r="H1215" t="s">
        <v>50</v>
      </c>
      <c r="I1215">
        <v>2060</v>
      </c>
      <c r="J1215">
        <v>-539.18049999999994</v>
      </c>
      <c r="K1215" t="s">
        <v>51</v>
      </c>
    </row>
    <row r="1216" spans="1:12" x14ac:dyDescent="0.45">
      <c r="A1216" t="s">
        <v>90</v>
      </c>
      <c r="B1216" t="s">
        <v>5</v>
      </c>
      <c r="C1216" t="s">
        <v>84</v>
      </c>
      <c r="D1216" t="s">
        <v>24</v>
      </c>
      <c r="E1216" t="s">
        <v>25</v>
      </c>
      <c r="F1216" t="s">
        <v>24</v>
      </c>
      <c r="G1216" t="s">
        <v>26</v>
      </c>
      <c r="H1216" t="s">
        <v>13</v>
      </c>
      <c r="I1216">
        <v>2060</v>
      </c>
      <c r="J1216">
        <v>1.9998499999999999</v>
      </c>
      <c r="K1216" t="s">
        <v>24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28</v>
      </c>
      <c r="E1217" t="s">
        <v>25</v>
      </c>
      <c r="F1217" t="s">
        <v>28</v>
      </c>
      <c r="G1217" t="s">
        <v>26</v>
      </c>
      <c r="H1217" t="s">
        <v>12</v>
      </c>
      <c r="I1217">
        <v>2060</v>
      </c>
      <c r="J1217">
        <v>10.9125</v>
      </c>
      <c r="K1217" t="s">
        <v>28</v>
      </c>
    </row>
    <row r="1218" spans="1:12" x14ac:dyDescent="0.45">
      <c r="A1218" t="s">
        <v>90</v>
      </c>
      <c r="B1218" t="s">
        <v>5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2060</v>
      </c>
      <c r="J1218">
        <v>3.4975000000000001</v>
      </c>
      <c r="K1218" t="s">
        <v>27</v>
      </c>
    </row>
    <row r="1219" spans="1:12" x14ac:dyDescent="0.45">
      <c r="A1219" t="s">
        <v>90</v>
      </c>
      <c r="B1219" t="s">
        <v>5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2060</v>
      </c>
      <c r="J1219">
        <v>21.462600000000002</v>
      </c>
      <c r="K1219" t="s">
        <v>29</v>
      </c>
    </row>
    <row r="1220" spans="1:12" x14ac:dyDescent="0.45">
      <c r="A1220" t="s">
        <v>90</v>
      </c>
      <c r="B1220" t="s">
        <v>5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2060</v>
      </c>
      <c r="J1220">
        <v>1.5146000000000002</v>
      </c>
      <c r="K1220" t="s">
        <v>33</v>
      </c>
    </row>
    <row r="1221" spans="1:12" x14ac:dyDescent="0.45">
      <c r="A1221" t="s">
        <v>90</v>
      </c>
      <c r="B1221" t="s">
        <v>5</v>
      </c>
      <c r="C1221" t="s">
        <v>84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2060</v>
      </c>
      <c r="J1221">
        <v>5.0639500000000002</v>
      </c>
      <c r="K1221" t="s">
        <v>35</v>
      </c>
    </row>
    <row r="1222" spans="1:12" x14ac:dyDescent="0.45">
      <c r="A1222" t="s">
        <v>90</v>
      </c>
      <c r="B1222" t="s">
        <v>5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2060</v>
      </c>
      <c r="J1222">
        <v>181.773</v>
      </c>
      <c r="K1222" t="s">
        <v>37</v>
      </c>
    </row>
    <row r="1223" spans="1:12" x14ac:dyDescent="0.45">
      <c r="A1223" t="s">
        <v>90</v>
      </c>
      <c r="B1223" t="s">
        <v>5</v>
      </c>
      <c r="C1223" t="s">
        <v>84</v>
      </c>
      <c r="D1223" t="s">
        <v>52</v>
      </c>
      <c r="E1223" t="s">
        <v>25</v>
      </c>
      <c r="F1223" t="s">
        <v>52</v>
      </c>
      <c r="G1223" t="s">
        <v>71</v>
      </c>
      <c r="H1223" t="s">
        <v>89</v>
      </c>
      <c r="I1223">
        <v>2060</v>
      </c>
      <c r="J1223">
        <v>0</v>
      </c>
      <c r="K1223" t="s">
        <v>52</v>
      </c>
      <c r="L1223">
        <v>94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53</v>
      </c>
      <c r="E1224" t="s">
        <v>25</v>
      </c>
      <c r="F1224" t="s">
        <v>53</v>
      </c>
      <c r="G1224" t="s">
        <v>71</v>
      </c>
      <c r="H1224" t="s">
        <v>89</v>
      </c>
      <c r="I1224">
        <v>2060</v>
      </c>
      <c r="J1224">
        <v>4.4000000000000003E-3</v>
      </c>
      <c r="K1224" t="s">
        <v>53</v>
      </c>
      <c r="L1224">
        <v>55</v>
      </c>
    </row>
    <row r="1225" spans="1:12" x14ac:dyDescent="0.45">
      <c r="A1225" t="s">
        <v>90</v>
      </c>
      <c r="B1225" t="s">
        <v>5</v>
      </c>
      <c r="C1225" t="s">
        <v>84</v>
      </c>
      <c r="D1225" t="s">
        <v>54</v>
      </c>
      <c r="E1225" t="s">
        <v>25</v>
      </c>
      <c r="F1225" t="s">
        <v>54</v>
      </c>
      <c r="G1225" t="s">
        <v>71</v>
      </c>
      <c r="H1225" t="s">
        <v>89</v>
      </c>
      <c r="I1225">
        <v>2060</v>
      </c>
      <c r="J1225">
        <v>0</v>
      </c>
      <c r="K1225" t="s">
        <v>54</v>
      </c>
      <c r="L1225">
        <v>70</v>
      </c>
    </row>
    <row r="1226" spans="1:12" x14ac:dyDescent="0.45">
      <c r="A1226" t="s">
        <v>90</v>
      </c>
      <c r="B1226" t="s">
        <v>5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2060</v>
      </c>
      <c r="J1226">
        <v>2.0337999999999998</v>
      </c>
      <c r="K1226" t="s">
        <v>85</v>
      </c>
    </row>
    <row r="1227" spans="1:12" x14ac:dyDescent="0.45">
      <c r="A1227" t="s">
        <v>90</v>
      </c>
      <c r="B1227" t="s">
        <v>5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2065</v>
      </c>
      <c r="J1227">
        <v>640.97855000000004</v>
      </c>
      <c r="K1227" t="s">
        <v>45</v>
      </c>
    </row>
    <row r="1228" spans="1:12" x14ac:dyDescent="0.45">
      <c r="A1228" t="s">
        <v>90</v>
      </c>
      <c r="B1228" t="s">
        <v>5</v>
      </c>
      <c r="C1228" t="s">
        <v>84</v>
      </c>
      <c r="D1228" t="s">
        <v>48</v>
      </c>
      <c r="E1228" t="s">
        <v>46</v>
      </c>
      <c r="F1228" t="s">
        <v>48</v>
      </c>
      <c r="G1228" t="s">
        <v>49</v>
      </c>
      <c r="H1228" t="s">
        <v>50</v>
      </c>
      <c r="I1228">
        <v>2065</v>
      </c>
      <c r="J1228">
        <v>-1378.6531500000001</v>
      </c>
      <c r="K1228" t="s">
        <v>48</v>
      </c>
    </row>
    <row r="1229" spans="1:12" x14ac:dyDescent="0.45">
      <c r="A1229" t="s">
        <v>90</v>
      </c>
      <c r="B1229" t="s">
        <v>5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-535.22019999999998</v>
      </c>
      <c r="K1229" t="s">
        <v>51</v>
      </c>
    </row>
    <row r="1230" spans="1:12" x14ac:dyDescent="0.45">
      <c r="A1230" t="s">
        <v>90</v>
      </c>
      <c r="B1230" t="s">
        <v>5</v>
      </c>
      <c r="C1230" t="s">
        <v>84</v>
      </c>
      <c r="D1230" t="s">
        <v>24</v>
      </c>
      <c r="E1230" t="s">
        <v>25</v>
      </c>
      <c r="F1230" t="s">
        <v>24</v>
      </c>
      <c r="G1230" t="s">
        <v>26</v>
      </c>
      <c r="H1230" t="s">
        <v>13</v>
      </c>
      <c r="I1230">
        <v>2065</v>
      </c>
      <c r="J1230">
        <v>1.9094</v>
      </c>
      <c r="K1230" t="s">
        <v>24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28</v>
      </c>
      <c r="E1231" t="s">
        <v>25</v>
      </c>
      <c r="F1231" t="s">
        <v>28</v>
      </c>
      <c r="G1231" t="s">
        <v>26</v>
      </c>
      <c r="H1231" t="s">
        <v>12</v>
      </c>
      <c r="I1231">
        <v>2065</v>
      </c>
      <c r="J1231">
        <v>10.55415</v>
      </c>
      <c r="K1231" t="s">
        <v>28</v>
      </c>
    </row>
    <row r="1232" spans="1:12" x14ac:dyDescent="0.45">
      <c r="A1232" t="s">
        <v>90</v>
      </c>
      <c r="B1232" t="s">
        <v>5</v>
      </c>
      <c r="C1232" t="s">
        <v>84</v>
      </c>
      <c r="D1232" t="s">
        <v>27</v>
      </c>
      <c r="E1232" t="s">
        <v>25</v>
      </c>
      <c r="F1232" t="s">
        <v>27</v>
      </c>
      <c r="G1232" t="s">
        <v>26</v>
      </c>
      <c r="H1232" t="s">
        <v>10</v>
      </c>
      <c r="I1232">
        <v>2065</v>
      </c>
      <c r="J1232">
        <v>3.5662000000000003</v>
      </c>
      <c r="K1232" t="s">
        <v>27</v>
      </c>
    </row>
    <row r="1233" spans="1:12" x14ac:dyDescent="0.45">
      <c r="A1233" t="s">
        <v>90</v>
      </c>
      <c r="B1233" t="s">
        <v>5</v>
      </c>
      <c r="C1233" t="s">
        <v>84</v>
      </c>
      <c r="D1233" t="s">
        <v>29</v>
      </c>
      <c r="E1233" t="s">
        <v>30</v>
      </c>
      <c r="F1233" t="s">
        <v>29</v>
      </c>
      <c r="G1233" t="s">
        <v>31</v>
      </c>
      <c r="H1233" t="s">
        <v>32</v>
      </c>
      <c r="I1233">
        <v>2065</v>
      </c>
      <c r="J1233">
        <v>19.187899999999999</v>
      </c>
      <c r="K1233" t="s">
        <v>29</v>
      </c>
    </row>
    <row r="1234" spans="1:12" x14ac:dyDescent="0.45">
      <c r="A1234" t="s">
        <v>90</v>
      </c>
      <c r="B1234" t="s">
        <v>5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2065</v>
      </c>
      <c r="J1234">
        <v>1.63405</v>
      </c>
      <c r="K1234" t="s">
        <v>33</v>
      </c>
    </row>
    <row r="1235" spans="1:12" x14ac:dyDescent="0.45">
      <c r="A1235" t="s">
        <v>90</v>
      </c>
      <c r="B1235" t="s">
        <v>5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2065</v>
      </c>
      <c r="J1235">
        <v>5.1820000000000004</v>
      </c>
      <c r="K1235" t="s">
        <v>35</v>
      </c>
    </row>
    <row r="1236" spans="1:12" x14ac:dyDescent="0.45">
      <c r="A1236" t="s">
        <v>90</v>
      </c>
      <c r="B1236" t="s">
        <v>5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2065</v>
      </c>
      <c r="J1236">
        <v>224.9675</v>
      </c>
      <c r="K1236" t="s">
        <v>37</v>
      </c>
    </row>
    <row r="1237" spans="1:12" x14ac:dyDescent="0.45">
      <c r="A1237" t="s">
        <v>90</v>
      </c>
      <c r="B1237" t="s">
        <v>5</v>
      </c>
      <c r="C1237" t="s">
        <v>84</v>
      </c>
      <c r="D1237" t="s">
        <v>52</v>
      </c>
      <c r="E1237" t="s">
        <v>25</v>
      </c>
      <c r="F1237" t="s">
        <v>52</v>
      </c>
      <c r="G1237" t="s">
        <v>71</v>
      </c>
      <c r="H1237" t="s">
        <v>89</v>
      </c>
      <c r="I1237">
        <v>2065</v>
      </c>
      <c r="J1237">
        <v>0</v>
      </c>
      <c r="K1237" t="s">
        <v>52</v>
      </c>
      <c r="L1237">
        <v>94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53</v>
      </c>
      <c r="E1238" t="s">
        <v>25</v>
      </c>
      <c r="F1238" t="s">
        <v>53</v>
      </c>
      <c r="G1238" t="s">
        <v>71</v>
      </c>
      <c r="H1238" t="s">
        <v>89</v>
      </c>
      <c r="I1238">
        <v>2065</v>
      </c>
      <c r="J1238">
        <v>2.2000000000000001E-3</v>
      </c>
      <c r="K1238" t="s">
        <v>53</v>
      </c>
      <c r="L1238">
        <v>55</v>
      </c>
    </row>
    <row r="1239" spans="1:12" x14ac:dyDescent="0.45">
      <c r="A1239" t="s">
        <v>90</v>
      </c>
      <c r="B1239" t="s">
        <v>5</v>
      </c>
      <c r="C1239" t="s">
        <v>84</v>
      </c>
      <c r="D1239" t="s">
        <v>54</v>
      </c>
      <c r="E1239" t="s">
        <v>25</v>
      </c>
      <c r="F1239" t="s">
        <v>54</v>
      </c>
      <c r="G1239" t="s">
        <v>71</v>
      </c>
      <c r="H1239" t="s">
        <v>89</v>
      </c>
      <c r="I1239">
        <v>2065</v>
      </c>
      <c r="J1239">
        <v>0</v>
      </c>
      <c r="K1239" t="s">
        <v>54</v>
      </c>
      <c r="L1239">
        <v>70</v>
      </c>
    </row>
    <row r="1240" spans="1:12" x14ac:dyDescent="0.45">
      <c r="A1240" t="s">
        <v>90</v>
      </c>
      <c r="B1240" t="s">
        <v>5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2065</v>
      </c>
      <c r="J1240">
        <v>2.2101999999999999</v>
      </c>
      <c r="K1240" t="s">
        <v>85</v>
      </c>
    </row>
    <row r="1241" spans="1:12" x14ac:dyDescent="0.45">
      <c r="A1241" t="s">
        <v>90</v>
      </c>
      <c r="B1241" t="s">
        <v>5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2070</v>
      </c>
      <c r="J1241">
        <v>611.10879999999997</v>
      </c>
      <c r="K1241" t="s">
        <v>45</v>
      </c>
    </row>
    <row r="1242" spans="1:12" x14ac:dyDescent="0.45">
      <c r="A1242" t="s">
        <v>90</v>
      </c>
      <c r="B1242" t="s">
        <v>5</v>
      </c>
      <c r="C1242" t="s">
        <v>84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2070</v>
      </c>
      <c r="J1242">
        <v>-1377.7054000000001</v>
      </c>
      <c r="K1242" t="s">
        <v>48</v>
      </c>
    </row>
    <row r="1243" spans="1:12" x14ac:dyDescent="0.45">
      <c r="A1243" t="s">
        <v>90</v>
      </c>
      <c r="B1243" t="s">
        <v>5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2070</v>
      </c>
      <c r="J1243">
        <v>-531.25985000000003</v>
      </c>
      <c r="K1243" t="s">
        <v>51</v>
      </c>
    </row>
    <row r="1244" spans="1:12" x14ac:dyDescent="0.45">
      <c r="A1244" t="s">
        <v>90</v>
      </c>
      <c r="B1244" t="s">
        <v>5</v>
      </c>
      <c r="C1244" t="s">
        <v>84</v>
      </c>
      <c r="D1244" t="s">
        <v>24</v>
      </c>
      <c r="E1244" t="s">
        <v>25</v>
      </c>
      <c r="F1244" t="s">
        <v>24</v>
      </c>
      <c r="G1244" t="s">
        <v>26</v>
      </c>
      <c r="H1244" t="s">
        <v>13</v>
      </c>
      <c r="I1244">
        <v>2070</v>
      </c>
      <c r="J1244">
        <v>1.819</v>
      </c>
      <c r="K1244" t="s">
        <v>24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28</v>
      </c>
      <c r="E1245" t="s">
        <v>25</v>
      </c>
      <c r="F1245" t="s">
        <v>28</v>
      </c>
      <c r="G1245" t="s">
        <v>26</v>
      </c>
      <c r="H1245" t="s">
        <v>12</v>
      </c>
      <c r="I1245">
        <v>2070</v>
      </c>
      <c r="J1245">
        <v>10.19585</v>
      </c>
      <c r="K1245" t="s">
        <v>28</v>
      </c>
    </row>
    <row r="1246" spans="1:12" x14ac:dyDescent="0.45">
      <c r="A1246" t="s">
        <v>90</v>
      </c>
      <c r="B1246" t="s">
        <v>5</v>
      </c>
      <c r="C1246" t="s">
        <v>84</v>
      </c>
      <c r="D1246" t="s">
        <v>27</v>
      </c>
      <c r="E1246" t="s">
        <v>25</v>
      </c>
      <c r="F1246" t="s">
        <v>27</v>
      </c>
      <c r="G1246" t="s">
        <v>26</v>
      </c>
      <c r="H1246" t="s">
        <v>10</v>
      </c>
      <c r="I1246">
        <v>2070</v>
      </c>
      <c r="J1246">
        <v>3.6349499999999999</v>
      </c>
      <c r="K1246" t="s">
        <v>27</v>
      </c>
    </row>
    <row r="1247" spans="1:12" x14ac:dyDescent="0.45">
      <c r="A1247" t="s">
        <v>90</v>
      </c>
      <c r="B1247" t="s">
        <v>5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2070</v>
      </c>
      <c r="J1247">
        <v>16.913249999999998</v>
      </c>
      <c r="K1247" t="s">
        <v>29</v>
      </c>
    </row>
    <row r="1248" spans="1:12" x14ac:dyDescent="0.45">
      <c r="A1248" t="s">
        <v>90</v>
      </c>
      <c r="B1248" t="s">
        <v>5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2070</v>
      </c>
      <c r="J1248">
        <v>1.7535500000000002</v>
      </c>
      <c r="K1248" t="s">
        <v>33</v>
      </c>
    </row>
    <row r="1249" spans="1:12" x14ac:dyDescent="0.45">
      <c r="A1249" t="s">
        <v>90</v>
      </c>
      <c r="B1249" t="s">
        <v>5</v>
      </c>
      <c r="C1249" t="s">
        <v>84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2070</v>
      </c>
      <c r="J1249">
        <v>5.3000500000000006</v>
      </c>
      <c r="K1249" t="s">
        <v>35</v>
      </c>
    </row>
    <row r="1250" spans="1:12" x14ac:dyDescent="0.45">
      <c r="A1250" t="s">
        <v>90</v>
      </c>
      <c r="B1250" t="s">
        <v>5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2070</v>
      </c>
      <c r="J1250">
        <v>268.16199999999998</v>
      </c>
      <c r="K1250" t="s">
        <v>37</v>
      </c>
    </row>
    <row r="1251" spans="1:12" x14ac:dyDescent="0.45">
      <c r="A1251" t="s">
        <v>90</v>
      </c>
      <c r="B1251" t="s">
        <v>5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H1251" t="s">
        <v>89</v>
      </c>
      <c r="I1251">
        <v>2070</v>
      </c>
      <c r="J1251">
        <v>0</v>
      </c>
      <c r="K1251" t="s">
        <v>52</v>
      </c>
      <c r="L1251">
        <v>94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53</v>
      </c>
      <c r="E1252" t="s">
        <v>25</v>
      </c>
      <c r="F1252" t="s">
        <v>53</v>
      </c>
      <c r="G1252" t="s">
        <v>71</v>
      </c>
      <c r="H1252" t="s">
        <v>89</v>
      </c>
      <c r="I1252">
        <v>2070</v>
      </c>
      <c r="J1252">
        <v>0</v>
      </c>
      <c r="K1252" t="s">
        <v>53</v>
      </c>
      <c r="L1252">
        <v>55</v>
      </c>
    </row>
    <row r="1253" spans="1:12" x14ac:dyDescent="0.45">
      <c r="A1253" t="s">
        <v>90</v>
      </c>
      <c r="B1253" t="s">
        <v>5</v>
      </c>
      <c r="C1253" t="s">
        <v>84</v>
      </c>
      <c r="D1253" t="s">
        <v>54</v>
      </c>
      <c r="E1253" t="s">
        <v>25</v>
      </c>
      <c r="F1253" t="s">
        <v>54</v>
      </c>
      <c r="G1253" t="s">
        <v>71</v>
      </c>
      <c r="H1253" t="s">
        <v>89</v>
      </c>
      <c r="I1253">
        <v>2070</v>
      </c>
      <c r="J1253">
        <v>0</v>
      </c>
      <c r="K1253" t="s">
        <v>54</v>
      </c>
      <c r="L1253">
        <v>70</v>
      </c>
    </row>
    <row r="1254" spans="1:12" x14ac:dyDescent="0.45">
      <c r="A1254" t="s">
        <v>90</v>
      </c>
      <c r="B1254" t="s">
        <v>5</v>
      </c>
      <c r="C1254" t="s">
        <v>84</v>
      </c>
      <c r="D1254" t="s">
        <v>85</v>
      </c>
      <c r="E1254" t="s">
        <v>25</v>
      </c>
      <c r="F1254" t="s">
        <v>85</v>
      </c>
      <c r="G1254" t="s">
        <v>26</v>
      </c>
      <c r="H1254" t="s">
        <v>82</v>
      </c>
      <c r="I1254">
        <v>2070</v>
      </c>
      <c r="J1254">
        <v>2.3865499999999997</v>
      </c>
      <c r="K1254" t="s">
        <v>85</v>
      </c>
    </row>
    <row r="1255" spans="1:12" x14ac:dyDescent="0.45">
      <c r="A1255" t="s">
        <v>90</v>
      </c>
      <c r="B1255" t="s">
        <v>5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2075</v>
      </c>
      <c r="J1255">
        <v>529.63329999999996</v>
      </c>
      <c r="K1255" t="s">
        <v>45</v>
      </c>
    </row>
    <row r="1256" spans="1:12" x14ac:dyDescent="0.45">
      <c r="A1256" t="s">
        <v>90</v>
      </c>
      <c r="B1256" t="s">
        <v>5</v>
      </c>
      <c r="C1256" t="s">
        <v>84</v>
      </c>
      <c r="D1256" t="s">
        <v>48</v>
      </c>
      <c r="E1256" t="s">
        <v>46</v>
      </c>
      <c r="F1256" t="s">
        <v>48</v>
      </c>
      <c r="G1256" t="s">
        <v>49</v>
      </c>
      <c r="H1256" t="s">
        <v>50</v>
      </c>
      <c r="I1256">
        <v>2075</v>
      </c>
      <c r="J1256">
        <v>-1323.8603000000001</v>
      </c>
      <c r="K1256" t="s">
        <v>48</v>
      </c>
    </row>
    <row r="1257" spans="1:12" x14ac:dyDescent="0.45">
      <c r="A1257" t="s">
        <v>90</v>
      </c>
      <c r="B1257" t="s">
        <v>5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2075</v>
      </c>
      <c r="J1257">
        <v>-475.29269999999997</v>
      </c>
      <c r="K1257" t="s">
        <v>51</v>
      </c>
    </row>
    <row r="1258" spans="1:12" x14ac:dyDescent="0.45">
      <c r="A1258" t="s">
        <v>90</v>
      </c>
      <c r="B1258" t="s">
        <v>5</v>
      </c>
      <c r="C1258" t="s">
        <v>84</v>
      </c>
      <c r="D1258" t="s">
        <v>24</v>
      </c>
      <c r="E1258" t="s">
        <v>25</v>
      </c>
      <c r="F1258" t="s">
        <v>24</v>
      </c>
      <c r="G1258" t="s">
        <v>26</v>
      </c>
      <c r="H1258" t="s">
        <v>13</v>
      </c>
      <c r="I1258">
        <v>2075</v>
      </c>
      <c r="J1258">
        <v>1.7764500000000001</v>
      </c>
      <c r="K1258" t="s">
        <v>24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10.482900000000001</v>
      </c>
      <c r="K1259" t="s">
        <v>28</v>
      </c>
    </row>
    <row r="1260" spans="1:12" x14ac:dyDescent="0.45">
      <c r="A1260" t="s">
        <v>90</v>
      </c>
      <c r="B1260" t="s">
        <v>5</v>
      </c>
      <c r="C1260" t="s">
        <v>84</v>
      </c>
      <c r="D1260" t="s">
        <v>27</v>
      </c>
      <c r="E1260" t="s">
        <v>25</v>
      </c>
      <c r="F1260" t="s">
        <v>27</v>
      </c>
      <c r="G1260" t="s">
        <v>26</v>
      </c>
      <c r="H1260" t="s">
        <v>10</v>
      </c>
      <c r="I1260">
        <v>2075</v>
      </c>
      <c r="J1260">
        <v>3.7350500000000002</v>
      </c>
      <c r="K1260" t="s">
        <v>27</v>
      </c>
    </row>
    <row r="1261" spans="1:12" x14ac:dyDescent="0.45">
      <c r="A1261" t="s">
        <v>90</v>
      </c>
      <c r="B1261" t="s">
        <v>5</v>
      </c>
      <c r="C1261" t="s">
        <v>84</v>
      </c>
      <c r="D1261" t="s">
        <v>29</v>
      </c>
      <c r="E1261" t="s">
        <v>30</v>
      </c>
      <c r="F1261" t="s">
        <v>29</v>
      </c>
      <c r="G1261" t="s">
        <v>31</v>
      </c>
      <c r="H1261" t="s">
        <v>32</v>
      </c>
      <c r="I1261">
        <v>2075</v>
      </c>
      <c r="J1261">
        <v>16.574300000000001</v>
      </c>
      <c r="K1261" t="s">
        <v>29</v>
      </c>
    </row>
    <row r="1262" spans="1:12" x14ac:dyDescent="0.45">
      <c r="A1262" t="s">
        <v>90</v>
      </c>
      <c r="B1262" t="s">
        <v>5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2075</v>
      </c>
      <c r="J1262">
        <v>1.8342499999999999</v>
      </c>
      <c r="K1262" t="s">
        <v>33</v>
      </c>
    </row>
    <row r="1263" spans="1:12" x14ac:dyDescent="0.45">
      <c r="A1263" t="s">
        <v>90</v>
      </c>
      <c r="B1263" t="s">
        <v>5</v>
      </c>
      <c r="C1263" t="s">
        <v>84</v>
      </c>
      <c r="D1263" t="s">
        <v>35</v>
      </c>
      <c r="E1263" t="s">
        <v>30</v>
      </c>
      <c r="F1263" t="s">
        <v>35</v>
      </c>
      <c r="G1263" t="s">
        <v>31</v>
      </c>
      <c r="H1263" t="s">
        <v>36</v>
      </c>
      <c r="I1263">
        <v>2075</v>
      </c>
      <c r="J1263">
        <v>5.1056999999999997</v>
      </c>
      <c r="K1263" t="s">
        <v>35</v>
      </c>
    </row>
    <row r="1264" spans="1:12" x14ac:dyDescent="0.45">
      <c r="A1264" t="s">
        <v>90</v>
      </c>
      <c r="B1264" t="s">
        <v>5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2075</v>
      </c>
      <c r="J1264">
        <v>263.53305</v>
      </c>
      <c r="K1264" t="s">
        <v>37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2075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H1266" t="s">
        <v>89</v>
      </c>
      <c r="I1266">
        <v>2075</v>
      </c>
      <c r="J1266">
        <v>0</v>
      </c>
      <c r="K1266" t="s">
        <v>53</v>
      </c>
      <c r="L1266">
        <v>55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54</v>
      </c>
      <c r="E1267" t="s">
        <v>25</v>
      </c>
      <c r="F1267" t="s">
        <v>54</v>
      </c>
      <c r="G1267" t="s">
        <v>71</v>
      </c>
      <c r="H1267" t="s">
        <v>89</v>
      </c>
      <c r="I1267">
        <v>2075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85</v>
      </c>
      <c r="E1268" t="s">
        <v>25</v>
      </c>
      <c r="F1268" t="s">
        <v>85</v>
      </c>
      <c r="G1268" t="s">
        <v>26</v>
      </c>
      <c r="H1268" t="s">
        <v>82</v>
      </c>
      <c r="I1268">
        <v>2075</v>
      </c>
      <c r="J1268">
        <v>2.8246000000000002</v>
      </c>
      <c r="K1268" t="s">
        <v>85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2080</v>
      </c>
      <c r="J1269">
        <v>448.15775000000002</v>
      </c>
      <c r="K1269" t="s">
        <v>45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48</v>
      </c>
      <c r="E1270" t="s">
        <v>46</v>
      </c>
      <c r="F1270" t="s">
        <v>48</v>
      </c>
      <c r="G1270" t="s">
        <v>49</v>
      </c>
      <c r="H1270" t="s">
        <v>50</v>
      </c>
      <c r="I1270">
        <v>2080</v>
      </c>
      <c r="J1270">
        <v>-1270.0151999999998</v>
      </c>
      <c r="K1270" t="s">
        <v>48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2080</v>
      </c>
      <c r="J1271">
        <v>-419.32549999999998</v>
      </c>
      <c r="K1271" t="s">
        <v>51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24</v>
      </c>
      <c r="E1272" t="s">
        <v>25</v>
      </c>
      <c r="F1272" t="s">
        <v>24</v>
      </c>
      <c r="G1272" t="s">
        <v>26</v>
      </c>
      <c r="H1272" t="s">
        <v>13</v>
      </c>
      <c r="I1272">
        <v>2080</v>
      </c>
      <c r="J1272">
        <v>1.7339</v>
      </c>
      <c r="K1272" t="s">
        <v>24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28</v>
      </c>
      <c r="E1273" t="s">
        <v>25</v>
      </c>
      <c r="F1273" t="s">
        <v>28</v>
      </c>
      <c r="G1273" t="s">
        <v>26</v>
      </c>
      <c r="H1273" t="s">
        <v>12</v>
      </c>
      <c r="I1273">
        <v>2080</v>
      </c>
      <c r="J1273">
        <v>10.76995</v>
      </c>
      <c r="K1273" t="s">
        <v>28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27</v>
      </c>
      <c r="E1274" t="s">
        <v>25</v>
      </c>
      <c r="F1274" t="s">
        <v>27</v>
      </c>
      <c r="G1274" t="s">
        <v>26</v>
      </c>
      <c r="H1274" t="s">
        <v>10</v>
      </c>
      <c r="I1274">
        <v>2080</v>
      </c>
      <c r="J1274">
        <v>3.8352000000000004</v>
      </c>
      <c r="K1274" t="s">
        <v>27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2080</v>
      </c>
      <c r="J1275">
        <v>16.235250000000001</v>
      </c>
      <c r="K1275" t="s">
        <v>29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2080</v>
      </c>
      <c r="J1276">
        <v>1.9149500000000002</v>
      </c>
      <c r="K1276" t="s">
        <v>33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2080</v>
      </c>
      <c r="J1277">
        <v>4.9113500000000005</v>
      </c>
      <c r="K1277" t="s">
        <v>35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2080</v>
      </c>
      <c r="J1278">
        <v>258.90409999999997</v>
      </c>
      <c r="K1278" t="s">
        <v>37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2080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H1280" t="s">
        <v>89</v>
      </c>
      <c r="I1280">
        <v>2080</v>
      </c>
      <c r="J1280">
        <v>0</v>
      </c>
      <c r="K1280" t="s">
        <v>53</v>
      </c>
      <c r="L1280">
        <v>55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2080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85</v>
      </c>
      <c r="E1282" t="s">
        <v>25</v>
      </c>
      <c r="F1282" t="s">
        <v>85</v>
      </c>
      <c r="G1282" t="s">
        <v>26</v>
      </c>
      <c r="H1282" t="s">
        <v>82</v>
      </c>
      <c r="I1282">
        <v>2080</v>
      </c>
      <c r="J1282">
        <v>3.2626499999999998</v>
      </c>
      <c r="K1282" t="s">
        <v>85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2085</v>
      </c>
      <c r="J1283">
        <v>374.89519999999999</v>
      </c>
      <c r="K1283" t="s">
        <v>45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2085</v>
      </c>
      <c r="J1284">
        <v>-1200.0723499999999</v>
      </c>
      <c r="K1284" t="s">
        <v>48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2085</v>
      </c>
      <c r="J1285">
        <v>-350.06674999999996</v>
      </c>
      <c r="K1285" t="s">
        <v>51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24</v>
      </c>
      <c r="E1286" t="s">
        <v>25</v>
      </c>
      <c r="F1286" t="s">
        <v>24</v>
      </c>
      <c r="G1286" t="s">
        <v>26</v>
      </c>
      <c r="H1286" t="s">
        <v>13</v>
      </c>
      <c r="I1286">
        <v>2085</v>
      </c>
      <c r="J1286">
        <v>1.6973</v>
      </c>
      <c r="K1286" t="s">
        <v>24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28</v>
      </c>
      <c r="E1287" t="s">
        <v>25</v>
      </c>
      <c r="F1287" t="s">
        <v>28</v>
      </c>
      <c r="G1287" t="s">
        <v>26</v>
      </c>
      <c r="H1287" t="s">
        <v>12</v>
      </c>
      <c r="I1287">
        <v>2085</v>
      </c>
      <c r="J1287">
        <v>10.961300000000001</v>
      </c>
      <c r="K1287" t="s">
        <v>28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27</v>
      </c>
      <c r="E1288" t="s">
        <v>25</v>
      </c>
      <c r="F1288" t="s">
        <v>27</v>
      </c>
      <c r="G1288" t="s">
        <v>26</v>
      </c>
      <c r="H1288" t="s">
        <v>10</v>
      </c>
      <c r="I1288">
        <v>2085</v>
      </c>
      <c r="J1288">
        <v>3.9293500000000003</v>
      </c>
      <c r="K1288" t="s">
        <v>27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29</v>
      </c>
      <c r="E1289" t="s">
        <v>30</v>
      </c>
      <c r="F1289" t="s">
        <v>29</v>
      </c>
      <c r="G1289" t="s">
        <v>31</v>
      </c>
      <c r="H1289" t="s">
        <v>32</v>
      </c>
      <c r="I1289">
        <v>2085</v>
      </c>
      <c r="J1289">
        <v>16.323450000000001</v>
      </c>
      <c r="K1289" t="s">
        <v>29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2085</v>
      </c>
      <c r="J1290">
        <v>1.8938000000000001</v>
      </c>
      <c r="K1290" t="s">
        <v>33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35</v>
      </c>
      <c r="E1291" t="s">
        <v>30</v>
      </c>
      <c r="F1291" t="s">
        <v>35</v>
      </c>
      <c r="G1291" t="s">
        <v>31</v>
      </c>
      <c r="H1291" t="s">
        <v>36</v>
      </c>
      <c r="I1291">
        <v>2085</v>
      </c>
      <c r="J1291">
        <v>4.8847000000000005</v>
      </c>
      <c r="K1291" t="s">
        <v>35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2085</v>
      </c>
      <c r="J1292">
        <v>272.87954999999999</v>
      </c>
      <c r="K1292" t="s">
        <v>37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52</v>
      </c>
      <c r="E1293" t="s">
        <v>25</v>
      </c>
      <c r="F1293" t="s">
        <v>52</v>
      </c>
      <c r="G1293" t="s">
        <v>71</v>
      </c>
      <c r="H1293" t="s">
        <v>89</v>
      </c>
      <c r="I1293">
        <v>2085</v>
      </c>
      <c r="J1293">
        <v>0</v>
      </c>
      <c r="K1293" t="s">
        <v>52</v>
      </c>
      <c r="L1293">
        <v>94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2085</v>
      </c>
      <c r="J1294">
        <v>0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H1295" t="s">
        <v>89</v>
      </c>
      <c r="I1295">
        <v>2085</v>
      </c>
      <c r="J1295">
        <v>0</v>
      </c>
      <c r="K1295" t="s">
        <v>54</v>
      </c>
      <c r="L1295">
        <v>70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85</v>
      </c>
      <c r="E1296" t="s">
        <v>25</v>
      </c>
      <c r="F1296" t="s">
        <v>85</v>
      </c>
      <c r="G1296" t="s">
        <v>26</v>
      </c>
      <c r="H1296" t="s">
        <v>82</v>
      </c>
      <c r="I1296">
        <v>2085</v>
      </c>
      <c r="J1296">
        <v>3.68465</v>
      </c>
      <c r="K1296" t="s">
        <v>85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2090</v>
      </c>
      <c r="J1297">
        <v>301.63255000000004</v>
      </c>
      <c r="K1297" t="s">
        <v>45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48</v>
      </c>
      <c r="E1298" t="s">
        <v>46</v>
      </c>
      <c r="F1298" t="s">
        <v>48</v>
      </c>
      <c r="G1298" t="s">
        <v>49</v>
      </c>
      <c r="H1298" t="s">
        <v>50</v>
      </c>
      <c r="I1298">
        <v>2090</v>
      </c>
      <c r="J1298">
        <v>-1130.1295500000001</v>
      </c>
      <c r="K1298" t="s">
        <v>48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2090</v>
      </c>
      <c r="J1299">
        <v>-280.80795000000001</v>
      </c>
      <c r="K1299" t="s">
        <v>51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24</v>
      </c>
      <c r="E1300" t="s">
        <v>25</v>
      </c>
      <c r="F1300" t="s">
        <v>24</v>
      </c>
      <c r="G1300" t="s">
        <v>26</v>
      </c>
      <c r="H1300" t="s">
        <v>13</v>
      </c>
      <c r="I1300">
        <v>2090</v>
      </c>
      <c r="J1300">
        <v>1.6607500000000002</v>
      </c>
      <c r="K1300" t="s">
        <v>24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28</v>
      </c>
      <c r="E1301" t="s">
        <v>25</v>
      </c>
      <c r="F1301" t="s">
        <v>28</v>
      </c>
      <c r="G1301" t="s">
        <v>26</v>
      </c>
      <c r="H1301" t="s">
        <v>12</v>
      </c>
      <c r="I1301">
        <v>2090</v>
      </c>
      <c r="J1301">
        <v>11.1526</v>
      </c>
      <c r="K1301" t="s">
        <v>28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27</v>
      </c>
      <c r="E1302" t="s">
        <v>25</v>
      </c>
      <c r="F1302" t="s">
        <v>27</v>
      </c>
      <c r="G1302" t="s">
        <v>26</v>
      </c>
      <c r="H1302" t="s">
        <v>10</v>
      </c>
      <c r="I1302">
        <v>2090</v>
      </c>
      <c r="J1302">
        <v>4.0235500000000002</v>
      </c>
      <c r="K1302" t="s">
        <v>27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2090</v>
      </c>
      <c r="J1303">
        <v>16.411549999999998</v>
      </c>
      <c r="K1303" t="s">
        <v>29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2090</v>
      </c>
      <c r="J1304">
        <v>1.8727</v>
      </c>
      <c r="K1304" t="s">
        <v>33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35</v>
      </c>
      <c r="E1305" t="s">
        <v>30</v>
      </c>
      <c r="F1305" t="s">
        <v>35</v>
      </c>
      <c r="G1305" t="s">
        <v>31</v>
      </c>
      <c r="H1305" t="s">
        <v>36</v>
      </c>
      <c r="I1305">
        <v>2090</v>
      </c>
      <c r="J1305">
        <v>4.8580500000000004</v>
      </c>
      <c r="K1305" t="s">
        <v>35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2090</v>
      </c>
      <c r="J1306">
        <v>286.85495000000003</v>
      </c>
      <c r="K1306" t="s">
        <v>37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2090</v>
      </c>
      <c r="J1307">
        <v>0</v>
      </c>
      <c r="K1307" t="s">
        <v>52</v>
      </c>
      <c r="L1307">
        <v>94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2090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2090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85</v>
      </c>
      <c r="E1310" t="s">
        <v>25</v>
      </c>
      <c r="F1310" t="s">
        <v>85</v>
      </c>
      <c r="G1310" t="s">
        <v>26</v>
      </c>
      <c r="H1310" t="s">
        <v>82</v>
      </c>
      <c r="I1310">
        <v>2090</v>
      </c>
      <c r="J1310">
        <v>4.1065500000000004</v>
      </c>
      <c r="K1310" t="s">
        <v>85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2095</v>
      </c>
      <c r="J1311">
        <v>249.41200000000001</v>
      </c>
      <c r="K1311" t="s">
        <v>45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2095</v>
      </c>
      <c r="J1312">
        <v>-1080.40905</v>
      </c>
      <c r="K1312" t="s">
        <v>48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2095</v>
      </c>
      <c r="J1313">
        <v>-232.26990000000001</v>
      </c>
      <c r="K1313" t="s">
        <v>51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24</v>
      </c>
      <c r="E1314" t="s">
        <v>25</v>
      </c>
      <c r="F1314" t="s">
        <v>24</v>
      </c>
      <c r="G1314" t="s">
        <v>26</v>
      </c>
      <c r="H1314" t="s">
        <v>13</v>
      </c>
      <c r="I1314">
        <v>2095</v>
      </c>
      <c r="J1314">
        <v>1.59765</v>
      </c>
      <c r="K1314" t="s">
        <v>24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28</v>
      </c>
      <c r="E1315" t="s">
        <v>25</v>
      </c>
      <c r="F1315" t="s">
        <v>28</v>
      </c>
      <c r="G1315" t="s">
        <v>26</v>
      </c>
      <c r="H1315" t="s">
        <v>12</v>
      </c>
      <c r="I1315">
        <v>2095</v>
      </c>
      <c r="J1315">
        <v>11.2005</v>
      </c>
      <c r="K1315" t="s">
        <v>28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27</v>
      </c>
      <c r="E1316" t="s">
        <v>25</v>
      </c>
      <c r="F1316" t="s">
        <v>27</v>
      </c>
      <c r="G1316" t="s">
        <v>26</v>
      </c>
      <c r="H1316" t="s">
        <v>10</v>
      </c>
      <c r="I1316">
        <v>2095</v>
      </c>
      <c r="J1316">
        <v>4.1267999999999994</v>
      </c>
      <c r="K1316" t="s">
        <v>27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29</v>
      </c>
      <c r="E1317" t="s">
        <v>30</v>
      </c>
      <c r="F1317" t="s">
        <v>29</v>
      </c>
      <c r="G1317" t="s">
        <v>31</v>
      </c>
      <c r="H1317" t="s">
        <v>32</v>
      </c>
      <c r="I1317">
        <v>2095</v>
      </c>
      <c r="J1317">
        <v>16.4863</v>
      </c>
      <c r="K1317" t="s">
        <v>29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2095</v>
      </c>
      <c r="J1318">
        <v>1.7038500000000001</v>
      </c>
      <c r="K1318" t="s">
        <v>33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35</v>
      </c>
      <c r="E1319" t="s">
        <v>30</v>
      </c>
      <c r="F1319" t="s">
        <v>35</v>
      </c>
      <c r="G1319" t="s">
        <v>31</v>
      </c>
      <c r="H1319" t="s">
        <v>36</v>
      </c>
      <c r="I1319">
        <v>2095</v>
      </c>
      <c r="J1319">
        <v>4.3528500000000001</v>
      </c>
      <c r="K1319" t="s">
        <v>35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320.5027</v>
      </c>
      <c r="K1320" t="s">
        <v>37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52</v>
      </c>
      <c r="E1321" t="s">
        <v>25</v>
      </c>
      <c r="F1321" t="s">
        <v>52</v>
      </c>
      <c r="G1321" t="s">
        <v>71</v>
      </c>
      <c r="H1321" t="s">
        <v>89</v>
      </c>
      <c r="I1321">
        <v>2095</v>
      </c>
      <c r="J1321">
        <v>0</v>
      </c>
      <c r="K1321" t="s">
        <v>52</v>
      </c>
      <c r="L1321">
        <v>94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53</v>
      </c>
      <c r="E1322" t="s">
        <v>25</v>
      </c>
      <c r="F1322" t="s">
        <v>53</v>
      </c>
      <c r="G1322" t="s">
        <v>71</v>
      </c>
      <c r="H1322" t="s">
        <v>89</v>
      </c>
      <c r="I1322">
        <v>2095</v>
      </c>
      <c r="J1322">
        <v>0</v>
      </c>
      <c r="K1322" t="s">
        <v>53</v>
      </c>
      <c r="L1322">
        <v>55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54</v>
      </c>
      <c r="E1323" t="s">
        <v>25</v>
      </c>
      <c r="F1323" t="s">
        <v>54</v>
      </c>
      <c r="G1323" t="s">
        <v>71</v>
      </c>
      <c r="H1323" t="s">
        <v>89</v>
      </c>
      <c r="I1323">
        <v>2095</v>
      </c>
      <c r="J1323">
        <v>0</v>
      </c>
      <c r="K1323" t="s">
        <v>54</v>
      </c>
      <c r="L1323">
        <v>70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2095</v>
      </c>
      <c r="J1324">
        <v>4.3266499999999999</v>
      </c>
      <c r="K1324" t="s">
        <v>85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2100</v>
      </c>
      <c r="J1325">
        <v>197.19125</v>
      </c>
      <c r="K1325" t="s">
        <v>45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48</v>
      </c>
      <c r="E1326" t="s">
        <v>46</v>
      </c>
      <c r="F1326" t="s">
        <v>48</v>
      </c>
      <c r="G1326" t="s">
        <v>49</v>
      </c>
      <c r="H1326" t="s">
        <v>50</v>
      </c>
      <c r="I1326">
        <v>2100</v>
      </c>
      <c r="J1326">
        <v>-1030.6886500000001</v>
      </c>
      <c r="K1326" t="s">
        <v>48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2100</v>
      </c>
      <c r="J1327">
        <v>-183.73185000000001</v>
      </c>
      <c r="K1327" t="s">
        <v>51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24</v>
      </c>
      <c r="E1328" t="s">
        <v>25</v>
      </c>
      <c r="F1328" t="s">
        <v>24</v>
      </c>
      <c r="G1328" t="s">
        <v>26</v>
      </c>
      <c r="H1328" t="s">
        <v>13</v>
      </c>
      <c r="I1328">
        <v>2100</v>
      </c>
      <c r="J1328">
        <v>1.5345</v>
      </c>
      <c r="K1328" t="s">
        <v>24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28</v>
      </c>
      <c r="E1329" t="s">
        <v>25</v>
      </c>
      <c r="F1329" t="s">
        <v>28</v>
      </c>
      <c r="G1329" t="s">
        <v>26</v>
      </c>
      <c r="H1329" t="s">
        <v>12</v>
      </c>
      <c r="I1329">
        <v>2100</v>
      </c>
      <c r="J1329">
        <v>11.24835</v>
      </c>
      <c r="K1329" t="s">
        <v>28</v>
      </c>
    </row>
    <row r="1330" spans="1:12" x14ac:dyDescent="0.45">
      <c r="A1330" t="s">
        <v>90</v>
      </c>
      <c r="B1330" t="s">
        <v>5</v>
      </c>
      <c r="C1330" t="s">
        <v>84</v>
      </c>
      <c r="D1330" t="s">
        <v>27</v>
      </c>
      <c r="E1330" t="s">
        <v>25</v>
      </c>
      <c r="F1330" t="s">
        <v>27</v>
      </c>
      <c r="G1330" t="s">
        <v>26</v>
      </c>
      <c r="H1330" t="s">
        <v>10</v>
      </c>
      <c r="I1330">
        <v>2100</v>
      </c>
      <c r="J1330">
        <v>4.2300500000000003</v>
      </c>
      <c r="K1330" t="s">
        <v>27</v>
      </c>
    </row>
    <row r="1331" spans="1:12" x14ac:dyDescent="0.45">
      <c r="A1331" t="s">
        <v>90</v>
      </c>
      <c r="B1331" t="s">
        <v>5</v>
      </c>
      <c r="C1331" t="s">
        <v>84</v>
      </c>
      <c r="D1331" t="s">
        <v>29</v>
      </c>
      <c r="E1331" t="s">
        <v>30</v>
      </c>
      <c r="F1331" t="s">
        <v>29</v>
      </c>
      <c r="G1331" t="s">
        <v>31</v>
      </c>
      <c r="H1331" t="s">
        <v>32</v>
      </c>
      <c r="I1331">
        <v>2100</v>
      </c>
      <c r="J1331">
        <v>16.561</v>
      </c>
      <c r="K1331" t="s">
        <v>29</v>
      </c>
    </row>
    <row r="1332" spans="1:12" x14ac:dyDescent="0.45">
      <c r="A1332" t="s">
        <v>90</v>
      </c>
      <c r="B1332" t="s">
        <v>5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1.53505</v>
      </c>
      <c r="K1332" t="s">
        <v>33</v>
      </c>
    </row>
    <row r="1333" spans="1:12" x14ac:dyDescent="0.45">
      <c r="A1333" t="s">
        <v>90</v>
      </c>
      <c r="B1333" t="s">
        <v>5</v>
      </c>
      <c r="C1333" t="s">
        <v>84</v>
      </c>
      <c r="D1333" t="s">
        <v>35</v>
      </c>
      <c r="E1333" t="s">
        <v>30</v>
      </c>
      <c r="F1333" t="s">
        <v>35</v>
      </c>
      <c r="G1333" t="s">
        <v>31</v>
      </c>
      <c r="H1333" t="s">
        <v>36</v>
      </c>
      <c r="I1333">
        <v>2100</v>
      </c>
      <c r="J1333">
        <v>3.8476499999999998</v>
      </c>
      <c r="K1333" t="s">
        <v>35</v>
      </c>
    </row>
    <row r="1334" spans="1:12" x14ac:dyDescent="0.45">
      <c r="A1334" t="s">
        <v>90</v>
      </c>
      <c r="B1334" t="s">
        <v>5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354.15039999999999</v>
      </c>
      <c r="K1334" t="s">
        <v>37</v>
      </c>
    </row>
    <row r="1335" spans="1:12" x14ac:dyDescent="0.45">
      <c r="A1335" t="s">
        <v>90</v>
      </c>
      <c r="B1335" t="s">
        <v>5</v>
      </c>
      <c r="C1335" t="s">
        <v>84</v>
      </c>
      <c r="D1335" t="s">
        <v>52</v>
      </c>
      <c r="E1335" t="s">
        <v>25</v>
      </c>
      <c r="F1335" t="s">
        <v>52</v>
      </c>
      <c r="G1335" t="s">
        <v>71</v>
      </c>
      <c r="H1335" t="s">
        <v>89</v>
      </c>
      <c r="I1335">
        <v>2100</v>
      </c>
      <c r="J1335">
        <v>0</v>
      </c>
      <c r="K1335" t="s">
        <v>52</v>
      </c>
      <c r="L1335">
        <v>94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53</v>
      </c>
      <c r="E1336" t="s">
        <v>25</v>
      </c>
      <c r="F1336" t="s">
        <v>53</v>
      </c>
      <c r="G1336" t="s">
        <v>71</v>
      </c>
      <c r="H1336" t="s">
        <v>89</v>
      </c>
      <c r="I1336">
        <v>2100</v>
      </c>
      <c r="J1336">
        <v>0</v>
      </c>
      <c r="K1336" t="s">
        <v>53</v>
      </c>
      <c r="L1336">
        <v>55</v>
      </c>
    </row>
    <row r="1337" spans="1:12" x14ac:dyDescent="0.45">
      <c r="A1337" t="s">
        <v>90</v>
      </c>
      <c r="B1337" t="s">
        <v>5</v>
      </c>
      <c r="C1337" t="s">
        <v>84</v>
      </c>
      <c r="D1337" t="s">
        <v>54</v>
      </c>
      <c r="E1337" t="s">
        <v>25</v>
      </c>
      <c r="F1337" t="s">
        <v>54</v>
      </c>
      <c r="G1337" t="s">
        <v>71</v>
      </c>
      <c r="H1337" t="s">
        <v>89</v>
      </c>
      <c r="I1337">
        <v>2100</v>
      </c>
      <c r="J1337">
        <v>0</v>
      </c>
      <c r="K1337" t="s">
        <v>54</v>
      </c>
      <c r="L1337">
        <v>70</v>
      </c>
    </row>
    <row r="1338" spans="1:12" x14ac:dyDescent="0.45">
      <c r="A1338" t="s">
        <v>90</v>
      </c>
      <c r="B1338" t="s">
        <v>5</v>
      </c>
      <c r="C1338" t="s">
        <v>84</v>
      </c>
      <c r="D1338" t="s">
        <v>85</v>
      </c>
      <c r="E1338" t="s">
        <v>25</v>
      </c>
      <c r="F1338" t="s">
        <v>85</v>
      </c>
      <c r="G1338" t="s">
        <v>26</v>
      </c>
      <c r="H1338" t="s">
        <v>82</v>
      </c>
      <c r="I1338">
        <v>2100</v>
      </c>
      <c r="J1338">
        <v>4.5466999999999995</v>
      </c>
      <c r="K1338" t="s">
        <v>85</v>
      </c>
    </row>
    <row r="1339" spans="1:12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2.2551000000000001</v>
      </c>
      <c r="K1339" t="s">
        <v>45</v>
      </c>
    </row>
    <row r="1340" spans="1:12" x14ac:dyDescent="0.45">
      <c r="A1340" t="s">
        <v>90</v>
      </c>
      <c r="B1340" t="s">
        <v>2</v>
      </c>
      <c r="C1340" t="s">
        <v>84</v>
      </c>
      <c r="D1340" t="s">
        <v>48</v>
      </c>
      <c r="E1340" t="s">
        <v>46</v>
      </c>
      <c r="F1340" t="s">
        <v>48</v>
      </c>
      <c r="G1340" t="s">
        <v>49</v>
      </c>
      <c r="H1340" t="s">
        <v>50</v>
      </c>
      <c r="I1340">
        <v>2020</v>
      </c>
      <c r="J1340">
        <v>4048.3285999999998</v>
      </c>
      <c r="K1340" t="s">
        <v>48</v>
      </c>
    </row>
    <row r="1341" spans="1:12" x14ac:dyDescent="0.45">
      <c r="A1341" t="s">
        <v>90</v>
      </c>
      <c r="B1341" t="s">
        <v>2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2020</v>
      </c>
      <c r="J1341">
        <v>4763.2656999999999</v>
      </c>
      <c r="K1341" t="s">
        <v>51</v>
      </c>
    </row>
    <row r="1342" spans="1:12" x14ac:dyDescent="0.45">
      <c r="A1342" t="s">
        <v>90</v>
      </c>
      <c r="B1342" t="s">
        <v>2</v>
      </c>
      <c r="C1342" t="s">
        <v>84</v>
      </c>
      <c r="D1342" t="s">
        <v>24</v>
      </c>
      <c r="E1342" t="s">
        <v>25</v>
      </c>
      <c r="F1342" t="s">
        <v>24</v>
      </c>
      <c r="G1342" t="s">
        <v>26</v>
      </c>
      <c r="H1342" t="s">
        <v>13</v>
      </c>
      <c r="I1342">
        <v>2020</v>
      </c>
      <c r="J1342">
        <v>3.1556000000000002</v>
      </c>
      <c r="K1342" t="s">
        <v>24</v>
      </c>
    </row>
    <row r="1343" spans="1:12" x14ac:dyDescent="0.45">
      <c r="A1343" t="s">
        <v>90</v>
      </c>
      <c r="B1343" t="s">
        <v>2</v>
      </c>
      <c r="C1343" t="s">
        <v>84</v>
      </c>
      <c r="D1343" t="s">
        <v>28</v>
      </c>
      <c r="E1343" t="s">
        <v>25</v>
      </c>
      <c r="F1343" t="s">
        <v>28</v>
      </c>
      <c r="G1343" t="s">
        <v>26</v>
      </c>
      <c r="H1343" t="s">
        <v>12</v>
      </c>
      <c r="I1343">
        <v>2020</v>
      </c>
      <c r="J1343">
        <v>10.713200000000001</v>
      </c>
      <c r="K1343" t="s">
        <v>28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27</v>
      </c>
      <c r="E1344" t="s">
        <v>25</v>
      </c>
      <c r="F1344" t="s">
        <v>27</v>
      </c>
      <c r="G1344" t="s">
        <v>26</v>
      </c>
      <c r="H1344" t="s">
        <v>10</v>
      </c>
      <c r="I1344">
        <v>2020</v>
      </c>
      <c r="J1344">
        <v>0.27579999999999999</v>
      </c>
      <c r="K1344" t="s">
        <v>27</v>
      </c>
    </row>
    <row r="1345" spans="1:12" x14ac:dyDescent="0.45">
      <c r="A1345" t="s">
        <v>90</v>
      </c>
      <c r="B1345" t="s">
        <v>2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2" x14ac:dyDescent="0.45">
      <c r="A1346" t="s">
        <v>90</v>
      </c>
      <c r="B1346" t="s">
        <v>2</v>
      </c>
      <c r="C1346" t="s">
        <v>84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2020</v>
      </c>
      <c r="J1346">
        <v>2.0344000000000002</v>
      </c>
      <c r="K1346" t="s">
        <v>33</v>
      </c>
    </row>
    <row r="1347" spans="1:12" x14ac:dyDescent="0.45">
      <c r="A1347" t="s">
        <v>90</v>
      </c>
      <c r="B1347" t="s">
        <v>2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2020</v>
      </c>
      <c r="J1347">
        <v>3.9710999999999999</v>
      </c>
      <c r="K1347" t="s">
        <v>35</v>
      </c>
    </row>
    <row r="1348" spans="1:12" x14ac:dyDescent="0.45">
      <c r="A1348" t="s">
        <v>90</v>
      </c>
      <c r="B1348" t="s">
        <v>2</v>
      </c>
      <c r="C1348" t="s">
        <v>84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2020</v>
      </c>
      <c r="J1348">
        <v>81.473500000000001</v>
      </c>
      <c r="K1348" t="s">
        <v>37</v>
      </c>
    </row>
    <row r="1349" spans="1:12" x14ac:dyDescent="0.45">
      <c r="A1349" t="s">
        <v>90</v>
      </c>
      <c r="B1349" t="s">
        <v>2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2020</v>
      </c>
      <c r="J1349">
        <v>3.0137</v>
      </c>
      <c r="K1349" t="s">
        <v>52</v>
      </c>
      <c r="L1349">
        <v>94</v>
      </c>
    </row>
    <row r="1350" spans="1:12" x14ac:dyDescent="0.45">
      <c r="A1350" t="s">
        <v>90</v>
      </c>
      <c r="B1350" t="s">
        <v>2</v>
      </c>
      <c r="C1350" t="s">
        <v>84</v>
      </c>
      <c r="D1350" t="s">
        <v>53</v>
      </c>
      <c r="E1350" t="s">
        <v>25</v>
      </c>
      <c r="F1350" t="s">
        <v>53</v>
      </c>
      <c r="G1350" t="s">
        <v>71</v>
      </c>
      <c r="H1350" t="s">
        <v>89</v>
      </c>
      <c r="I1350">
        <v>2020</v>
      </c>
      <c r="J1350">
        <v>7.1176000000000004</v>
      </c>
      <c r="K1350" t="s">
        <v>53</v>
      </c>
      <c r="L1350">
        <v>55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54</v>
      </c>
      <c r="E1351" t="s">
        <v>25</v>
      </c>
      <c r="F1351" t="s">
        <v>54</v>
      </c>
      <c r="G1351" t="s">
        <v>71</v>
      </c>
      <c r="H1351" t="s">
        <v>89</v>
      </c>
      <c r="I1351">
        <v>2020</v>
      </c>
      <c r="J1351">
        <v>0.128</v>
      </c>
      <c r="K1351" t="s">
        <v>54</v>
      </c>
      <c r="L1351">
        <v>70</v>
      </c>
    </row>
    <row r="1352" spans="1:12" x14ac:dyDescent="0.45">
      <c r="A1352" t="s">
        <v>90</v>
      </c>
      <c r="B1352" t="s">
        <v>2</v>
      </c>
      <c r="C1352" t="s">
        <v>84</v>
      </c>
      <c r="D1352" t="s">
        <v>85</v>
      </c>
      <c r="E1352" t="s">
        <v>25</v>
      </c>
      <c r="F1352" t="s">
        <v>85</v>
      </c>
      <c r="G1352" t="s">
        <v>26</v>
      </c>
      <c r="H1352" t="s">
        <v>82</v>
      </c>
      <c r="I1352">
        <v>2020</v>
      </c>
      <c r="J1352">
        <v>0.1113</v>
      </c>
      <c r="K1352" t="s">
        <v>85</v>
      </c>
    </row>
    <row r="1353" spans="1:12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2025</v>
      </c>
      <c r="J1353">
        <v>28.1</v>
      </c>
      <c r="K1353" t="s">
        <v>45</v>
      </c>
    </row>
    <row r="1354" spans="1:12" x14ac:dyDescent="0.45">
      <c r="A1354" t="s">
        <v>90</v>
      </c>
      <c r="B1354" t="s">
        <v>2</v>
      </c>
      <c r="C1354" t="s">
        <v>84</v>
      </c>
      <c r="D1354" t="s">
        <v>48</v>
      </c>
      <c r="E1354" t="s">
        <v>46</v>
      </c>
      <c r="F1354" t="s">
        <v>48</v>
      </c>
      <c r="G1354" t="s">
        <v>49</v>
      </c>
      <c r="H1354" t="s">
        <v>50</v>
      </c>
      <c r="I1354">
        <v>2025</v>
      </c>
      <c r="J1354">
        <v>3189.2897499999999</v>
      </c>
      <c r="K1354" t="s">
        <v>48</v>
      </c>
    </row>
    <row r="1355" spans="1:12" x14ac:dyDescent="0.45">
      <c r="A1355" t="s">
        <v>90</v>
      </c>
      <c r="B1355" t="s">
        <v>2</v>
      </c>
      <c r="C1355" t="s">
        <v>84</v>
      </c>
      <c r="D1355" t="s">
        <v>51</v>
      </c>
      <c r="E1355" t="s">
        <v>46</v>
      </c>
      <c r="F1355" t="s">
        <v>51</v>
      </c>
      <c r="G1355" t="s">
        <v>49</v>
      </c>
      <c r="H1355" t="s">
        <v>50</v>
      </c>
      <c r="I1355">
        <v>2025</v>
      </c>
      <c r="J1355">
        <v>3906.9557999999997</v>
      </c>
      <c r="K1355" t="s">
        <v>51</v>
      </c>
    </row>
    <row r="1356" spans="1:12" x14ac:dyDescent="0.45">
      <c r="A1356" t="s">
        <v>90</v>
      </c>
      <c r="B1356" t="s">
        <v>2</v>
      </c>
      <c r="C1356" t="s">
        <v>84</v>
      </c>
      <c r="D1356" t="s">
        <v>24</v>
      </c>
      <c r="E1356" t="s">
        <v>25</v>
      </c>
      <c r="F1356" t="s">
        <v>24</v>
      </c>
      <c r="G1356" t="s">
        <v>26</v>
      </c>
      <c r="H1356" t="s">
        <v>13</v>
      </c>
      <c r="I1356">
        <v>2025</v>
      </c>
      <c r="J1356">
        <v>3.19625</v>
      </c>
      <c r="K1356" t="s">
        <v>24</v>
      </c>
    </row>
    <row r="1357" spans="1:12" x14ac:dyDescent="0.45">
      <c r="A1357" t="s">
        <v>90</v>
      </c>
      <c r="B1357" t="s">
        <v>2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2025</v>
      </c>
      <c r="J1357">
        <v>10.643000000000001</v>
      </c>
      <c r="K1357" t="s">
        <v>28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27</v>
      </c>
      <c r="E1358" t="s">
        <v>25</v>
      </c>
      <c r="F1358" t="s">
        <v>27</v>
      </c>
      <c r="G1358" t="s">
        <v>26</v>
      </c>
      <c r="H1358" t="s">
        <v>10</v>
      </c>
      <c r="I1358">
        <v>2025</v>
      </c>
      <c r="J1358">
        <v>0.69300000000000006</v>
      </c>
      <c r="K1358" t="s">
        <v>27</v>
      </c>
    </row>
    <row r="1359" spans="1:12" x14ac:dyDescent="0.45">
      <c r="A1359" t="s">
        <v>90</v>
      </c>
      <c r="B1359" t="s">
        <v>2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2025</v>
      </c>
      <c r="J1359">
        <v>5.6462000000000003</v>
      </c>
      <c r="K1359" t="s">
        <v>29</v>
      </c>
    </row>
    <row r="1360" spans="1:12" x14ac:dyDescent="0.45">
      <c r="A1360" t="s">
        <v>90</v>
      </c>
      <c r="B1360" t="s">
        <v>2</v>
      </c>
      <c r="C1360" t="s">
        <v>84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2025</v>
      </c>
      <c r="J1360">
        <v>2.1265499999999999</v>
      </c>
      <c r="K1360" t="s">
        <v>33</v>
      </c>
    </row>
    <row r="1361" spans="1:12" x14ac:dyDescent="0.45">
      <c r="A1361" t="s">
        <v>90</v>
      </c>
      <c r="B1361" t="s">
        <v>2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2025</v>
      </c>
      <c r="J1361">
        <v>4.5302500000000006</v>
      </c>
      <c r="K1361" t="s">
        <v>35</v>
      </c>
    </row>
    <row r="1362" spans="1:12" x14ac:dyDescent="0.45">
      <c r="A1362" t="s">
        <v>90</v>
      </c>
      <c r="B1362" t="s">
        <v>2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2025</v>
      </c>
      <c r="J1362">
        <v>93.140349999999998</v>
      </c>
      <c r="K1362" t="s">
        <v>37</v>
      </c>
    </row>
    <row r="1363" spans="1:12" x14ac:dyDescent="0.45">
      <c r="A1363" t="s">
        <v>90</v>
      </c>
      <c r="B1363" t="s">
        <v>2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2025</v>
      </c>
      <c r="J1363">
        <v>1.1422000000000001</v>
      </c>
      <c r="K1363" t="s">
        <v>52</v>
      </c>
      <c r="L1363">
        <v>94</v>
      </c>
    </row>
    <row r="1364" spans="1:12" x14ac:dyDescent="0.45">
      <c r="A1364" t="s">
        <v>90</v>
      </c>
      <c r="B1364" t="s">
        <v>2</v>
      </c>
      <c r="C1364" t="s">
        <v>84</v>
      </c>
      <c r="D1364" t="s">
        <v>53</v>
      </c>
      <c r="E1364" t="s">
        <v>25</v>
      </c>
      <c r="F1364" t="s">
        <v>53</v>
      </c>
      <c r="G1364" t="s">
        <v>71</v>
      </c>
      <c r="H1364" t="s">
        <v>89</v>
      </c>
      <c r="I1364">
        <v>2025</v>
      </c>
      <c r="J1364">
        <v>7.1794000000000002</v>
      </c>
      <c r="K1364" t="s">
        <v>53</v>
      </c>
      <c r="L1364">
        <v>55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54</v>
      </c>
      <c r="E1365" t="s">
        <v>25</v>
      </c>
      <c r="F1365" t="s">
        <v>54</v>
      </c>
      <c r="G1365" t="s">
        <v>71</v>
      </c>
      <c r="H1365" t="s">
        <v>89</v>
      </c>
      <c r="I1365">
        <v>2025</v>
      </c>
      <c r="J1365">
        <v>7.9000000000000001E-2</v>
      </c>
      <c r="K1365" t="s">
        <v>54</v>
      </c>
      <c r="L1365">
        <v>70</v>
      </c>
    </row>
    <row r="1366" spans="1:12" x14ac:dyDescent="0.45">
      <c r="A1366" t="s">
        <v>90</v>
      </c>
      <c r="B1366" t="s">
        <v>2</v>
      </c>
      <c r="C1366" t="s">
        <v>84</v>
      </c>
      <c r="D1366" t="s">
        <v>85</v>
      </c>
      <c r="E1366" t="s">
        <v>25</v>
      </c>
      <c r="F1366" t="s">
        <v>85</v>
      </c>
      <c r="G1366" t="s">
        <v>26</v>
      </c>
      <c r="H1366" t="s">
        <v>82</v>
      </c>
      <c r="I1366">
        <v>2025</v>
      </c>
      <c r="J1366">
        <v>0.46484999999999999</v>
      </c>
      <c r="K1366" t="s">
        <v>85</v>
      </c>
    </row>
    <row r="1367" spans="1:12" x14ac:dyDescent="0.45">
      <c r="A1367" t="s">
        <v>90</v>
      </c>
      <c r="B1367" t="s">
        <v>2</v>
      </c>
      <c r="C1367" t="s">
        <v>84</v>
      </c>
      <c r="D1367" t="s">
        <v>45</v>
      </c>
      <c r="E1367" t="s">
        <v>46</v>
      </c>
      <c r="F1367" t="s">
        <v>45</v>
      </c>
      <c r="G1367" t="s">
        <v>47</v>
      </c>
      <c r="H1367" t="s">
        <v>89</v>
      </c>
      <c r="I1367">
        <v>2030</v>
      </c>
      <c r="J1367">
        <v>146.31625</v>
      </c>
      <c r="K1367" t="s">
        <v>45</v>
      </c>
    </row>
    <row r="1368" spans="1:12" x14ac:dyDescent="0.45">
      <c r="A1368" t="s">
        <v>90</v>
      </c>
      <c r="B1368" t="s">
        <v>2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2030</v>
      </c>
      <c r="J1368">
        <v>1992.7847999999999</v>
      </c>
      <c r="K1368" t="s">
        <v>48</v>
      </c>
    </row>
    <row r="1369" spans="1:12" x14ac:dyDescent="0.45">
      <c r="A1369" t="s">
        <v>90</v>
      </c>
      <c r="B1369" t="s">
        <v>2</v>
      </c>
      <c r="C1369" t="s">
        <v>84</v>
      </c>
      <c r="D1369" t="s">
        <v>51</v>
      </c>
      <c r="E1369" t="s">
        <v>46</v>
      </c>
      <c r="F1369" t="s">
        <v>51</v>
      </c>
      <c r="G1369" t="s">
        <v>49</v>
      </c>
      <c r="H1369" t="s">
        <v>50</v>
      </c>
      <c r="I1369">
        <v>2030</v>
      </c>
      <c r="J1369">
        <v>2714.8809000000001</v>
      </c>
      <c r="K1369" t="s">
        <v>51</v>
      </c>
    </row>
    <row r="1370" spans="1:12" x14ac:dyDescent="0.45">
      <c r="A1370" t="s">
        <v>90</v>
      </c>
      <c r="B1370" t="s">
        <v>2</v>
      </c>
      <c r="C1370" t="s">
        <v>84</v>
      </c>
      <c r="D1370" t="s">
        <v>24</v>
      </c>
      <c r="E1370" t="s">
        <v>25</v>
      </c>
      <c r="F1370" t="s">
        <v>24</v>
      </c>
      <c r="G1370" t="s">
        <v>26</v>
      </c>
      <c r="H1370" t="s">
        <v>13</v>
      </c>
      <c r="I1370">
        <v>2030</v>
      </c>
      <c r="J1370">
        <v>3.5033000000000003</v>
      </c>
      <c r="K1370" t="s">
        <v>24</v>
      </c>
    </row>
    <row r="1371" spans="1:12" x14ac:dyDescent="0.45">
      <c r="A1371" t="s">
        <v>90</v>
      </c>
      <c r="B1371" t="s">
        <v>2</v>
      </c>
      <c r="C1371" t="s">
        <v>84</v>
      </c>
      <c r="D1371" t="s">
        <v>28</v>
      </c>
      <c r="E1371" t="s">
        <v>25</v>
      </c>
      <c r="F1371" t="s">
        <v>28</v>
      </c>
      <c r="G1371" t="s">
        <v>26</v>
      </c>
      <c r="H1371" t="s">
        <v>12</v>
      </c>
      <c r="I1371">
        <v>2030</v>
      </c>
      <c r="J1371">
        <v>10.7216</v>
      </c>
      <c r="K1371" t="s">
        <v>28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27</v>
      </c>
      <c r="E1372" t="s">
        <v>25</v>
      </c>
      <c r="F1372" t="s">
        <v>27</v>
      </c>
      <c r="G1372" t="s">
        <v>26</v>
      </c>
      <c r="H1372" t="s">
        <v>10</v>
      </c>
      <c r="I1372">
        <v>2030</v>
      </c>
      <c r="J1372">
        <v>1.4089499999999999</v>
      </c>
      <c r="K1372" t="s">
        <v>27</v>
      </c>
    </row>
    <row r="1373" spans="1:12" x14ac:dyDescent="0.45">
      <c r="A1373" t="s">
        <v>90</v>
      </c>
      <c r="B1373" t="s">
        <v>2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2030</v>
      </c>
      <c r="J1373">
        <v>5.6435499999999994</v>
      </c>
      <c r="K1373" t="s">
        <v>29</v>
      </c>
    </row>
    <row r="1374" spans="1:12" x14ac:dyDescent="0.45">
      <c r="A1374" t="s">
        <v>90</v>
      </c>
      <c r="B1374" t="s">
        <v>2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2030</v>
      </c>
      <c r="J1374">
        <v>2.0793499999999998</v>
      </c>
      <c r="K1374" t="s">
        <v>33</v>
      </c>
    </row>
    <row r="1375" spans="1:12" x14ac:dyDescent="0.45">
      <c r="A1375" t="s">
        <v>90</v>
      </c>
      <c r="B1375" t="s">
        <v>2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4.3168500000000005</v>
      </c>
      <c r="K1375" t="s">
        <v>35</v>
      </c>
    </row>
    <row r="1376" spans="1:12" x14ac:dyDescent="0.45">
      <c r="A1376" t="s">
        <v>90</v>
      </c>
      <c r="B1376" t="s">
        <v>2</v>
      </c>
      <c r="C1376" t="s">
        <v>84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2030</v>
      </c>
      <c r="J1376">
        <v>90.895250000000004</v>
      </c>
      <c r="K1376" t="s">
        <v>37</v>
      </c>
    </row>
    <row r="1377" spans="1:12" x14ac:dyDescent="0.45">
      <c r="A1377" t="s">
        <v>90</v>
      </c>
      <c r="B1377" t="s">
        <v>2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2030</v>
      </c>
      <c r="J1377">
        <v>6.1999999999999998E-3</v>
      </c>
      <c r="K1377" t="s">
        <v>52</v>
      </c>
      <c r="L1377">
        <v>94</v>
      </c>
    </row>
    <row r="1378" spans="1:12" x14ac:dyDescent="0.45">
      <c r="A1378" t="s">
        <v>90</v>
      </c>
      <c r="B1378" t="s">
        <v>2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2030</v>
      </c>
      <c r="J1378">
        <v>4.4108999999999998</v>
      </c>
      <c r="K1378" t="s">
        <v>53</v>
      </c>
      <c r="L1378">
        <v>55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54</v>
      </c>
      <c r="E1379" t="s">
        <v>25</v>
      </c>
      <c r="F1379" t="s">
        <v>54</v>
      </c>
      <c r="G1379" t="s">
        <v>71</v>
      </c>
      <c r="H1379" t="s">
        <v>89</v>
      </c>
      <c r="I1379">
        <v>2030</v>
      </c>
      <c r="J1379">
        <v>2.7E-2</v>
      </c>
      <c r="K1379" t="s">
        <v>54</v>
      </c>
      <c r="L1379">
        <v>70</v>
      </c>
    </row>
    <row r="1380" spans="1:12" x14ac:dyDescent="0.45">
      <c r="A1380" t="s">
        <v>90</v>
      </c>
      <c r="B1380" t="s">
        <v>2</v>
      </c>
      <c r="C1380" t="s">
        <v>84</v>
      </c>
      <c r="D1380" t="s">
        <v>85</v>
      </c>
      <c r="E1380" t="s">
        <v>25</v>
      </c>
      <c r="F1380" t="s">
        <v>85</v>
      </c>
      <c r="G1380" t="s">
        <v>26</v>
      </c>
      <c r="H1380" t="s">
        <v>82</v>
      </c>
      <c r="I1380">
        <v>2030</v>
      </c>
      <c r="J1380">
        <v>0.87165000000000004</v>
      </c>
      <c r="K1380" t="s">
        <v>85</v>
      </c>
    </row>
    <row r="1381" spans="1:12" x14ac:dyDescent="0.45">
      <c r="A1381" t="s">
        <v>90</v>
      </c>
      <c r="B1381" t="s">
        <v>2</v>
      </c>
      <c r="C1381" t="s">
        <v>84</v>
      </c>
      <c r="D1381" t="s">
        <v>45</v>
      </c>
      <c r="E1381" t="s">
        <v>46</v>
      </c>
      <c r="F1381" t="s">
        <v>45</v>
      </c>
      <c r="G1381" t="s">
        <v>47</v>
      </c>
      <c r="H1381" t="s">
        <v>89</v>
      </c>
      <c r="I1381">
        <v>2035</v>
      </c>
      <c r="J1381">
        <v>395.01105000000001</v>
      </c>
      <c r="K1381" t="s">
        <v>45</v>
      </c>
    </row>
    <row r="1382" spans="1:12" x14ac:dyDescent="0.45">
      <c r="A1382" t="s">
        <v>90</v>
      </c>
      <c r="B1382" t="s">
        <v>2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2035</v>
      </c>
      <c r="J1382">
        <v>905.39549999999997</v>
      </c>
      <c r="K1382" t="s">
        <v>48</v>
      </c>
    </row>
    <row r="1383" spans="1:12" x14ac:dyDescent="0.45">
      <c r="A1383" t="s">
        <v>90</v>
      </c>
      <c r="B1383" t="s">
        <v>2</v>
      </c>
      <c r="C1383" t="s">
        <v>84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2035</v>
      </c>
      <c r="J1383">
        <v>1645.2379000000001</v>
      </c>
      <c r="K1383" t="s">
        <v>51</v>
      </c>
    </row>
    <row r="1384" spans="1:12" x14ac:dyDescent="0.45">
      <c r="A1384" t="s">
        <v>90</v>
      </c>
      <c r="B1384" t="s">
        <v>2</v>
      </c>
      <c r="C1384" t="s">
        <v>84</v>
      </c>
      <c r="D1384" t="s">
        <v>24</v>
      </c>
      <c r="E1384" t="s">
        <v>25</v>
      </c>
      <c r="F1384" t="s">
        <v>24</v>
      </c>
      <c r="G1384" t="s">
        <v>26</v>
      </c>
      <c r="H1384" t="s">
        <v>13</v>
      </c>
      <c r="I1384">
        <v>2035</v>
      </c>
      <c r="J1384">
        <v>4.2302499999999998</v>
      </c>
      <c r="K1384" t="s">
        <v>24</v>
      </c>
    </row>
    <row r="1385" spans="1:12" x14ac:dyDescent="0.45">
      <c r="A1385" t="s">
        <v>90</v>
      </c>
      <c r="B1385" t="s">
        <v>2</v>
      </c>
      <c r="C1385" t="s">
        <v>84</v>
      </c>
      <c r="D1385" t="s">
        <v>28</v>
      </c>
      <c r="E1385" t="s">
        <v>25</v>
      </c>
      <c r="F1385" t="s">
        <v>28</v>
      </c>
      <c r="G1385" t="s">
        <v>26</v>
      </c>
      <c r="H1385" t="s">
        <v>12</v>
      </c>
      <c r="I1385">
        <v>2035</v>
      </c>
      <c r="J1385">
        <v>11.83555</v>
      </c>
      <c r="K1385" t="s">
        <v>28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27</v>
      </c>
      <c r="E1386" t="s">
        <v>25</v>
      </c>
      <c r="F1386" t="s">
        <v>27</v>
      </c>
      <c r="G1386" t="s">
        <v>26</v>
      </c>
      <c r="H1386" t="s">
        <v>10</v>
      </c>
      <c r="I1386">
        <v>2035</v>
      </c>
      <c r="J1386">
        <v>2.2906500000000003</v>
      </c>
      <c r="K1386" t="s">
        <v>27</v>
      </c>
    </row>
    <row r="1387" spans="1:12" x14ac:dyDescent="0.45">
      <c r="A1387" t="s">
        <v>90</v>
      </c>
      <c r="B1387" t="s">
        <v>2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2035</v>
      </c>
      <c r="J1387">
        <v>5.8456999999999999</v>
      </c>
      <c r="K1387" t="s">
        <v>29</v>
      </c>
    </row>
    <row r="1388" spans="1:12" x14ac:dyDescent="0.45">
      <c r="A1388" t="s">
        <v>90</v>
      </c>
      <c r="B1388" t="s">
        <v>2</v>
      </c>
      <c r="C1388" t="s">
        <v>84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2035</v>
      </c>
      <c r="J1388">
        <v>2.0613000000000001</v>
      </c>
      <c r="K1388" t="s">
        <v>33</v>
      </c>
    </row>
    <row r="1389" spans="1:12" x14ac:dyDescent="0.45">
      <c r="A1389" t="s">
        <v>90</v>
      </c>
      <c r="B1389" t="s">
        <v>2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2035</v>
      </c>
      <c r="J1389">
        <v>4.7407500000000002</v>
      </c>
      <c r="K1389" t="s">
        <v>35</v>
      </c>
    </row>
    <row r="1390" spans="1:12" x14ac:dyDescent="0.45">
      <c r="A1390" t="s">
        <v>90</v>
      </c>
      <c r="B1390" t="s">
        <v>2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2035</v>
      </c>
      <c r="J1390">
        <v>93.968400000000003</v>
      </c>
      <c r="K1390" t="s">
        <v>37</v>
      </c>
    </row>
    <row r="1391" spans="1:12" x14ac:dyDescent="0.45">
      <c r="A1391" t="s">
        <v>90</v>
      </c>
      <c r="B1391" t="s">
        <v>2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2035</v>
      </c>
      <c r="J1391">
        <v>8.9999999999999998E-4</v>
      </c>
      <c r="K1391" t="s">
        <v>52</v>
      </c>
      <c r="L1391">
        <v>94</v>
      </c>
    </row>
    <row r="1392" spans="1:12" x14ac:dyDescent="0.45">
      <c r="A1392" t="s">
        <v>90</v>
      </c>
      <c r="B1392" t="s">
        <v>2</v>
      </c>
      <c r="C1392" t="s">
        <v>84</v>
      </c>
      <c r="D1392" t="s">
        <v>53</v>
      </c>
      <c r="E1392" t="s">
        <v>25</v>
      </c>
      <c r="F1392" t="s">
        <v>53</v>
      </c>
      <c r="G1392" t="s">
        <v>71</v>
      </c>
      <c r="H1392" t="s">
        <v>89</v>
      </c>
      <c r="I1392">
        <v>2035</v>
      </c>
      <c r="J1392">
        <v>2.2948</v>
      </c>
      <c r="K1392" t="s">
        <v>53</v>
      </c>
      <c r="L1392">
        <v>55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54</v>
      </c>
      <c r="E1393" t="s">
        <v>25</v>
      </c>
      <c r="F1393" t="s">
        <v>54</v>
      </c>
      <c r="G1393" t="s">
        <v>71</v>
      </c>
      <c r="H1393" t="s">
        <v>89</v>
      </c>
      <c r="I1393">
        <v>2035</v>
      </c>
      <c r="J1393">
        <v>0</v>
      </c>
      <c r="K1393" t="s">
        <v>54</v>
      </c>
      <c r="L1393">
        <v>70</v>
      </c>
    </row>
    <row r="1394" spans="1:12" x14ac:dyDescent="0.45">
      <c r="A1394" t="s">
        <v>90</v>
      </c>
      <c r="B1394" t="s">
        <v>2</v>
      </c>
      <c r="C1394" t="s">
        <v>84</v>
      </c>
      <c r="D1394" t="s">
        <v>85</v>
      </c>
      <c r="E1394" t="s">
        <v>25</v>
      </c>
      <c r="F1394" t="s">
        <v>85</v>
      </c>
      <c r="G1394" t="s">
        <v>26</v>
      </c>
      <c r="H1394" t="s">
        <v>82</v>
      </c>
      <c r="I1394">
        <v>2035</v>
      </c>
      <c r="J1394">
        <v>1.48925</v>
      </c>
      <c r="K1394" t="s">
        <v>85</v>
      </c>
    </row>
    <row r="1395" spans="1:12" x14ac:dyDescent="0.45">
      <c r="A1395" t="s">
        <v>90</v>
      </c>
      <c r="B1395" t="s">
        <v>2</v>
      </c>
      <c r="C1395" t="s">
        <v>84</v>
      </c>
      <c r="D1395" t="s">
        <v>45</v>
      </c>
      <c r="E1395" t="s">
        <v>46</v>
      </c>
      <c r="F1395" t="s">
        <v>45</v>
      </c>
      <c r="G1395" t="s">
        <v>47</v>
      </c>
      <c r="H1395" t="s">
        <v>89</v>
      </c>
      <c r="I1395">
        <v>2040</v>
      </c>
      <c r="J1395">
        <v>608.06629999999996</v>
      </c>
      <c r="K1395" t="s">
        <v>45</v>
      </c>
    </row>
    <row r="1396" spans="1:12" x14ac:dyDescent="0.45">
      <c r="A1396" t="s">
        <v>90</v>
      </c>
      <c r="B1396" t="s">
        <v>2</v>
      </c>
      <c r="C1396" t="s">
        <v>84</v>
      </c>
      <c r="D1396" t="s">
        <v>48</v>
      </c>
      <c r="E1396" t="s">
        <v>46</v>
      </c>
      <c r="F1396" t="s">
        <v>48</v>
      </c>
      <c r="G1396" t="s">
        <v>49</v>
      </c>
      <c r="H1396" t="s">
        <v>50</v>
      </c>
      <c r="I1396">
        <v>2040</v>
      </c>
      <c r="J1396">
        <v>35.138800000000003</v>
      </c>
      <c r="K1396" t="s">
        <v>48</v>
      </c>
    </row>
    <row r="1397" spans="1:12" x14ac:dyDescent="0.45">
      <c r="A1397" t="s">
        <v>90</v>
      </c>
      <c r="B1397" t="s">
        <v>2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2040</v>
      </c>
      <c r="J1397">
        <v>791.73209999999995</v>
      </c>
      <c r="K1397" t="s">
        <v>51</v>
      </c>
    </row>
    <row r="1398" spans="1:12" x14ac:dyDescent="0.45">
      <c r="A1398" t="s">
        <v>90</v>
      </c>
      <c r="B1398" t="s">
        <v>2</v>
      </c>
      <c r="C1398" t="s">
        <v>84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2040</v>
      </c>
      <c r="J1398">
        <v>4.5490500000000003</v>
      </c>
      <c r="K1398" t="s">
        <v>24</v>
      </c>
    </row>
    <row r="1399" spans="1:12" x14ac:dyDescent="0.45">
      <c r="A1399" t="s">
        <v>90</v>
      </c>
      <c r="B1399" t="s">
        <v>2</v>
      </c>
      <c r="C1399" t="s">
        <v>84</v>
      </c>
      <c r="D1399" t="s">
        <v>28</v>
      </c>
      <c r="E1399" t="s">
        <v>25</v>
      </c>
      <c r="F1399" t="s">
        <v>28</v>
      </c>
      <c r="G1399" t="s">
        <v>26</v>
      </c>
      <c r="H1399" t="s">
        <v>12</v>
      </c>
      <c r="I1399">
        <v>2040</v>
      </c>
      <c r="J1399">
        <v>12.4758</v>
      </c>
      <c r="K1399" t="s">
        <v>28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27</v>
      </c>
      <c r="E1400" t="s">
        <v>25</v>
      </c>
      <c r="F1400" t="s">
        <v>27</v>
      </c>
      <c r="G1400" t="s">
        <v>26</v>
      </c>
      <c r="H1400" t="s">
        <v>10</v>
      </c>
      <c r="I1400">
        <v>2040</v>
      </c>
      <c r="J1400">
        <v>2.9651000000000001</v>
      </c>
      <c r="K1400" t="s">
        <v>27</v>
      </c>
    </row>
    <row r="1401" spans="1:12" x14ac:dyDescent="0.45">
      <c r="A1401" t="s">
        <v>90</v>
      </c>
      <c r="B1401" t="s">
        <v>2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2040</v>
      </c>
      <c r="J1401">
        <v>5.91425</v>
      </c>
      <c r="K1401" t="s">
        <v>29</v>
      </c>
    </row>
    <row r="1402" spans="1:12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2040</v>
      </c>
      <c r="J1402">
        <v>1.9228499999999999</v>
      </c>
      <c r="K1402" t="s">
        <v>33</v>
      </c>
    </row>
    <row r="1403" spans="1:12" x14ac:dyDescent="0.45">
      <c r="A1403" t="s">
        <v>90</v>
      </c>
      <c r="B1403" t="s">
        <v>2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2040</v>
      </c>
      <c r="J1403">
        <v>5.0349500000000003</v>
      </c>
      <c r="K1403" t="s">
        <v>35</v>
      </c>
    </row>
    <row r="1404" spans="1:12" x14ac:dyDescent="0.45">
      <c r="A1404" t="s">
        <v>90</v>
      </c>
      <c r="B1404" t="s">
        <v>2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2040</v>
      </c>
      <c r="J1404">
        <v>101.27680000000001</v>
      </c>
      <c r="K1404" t="s">
        <v>37</v>
      </c>
    </row>
    <row r="1405" spans="1:12" x14ac:dyDescent="0.45">
      <c r="A1405" t="s">
        <v>90</v>
      </c>
      <c r="B1405" t="s">
        <v>2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2040</v>
      </c>
      <c r="J1405">
        <v>6.9999999999999999E-4</v>
      </c>
      <c r="K1405" t="s">
        <v>52</v>
      </c>
      <c r="L1405">
        <v>94</v>
      </c>
    </row>
    <row r="1406" spans="1:12" x14ac:dyDescent="0.45">
      <c r="A1406" t="s">
        <v>90</v>
      </c>
      <c r="B1406" t="s">
        <v>2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2040</v>
      </c>
      <c r="J1406">
        <v>0.6502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54</v>
      </c>
      <c r="E1407" t="s">
        <v>25</v>
      </c>
      <c r="F1407" t="s">
        <v>54</v>
      </c>
      <c r="G1407" t="s">
        <v>71</v>
      </c>
      <c r="H1407" t="s">
        <v>89</v>
      </c>
      <c r="I1407">
        <v>2040</v>
      </c>
      <c r="J1407">
        <v>0</v>
      </c>
      <c r="K1407" t="s">
        <v>54</v>
      </c>
      <c r="L1407">
        <v>70</v>
      </c>
    </row>
    <row r="1408" spans="1:12" x14ac:dyDescent="0.45">
      <c r="A1408" t="s">
        <v>90</v>
      </c>
      <c r="B1408" t="s">
        <v>2</v>
      </c>
      <c r="C1408" t="s">
        <v>84</v>
      </c>
      <c r="D1408" t="s">
        <v>85</v>
      </c>
      <c r="E1408" t="s">
        <v>25</v>
      </c>
      <c r="F1408" t="s">
        <v>85</v>
      </c>
      <c r="G1408" t="s">
        <v>26</v>
      </c>
      <c r="H1408" t="s">
        <v>82</v>
      </c>
      <c r="I1408">
        <v>2040</v>
      </c>
      <c r="J1408">
        <v>2.3957999999999999</v>
      </c>
      <c r="K1408" t="s">
        <v>85</v>
      </c>
    </row>
    <row r="1409" spans="1:12" x14ac:dyDescent="0.45">
      <c r="A1409" t="s">
        <v>90</v>
      </c>
      <c r="B1409" t="s">
        <v>2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H1409" t="s">
        <v>89</v>
      </c>
      <c r="I1409">
        <v>2045</v>
      </c>
      <c r="J1409">
        <v>637.68790000000001</v>
      </c>
      <c r="K1409" t="s">
        <v>45</v>
      </c>
    </row>
    <row r="1410" spans="1:12" x14ac:dyDescent="0.45">
      <c r="A1410" t="s">
        <v>90</v>
      </c>
      <c r="B1410" t="s">
        <v>2</v>
      </c>
      <c r="C1410" t="s">
        <v>84</v>
      </c>
      <c r="D1410" t="s">
        <v>48</v>
      </c>
      <c r="E1410" t="s">
        <v>46</v>
      </c>
      <c r="F1410" t="s">
        <v>48</v>
      </c>
      <c r="G1410" t="s">
        <v>49</v>
      </c>
      <c r="H1410" t="s">
        <v>50</v>
      </c>
      <c r="I1410">
        <v>2045</v>
      </c>
      <c r="J1410">
        <v>-451.32309999999995</v>
      </c>
      <c r="K1410" t="s">
        <v>48</v>
      </c>
    </row>
    <row r="1411" spans="1:12" x14ac:dyDescent="0.45">
      <c r="A1411" t="s">
        <v>90</v>
      </c>
      <c r="B1411" t="s">
        <v>2</v>
      </c>
      <c r="C1411" t="s">
        <v>84</v>
      </c>
      <c r="D1411" t="s">
        <v>51</v>
      </c>
      <c r="E1411" t="s">
        <v>46</v>
      </c>
      <c r="F1411" t="s">
        <v>51</v>
      </c>
      <c r="G1411" t="s">
        <v>49</v>
      </c>
      <c r="H1411" t="s">
        <v>50</v>
      </c>
      <c r="I1411">
        <v>2045</v>
      </c>
      <c r="J1411">
        <v>321.78904999999997</v>
      </c>
      <c r="K1411" t="s">
        <v>51</v>
      </c>
    </row>
    <row r="1412" spans="1:12" x14ac:dyDescent="0.45">
      <c r="A1412" t="s">
        <v>90</v>
      </c>
      <c r="B1412" t="s">
        <v>2</v>
      </c>
      <c r="C1412" t="s">
        <v>84</v>
      </c>
      <c r="D1412" t="s">
        <v>24</v>
      </c>
      <c r="E1412" t="s">
        <v>25</v>
      </c>
      <c r="F1412" t="s">
        <v>24</v>
      </c>
      <c r="G1412" t="s">
        <v>26</v>
      </c>
      <c r="H1412" t="s">
        <v>13</v>
      </c>
      <c r="I1412">
        <v>2045</v>
      </c>
      <c r="J1412">
        <v>4.8561499999999995</v>
      </c>
      <c r="K1412" t="s">
        <v>24</v>
      </c>
    </row>
    <row r="1413" spans="1:12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2045</v>
      </c>
      <c r="J1413">
        <v>13.063750000000001</v>
      </c>
      <c r="K1413" t="s">
        <v>28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27</v>
      </c>
      <c r="E1414" t="s">
        <v>25</v>
      </c>
      <c r="F1414" t="s">
        <v>27</v>
      </c>
      <c r="G1414" t="s">
        <v>26</v>
      </c>
      <c r="H1414" t="s">
        <v>10</v>
      </c>
      <c r="I1414">
        <v>2045</v>
      </c>
      <c r="J1414">
        <v>3.27475</v>
      </c>
      <c r="K1414" t="s">
        <v>27</v>
      </c>
    </row>
    <row r="1415" spans="1:12" x14ac:dyDescent="0.45">
      <c r="A1415" t="s">
        <v>90</v>
      </c>
      <c r="B1415" t="s">
        <v>2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2045</v>
      </c>
      <c r="J1415">
        <v>6.5330500000000002</v>
      </c>
      <c r="K1415" t="s">
        <v>29</v>
      </c>
    </row>
    <row r="1416" spans="1:12" x14ac:dyDescent="0.45">
      <c r="A1416" t="s">
        <v>90</v>
      </c>
      <c r="B1416" t="s">
        <v>2</v>
      </c>
      <c r="C1416" t="s">
        <v>84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2045</v>
      </c>
      <c r="J1416">
        <v>1.8179000000000001</v>
      </c>
      <c r="K1416" t="s">
        <v>33</v>
      </c>
    </row>
    <row r="1417" spans="1:12" x14ac:dyDescent="0.45">
      <c r="A1417" t="s">
        <v>90</v>
      </c>
      <c r="B1417" t="s">
        <v>2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2045</v>
      </c>
      <c r="J1417">
        <v>5.3595000000000006</v>
      </c>
      <c r="K1417" t="s">
        <v>35</v>
      </c>
    </row>
    <row r="1418" spans="1:12" x14ac:dyDescent="0.45">
      <c r="A1418" t="s">
        <v>90</v>
      </c>
      <c r="B1418" t="s">
        <v>2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2045</v>
      </c>
      <c r="J1418">
        <v>108.22225</v>
      </c>
      <c r="K1418" t="s">
        <v>37</v>
      </c>
    </row>
    <row r="1419" spans="1:12" x14ac:dyDescent="0.45">
      <c r="A1419" t="s">
        <v>90</v>
      </c>
      <c r="B1419" t="s">
        <v>2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2045</v>
      </c>
      <c r="J1419">
        <v>4.0000000000000002E-4</v>
      </c>
      <c r="K1419" t="s">
        <v>52</v>
      </c>
      <c r="L1419">
        <v>94</v>
      </c>
    </row>
    <row r="1420" spans="1:12" x14ac:dyDescent="0.45">
      <c r="A1420" t="s">
        <v>90</v>
      </c>
      <c r="B1420" t="s">
        <v>2</v>
      </c>
      <c r="C1420" t="s">
        <v>84</v>
      </c>
      <c r="D1420" t="s">
        <v>53</v>
      </c>
      <c r="E1420" t="s">
        <v>25</v>
      </c>
      <c r="F1420" t="s">
        <v>53</v>
      </c>
      <c r="G1420" t="s">
        <v>71</v>
      </c>
      <c r="H1420" t="s">
        <v>89</v>
      </c>
      <c r="I1420">
        <v>2045</v>
      </c>
      <c r="J1420">
        <v>0.1002</v>
      </c>
      <c r="K1420" t="s">
        <v>53</v>
      </c>
      <c r="L1420">
        <v>55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54</v>
      </c>
      <c r="E1421" t="s">
        <v>25</v>
      </c>
      <c r="F1421" t="s">
        <v>54</v>
      </c>
      <c r="G1421" t="s">
        <v>71</v>
      </c>
      <c r="H1421" t="s">
        <v>89</v>
      </c>
      <c r="I1421">
        <v>2045</v>
      </c>
      <c r="J1421">
        <v>0</v>
      </c>
      <c r="K1421" t="s">
        <v>54</v>
      </c>
      <c r="L1421">
        <v>70</v>
      </c>
    </row>
    <row r="1422" spans="1:12" x14ac:dyDescent="0.45">
      <c r="A1422" t="s">
        <v>90</v>
      </c>
      <c r="B1422" t="s">
        <v>2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2045</v>
      </c>
      <c r="J1422">
        <v>3.9722</v>
      </c>
      <c r="K1422" t="s">
        <v>85</v>
      </c>
    </row>
    <row r="1423" spans="1:12" x14ac:dyDescent="0.45">
      <c r="A1423" t="s">
        <v>90</v>
      </c>
      <c r="B1423" t="s">
        <v>2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2050</v>
      </c>
      <c r="J1423">
        <v>600.67555000000004</v>
      </c>
      <c r="K1423" t="s">
        <v>45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48</v>
      </c>
      <c r="E1424" t="s">
        <v>46</v>
      </c>
      <c r="F1424" t="s">
        <v>48</v>
      </c>
      <c r="G1424" t="s">
        <v>49</v>
      </c>
      <c r="H1424" t="s">
        <v>50</v>
      </c>
      <c r="I1424">
        <v>2050</v>
      </c>
      <c r="J1424">
        <v>-750.53035</v>
      </c>
      <c r="K1424" t="s">
        <v>48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51</v>
      </c>
      <c r="E1425" t="s">
        <v>46</v>
      </c>
      <c r="F1425" t="s">
        <v>51</v>
      </c>
      <c r="G1425" t="s">
        <v>49</v>
      </c>
      <c r="H1425" t="s">
        <v>50</v>
      </c>
      <c r="I1425">
        <v>2050</v>
      </c>
      <c r="J1425">
        <v>38.020449999999997</v>
      </c>
      <c r="K1425" t="s">
        <v>51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2050</v>
      </c>
      <c r="J1426">
        <v>4.7333999999999996</v>
      </c>
      <c r="K1426" t="s">
        <v>24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28</v>
      </c>
      <c r="E1427" t="s">
        <v>25</v>
      </c>
      <c r="F1427" t="s">
        <v>28</v>
      </c>
      <c r="G1427" t="s">
        <v>26</v>
      </c>
      <c r="H1427" t="s">
        <v>12</v>
      </c>
      <c r="I1427">
        <v>2050</v>
      </c>
      <c r="J1427">
        <v>12.7865</v>
      </c>
      <c r="K1427" t="s">
        <v>28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2050</v>
      </c>
      <c r="J1428">
        <v>3.5293000000000001</v>
      </c>
      <c r="K1428" t="s">
        <v>27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2050</v>
      </c>
      <c r="J1429">
        <v>7.6464999999999996</v>
      </c>
      <c r="K1429" t="s">
        <v>29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2050</v>
      </c>
      <c r="J1430">
        <v>1.8801999999999999</v>
      </c>
      <c r="K1430" t="s">
        <v>33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2050</v>
      </c>
      <c r="J1431">
        <v>5.35215</v>
      </c>
      <c r="K1431" t="s">
        <v>35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2050</v>
      </c>
      <c r="J1432">
        <v>124.41</v>
      </c>
      <c r="K1432" t="s">
        <v>37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2050</v>
      </c>
      <c r="J1433">
        <v>2.0000000000000001E-4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53</v>
      </c>
      <c r="E1434" t="s">
        <v>25</v>
      </c>
      <c r="F1434" t="s">
        <v>53</v>
      </c>
      <c r="G1434" t="s">
        <v>71</v>
      </c>
      <c r="H1434" t="s">
        <v>89</v>
      </c>
      <c r="I1434">
        <v>2050</v>
      </c>
      <c r="J1434">
        <v>0.09</v>
      </c>
      <c r="K1434" t="s">
        <v>53</v>
      </c>
      <c r="L1434">
        <v>55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54</v>
      </c>
      <c r="E1435" t="s">
        <v>25</v>
      </c>
      <c r="F1435" t="s">
        <v>54</v>
      </c>
      <c r="G1435" t="s">
        <v>71</v>
      </c>
      <c r="H1435" t="s">
        <v>89</v>
      </c>
      <c r="I1435">
        <v>2050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85</v>
      </c>
      <c r="E1436" t="s">
        <v>25</v>
      </c>
      <c r="F1436" t="s">
        <v>85</v>
      </c>
      <c r="G1436" t="s">
        <v>26</v>
      </c>
      <c r="H1436" t="s">
        <v>82</v>
      </c>
      <c r="I1436">
        <v>2050</v>
      </c>
      <c r="J1436">
        <v>6.2991999999999999</v>
      </c>
      <c r="K1436" t="s">
        <v>85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45</v>
      </c>
      <c r="E1437" t="s">
        <v>46</v>
      </c>
      <c r="F1437" t="s">
        <v>45</v>
      </c>
      <c r="G1437" t="s">
        <v>47</v>
      </c>
      <c r="H1437" t="s">
        <v>89</v>
      </c>
      <c r="I1437">
        <v>2055</v>
      </c>
      <c r="J1437">
        <v>577.72865000000002</v>
      </c>
      <c r="K1437" t="s">
        <v>45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48</v>
      </c>
      <c r="E1438" t="s">
        <v>46</v>
      </c>
      <c r="F1438" t="s">
        <v>48</v>
      </c>
      <c r="G1438" t="s">
        <v>49</v>
      </c>
      <c r="H1438" t="s">
        <v>50</v>
      </c>
      <c r="I1438">
        <v>2055</v>
      </c>
      <c r="J1438">
        <v>-885.08709999999996</v>
      </c>
      <c r="K1438" t="s">
        <v>48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2055</v>
      </c>
      <c r="J1439">
        <v>-89.801249999999996</v>
      </c>
      <c r="K1439" t="s">
        <v>51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2055</v>
      </c>
      <c r="J1440">
        <v>4.3180499999999995</v>
      </c>
      <c r="K1440" t="s">
        <v>24</v>
      </c>
    </row>
    <row r="1441" spans="1:12" x14ac:dyDescent="0.45">
      <c r="A1441" t="s">
        <v>90</v>
      </c>
      <c r="B1441" t="s">
        <v>2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2055</v>
      </c>
      <c r="J1441">
        <v>11.7387</v>
      </c>
      <c r="K1441" t="s">
        <v>28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2055</v>
      </c>
      <c r="J1442">
        <v>3.6537500000000001</v>
      </c>
      <c r="K1442" t="s">
        <v>27</v>
      </c>
    </row>
    <row r="1443" spans="1:12" x14ac:dyDescent="0.45">
      <c r="A1443" t="s">
        <v>90</v>
      </c>
      <c r="B1443" t="s">
        <v>2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2055</v>
      </c>
      <c r="J1443">
        <v>6.8690999999999995</v>
      </c>
      <c r="K1443" t="s">
        <v>29</v>
      </c>
    </row>
    <row r="1444" spans="1:12" x14ac:dyDescent="0.45">
      <c r="A1444" t="s">
        <v>90</v>
      </c>
      <c r="B1444" t="s">
        <v>2</v>
      </c>
      <c r="C1444" t="s">
        <v>84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2055</v>
      </c>
      <c r="J1444">
        <v>1.8517000000000001</v>
      </c>
      <c r="K1444" t="s">
        <v>33</v>
      </c>
    </row>
    <row r="1445" spans="1:12" x14ac:dyDescent="0.45">
      <c r="A1445" t="s">
        <v>90</v>
      </c>
      <c r="B1445" t="s">
        <v>2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2055</v>
      </c>
      <c r="J1445">
        <v>5.03695</v>
      </c>
      <c r="K1445" t="s">
        <v>35</v>
      </c>
    </row>
    <row r="1446" spans="1:12" x14ac:dyDescent="0.45">
      <c r="A1446" t="s">
        <v>90</v>
      </c>
      <c r="B1446" t="s">
        <v>2</v>
      </c>
      <c r="C1446" t="s">
        <v>84</v>
      </c>
      <c r="D1446" t="s">
        <v>37</v>
      </c>
      <c r="E1446" t="s">
        <v>30</v>
      </c>
      <c r="F1446" t="s">
        <v>37</v>
      </c>
      <c r="G1446" t="s">
        <v>31</v>
      </c>
      <c r="H1446" t="s">
        <v>38</v>
      </c>
      <c r="I1446">
        <v>2055</v>
      </c>
      <c r="J1446">
        <v>134.39150000000001</v>
      </c>
      <c r="K1446" t="s">
        <v>37</v>
      </c>
    </row>
    <row r="1447" spans="1:12" x14ac:dyDescent="0.45">
      <c r="A1447" t="s">
        <v>90</v>
      </c>
      <c r="B1447" t="s">
        <v>2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2055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2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2055</v>
      </c>
      <c r="J1448">
        <v>7.4950000000000003E-2</v>
      </c>
      <c r="K1448" t="s">
        <v>53</v>
      </c>
      <c r="L1448">
        <v>55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54</v>
      </c>
      <c r="E1449" t="s">
        <v>25</v>
      </c>
      <c r="F1449" t="s">
        <v>54</v>
      </c>
      <c r="G1449" t="s">
        <v>71</v>
      </c>
      <c r="H1449" t="s">
        <v>89</v>
      </c>
      <c r="I1449">
        <v>2055</v>
      </c>
      <c r="J1449">
        <v>0</v>
      </c>
      <c r="K1449" t="s">
        <v>54</v>
      </c>
      <c r="L1449">
        <v>70</v>
      </c>
    </row>
    <row r="1450" spans="1:12" x14ac:dyDescent="0.45">
      <c r="A1450" t="s">
        <v>90</v>
      </c>
      <c r="B1450" t="s">
        <v>2</v>
      </c>
      <c r="C1450" t="s">
        <v>84</v>
      </c>
      <c r="D1450" t="s">
        <v>85</v>
      </c>
      <c r="E1450" t="s">
        <v>25</v>
      </c>
      <c r="F1450" t="s">
        <v>85</v>
      </c>
      <c r="G1450" t="s">
        <v>26</v>
      </c>
      <c r="H1450" t="s">
        <v>82</v>
      </c>
      <c r="I1450">
        <v>2055</v>
      </c>
      <c r="J1450">
        <v>8.6658499999999989</v>
      </c>
      <c r="K1450" t="s">
        <v>85</v>
      </c>
    </row>
    <row r="1451" spans="1:12" x14ac:dyDescent="0.45">
      <c r="A1451" t="s">
        <v>90</v>
      </c>
      <c r="B1451" t="s">
        <v>2</v>
      </c>
      <c r="C1451" t="s">
        <v>84</v>
      </c>
      <c r="D1451" t="s">
        <v>45</v>
      </c>
      <c r="E1451" t="s">
        <v>46</v>
      </c>
      <c r="F1451" t="s">
        <v>45</v>
      </c>
      <c r="G1451" t="s">
        <v>47</v>
      </c>
      <c r="H1451" t="s">
        <v>89</v>
      </c>
      <c r="I1451">
        <v>2060</v>
      </c>
      <c r="J1451">
        <v>528.32240000000002</v>
      </c>
      <c r="K1451" t="s">
        <v>45</v>
      </c>
    </row>
    <row r="1452" spans="1:12" x14ac:dyDescent="0.45">
      <c r="A1452" t="s">
        <v>90</v>
      </c>
      <c r="B1452" t="s">
        <v>2</v>
      </c>
      <c r="C1452" t="s">
        <v>84</v>
      </c>
      <c r="D1452" t="s">
        <v>48</v>
      </c>
      <c r="E1452" t="s">
        <v>46</v>
      </c>
      <c r="F1452" t="s">
        <v>48</v>
      </c>
      <c r="G1452" t="s">
        <v>49</v>
      </c>
      <c r="H1452" t="s">
        <v>50</v>
      </c>
      <c r="I1452">
        <v>2060</v>
      </c>
      <c r="J1452">
        <v>-962.58929999999998</v>
      </c>
      <c r="K1452" t="s">
        <v>48</v>
      </c>
    </row>
    <row r="1453" spans="1:12" x14ac:dyDescent="0.45">
      <c r="A1453" t="s">
        <v>90</v>
      </c>
      <c r="B1453" t="s">
        <v>2</v>
      </c>
      <c r="C1453" t="s">
        <v>84</v>
      </c>
      <c r="D1453" t="s">
        <v>51</v>
      </c>
      <c r="E1453" t="s">
        <v>46</v>
      </c>
      <c r="F1453" t="s">
        <v>51</v>
      </c>
      <c r="G1453" t="s">
        <v>49</v>
      </c>
      <c r="H1453" t="s">
        <v>50</v>
      </c>
      <c r="I1453">
        <v>2060</v>
      </c>
      <c r="J1453">
        <v>-167.36189999999999</v>
      </c>
      <c r="K1453" t="s">
        <v>51</v>
      </c>
    </row>
    <row r="1454" spans="1:12" x14ac:dyDescent="0.45">
      <c r="A1454" t="s">
        <v>90</v>
      </c>
      <c r="B1454" t="s">
        <v>2</v>
      </c>
      <c r="C1454" t="s">
        <v>84</v>
      </c>
      <c r="D1454" t="s">
        <v>24</v>
      </c>
      <c r="E1454" t="s">
        <v>25</v>
      </c>
      <c r="F1454" t="s">
        <v>24</v>
      </c>
      <c r="G1454" t="s">
        <v>26</v>
      </c>
      <c r="H1454" t="s">
        <v>13</v>
      </c>
      <c r="I1454">
        <v>2060</v>
      </c>
      <c r="J1454">
        <v>3.7541000000000002</v>
      </c>
      <c r="K1454" t="s">
        <v>24</v>
      </c>
    </row>
    <row r="1455" spans="1:12" x14ac:dyDescent="0.45">
      <c r="A1455" t="s">
        <v>90</v>
      </c>
      <c r="B1455" t="s">
        <v>2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2060</v>
      </c>
      <c r="J1455">
        <v>11.44605</v>
      </c>
      <c r="K1455" t="s">
        <v>28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2060</v>
      </c>
      <c r="J1456">
        <v>3.8108500000000003</v>
      </c>
      <c r="K1456" t="s">
        <v>27</v>
      </c>
    </row>
    <row r="1457" spans="1:12" x14ac:dyDescent="0.45">
      <c r="A1457" t="s">
        <v>90</v>
      </c>
      <c r="B1457" t="s">
        <v>2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2060</v>
      </c>
      <c r="J1457">
        <v>13.05955</v>
      </c>
      <c r="K1457" t="s">
        <v>29</v>
      </c>
    </row>
    <row r="1458" spans="1:12" x14ac:dyDescent="0.45">
      <c r="A1458" t="s">
        <v>90</v>
      </c>
      <c r="B1458" t="s">
        <v>2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2060</v>
      </c>
      <c r="J1458">
        <v>2.3400499999999997</v>
      </c>
      <c r="K1458" t="s">
        <v>33</v>
      </c>
    </row>
    <row r="1459" spans="1:12" x14ac:dyDescent="0.45">
      <c r="A1459" t="s">
        <v>90</v>
      </c>
      <c r="B1459" t="s">
        <v>2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2060</v>
      </c>
      <c r="J1459">
        <v>6.1361500000000007</v>
      </c>
      <c r="K1459" t="s">
        <v>35</v>
      </c>
    </row>
    <row r="1460" spans="1:12" x14ac:dyDescent="0.45">
      <c r="A1460" t="s">
        <v>90</v>
      </c>
      <c r="B1460" t="s">
        <v>2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2060</v>
      </c>
      <c r="J1460">
        <v>191.25700000000001</v>
      </c>
      <c r="K1460" t="s">
        <v>37</v>
      </c>
    </row>
    <row r="1461" spans="1:12" x14ac:dyDescent="0.45">
      <c r="A1461" t="s">
        <v>90</v>
      </c>
      <c r="B1461" t="s">
        <v>2</v>
      </c>
      <c r="C1461" t="s">
        <v>84</v>
      </c>
      <c r="D1461" t="s">
        <v>52</v>
      </c>
      <c r="E1461" t="s">
        <v>25</v>
      </c>
      <c r="F1461" t="s">
        <v>52</v>
      </c>
      <c r="G1461" t="s">
        <v>71</v>
      </c>
      <c r="H1461" t="s">
        <v>89</v>
      </c>
      <c r="I1461">
        <v>2060</v>
      </c>
      <c r="J1461">
        <v>0</v>
      </c>
      <c r="K1461" t="s">
        <v>52</v>
      </c>
      <c r="L1461">
        <v>94</v>
      </c>
    </row>
    <row r="1462" spans="1:12" x14ac:dyDescent="0.45">
      <c r="A1462" t="s">
        <v>90</v>
      </c>
      <c r="B1462" t="s">
        <v>2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2060</v>
      </c>
      <c r="J1462">
        <v>5.1199999999999996E-2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2060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2</v>
      </c>
      <c r="C1464" t="s">
        <v>84</v>
      </c>
      <c r="D1464" t="s">
        <v>85</v>
      </c>
      <c r="E1464" t="s">
        <v>25</v>
      </c>
      <c r="F1464" t="s">
        <v>85</v>
      </c>
      <c r="G1464" t="s">
        <v>26</v>
      </c>
      <c r="H1464" t="s">
        <v>82</v>
      </c>
      <c r="I1464">
        <v>2060</v>
      </c>
      <c r="J1464">
        <v>11.68155</v>
      </c>
      <c r="K1464" t="s">
        <v>85</v>
      </c>
    </row>
    <row r="1465" spans="1:12" x14ac:dyDescent="0.45">
      <c r="A1465" t="s">
        <v>90</v>
      </c>
      <c r="B1465" t="s">
        <v>2</v>
      </c>
      <c r="C1465" t="s">
        <v>84</v>
      </c>
      <c r="D1465" t="s">
        <v>45</v>
      </c>
      <c r="E1465" t="s">
        <v>46</v>
      </c>
      <c r="F1465" t="s">
        <v>45</v>
      </c>
      <c r="G1465" t="s">
        <v>47</v>
      </c>
      <c r="H1465" t="s">
        <v>89</v>
      </c>
      <c r="I1465">
        <v>2065</v>
      </c>
      <c r="J1465">
        <v>468.74350000000004</v>
      </c>
      <c r="K1465" t="s">
        <v>45</v>
      </c>
    </row>
    <row r="1466" spans="1:12" x14ac:dyDescent="0.45">
      <c r="A1466" t="s">
        <v>90</v>
      </c>
      <c r="B1466" t="s">
        <v>2</v>
      </c>
      <c r="C1466" t="s">
        <v>84</v>
      </c>
      <c r="D1466" t="s">
        <v>48</v>
      </c>
      <c r="E1466" t="s">
        <v>46</v>
      </c>
      <c r="F1466" t="s">
        <v>48</v>
      </c>
      <c r="G1466" t="s">
        <v>49</v>
      </c>
      <c r="H1466" t="s">
        <v>50</v>
      </c>
      <c r="I1466">
        <v>2065</v>
      </c>
      <c r="J1466">
        <v>-955.04044999999996</v>
      </c>
      <c r="K1466" t="s">
        <v>48</v>
      </c>
    </row>
    <row r="1467" spans="1:12" x14ac:dyDescent="0.45">
      <c r="A1467" t="s">
        <v>90</v>
      </c>
      <c r="B1467" t="s">
        <v>2</v>
      </c>
      <c r="C1467" t="s">
        <v>84</v>
      </c>
      <c r="D1467" t="s">
        <v>51</v>
      </c>
      <c r="E1467" t="s">
        <v>46</v>
      </c>
      <c r="F1467" t="s">
        <v>51</v>
      </c>
      <c r="G1467" t="s">
        <v>49</v>
      </c>
      <c r="H1467" t="s">
        <v>50</v>
      </c>
      <c r="I1467">
        <v>2065</v>
      </c>
      <c r="J1467">
        <v>-160.79169999999999</v>
      </c>
      <c r="K1467" t="s">
        <v>51</v>
      </c>
    </row>
    <row r="1468" spans="1:12" x14ac:dyDescent="0.45">
      <c r="A1468" t="s">
        <v>90</v>
      </c>
      <c r="B1468" t="s">
        <v>2</v>
      </c>
      <c r="C1468" t="s">
        <v>84</v>
      </c>
      <c r="D1468" t="s">
        <v>24</v>
      </c>
      <c r="E1468" t="s">
        <v>25</v>
      </c>
      <c r="F1468" t="s">
        <v>24</v>
      </c>
      <c r="G1468" t="s">
        <v>26</v>
      </c>
      <c r="H1468" t="s">
        <v>13</v>
      </c>
      <c r="I1468">
        <v>2065</v>
      </c>
      <c r="J1468">
        <v>3.6227999999999998</v>
      </c>
      <c r="K1468" t="s">
        <v>24</v>
      </c>
    </row>
    <row r="1469" spans="1:12" x14ac:dyDescent="0.45">
      <c r="A1469" t="s">
        <v>90</v>
      </c>
      <c r="B1469" t="s">
        <v>2</v>
      </c>
      <c r="C1469" t="s">
        <v>84</v>
      </c>
      <c r="D1469" t="s">
        <v>28</v>
      </c>
      <c r="E1469" t="s">
        <v>25</v>
      </c>
      <c r="F1469" t="s">
        <v>28</v>
      </c>
      <c r="G1469" t="s">
        <v>26</v>
      </c>
      <c r="H1469" t="s">
        <v>12</v>
      </c>
      <c r="I1469">
        <v>2065</v>
      </c>
      <c r="J1469">
        <v>11.547450000000001</v>
      </c>
      <c r="K1469" t="s">
        <v>28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27</v>
      </c>
      <c r="E1470" t="s">
        <v>25</v>
      </c>
      <c r="F1470" t="s">
        <v>27</v>
      </c>
      <c r="G1470" t="s">
        <v>26</v>
      </c>
      <c r="H1470" t="s">
        <v>10</v>
      </c>
      <c r="I1470">
        <v>2065</v>
      </c>
      <c r="J1470">
        <v>3.9248500000000002</v>
      </c>
      <c r="K1470" t="s">
        <v>27</v>
      </c>
    </row>
    <row r="1471" spans="1:12" x14ac:dyDescent="0.45">
      <c r="A1471" t="s">
        <v>90</v>
      </c>
      <c r="B1471" t="s">
        <v>2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2065</v>
      </c>
      <c r="J1471">
        <v>12.338899999999999</v>
      </c>
      <c r="K1471" t="s">
        <v>29</v>
      </c>
    </row>
    <row r="1472" spans="1:12" x14ac:dyDescent="0.45">
      <c r="A1472" t="s">
        <v>90</v>
      </c>
      <c r="B1472" t="s">
        <v>2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2065</v>
      </c>
      <c r="J1472">
        <v>2.2040999999999999</v>
      </c>
      <c r="K1472" t="s">
        <v>33</v>
      </c>
    </row>
    <row r="1473" spans="1:12" x14ac:dyDescent="0.45">
      <c r="A1473" t="s">
        <v>90</v>
      </c>
      <c r="B1473" t="s">
        <v>2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2065</v>
      </c>
      <c r="J1473">
        <v>5.9593500000000006</v>
      </c>
      <c r="K1473" t="s">
        <v>35</v>
      </c>
    </row>
    <row r="1474" spans="1:12" x14ac:dyDescent="0.45">
      <c r="A1474" t="s">
        <v>90</v>
      </c>
      <c r="B1474" t="s">
        <v>2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2065</v>
      </c>
      <c r="J1474">
        <v>213.9205</v>
      </c>
      <c r="K1474" t="s">
        <v>37</v>
      </c>
    </row>
    <row r="1475" spans="1:12" x14ac:dyDescent="0.45">
      <c r="A1475" t="s">
        <v>90</v>
      </c>
      <c r="B1475" t="s">
        <v>2</v>
      </c>
      <c r="C1475" t="s">
        <v>84</v>
      </c>
      <c r="D1475" t="s">
        <v>52</v>
      </c>
      <c r="E1475" t="s">
        <v>25</v>
      </c>
      <c r="F1475" t="s">
        <v>52</v>
      </c>
      <c r="G1475" t="s">
        <v>71</v>
      </c>
      <c r="H1475" t="s">
        <v>89</v>
      </c>
      <c r="I1475">
        <v>2065</v>
      </c>
      <c r="J1475">
        <v>0</v>
      </c>
      <c r="K1475" t="s">
        <v>52</v>
      </c>
      <c r="L1475">
        <v>94</v>
      </c>
    </row>
    <row r="1476" spans="1:12" x14ac:dyDescent="0.45">
      <c r="A1476" t="s">
        <v>90</v>
      </c>
      <c r="B1476" t="s">
        <v>2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2065</v>
      </c>
      <c r="J1476">
        <v>2.8199999999999999E-2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54</v>
      </c>
      <c r="E1477" t="s">
        <v>25</v>
      </c>
      <c r="F1477" t="s">
        <v>54</v>
      </c>
      <c r="G1477" t="s">
        <v>71</v>
      </c>
      <c r="H1477" t="s">
        <v>89</v>
      </c>
      <c r="I1477">
        <v>2065</v>
      </c>
      <c r="J1477">
        <v>0</v>
      </c>
      <c r="K1477" t="s">
        <v>54</v>
      </c>
      <c r="L1477">
        <v>70</v>
      </c>
    </row>
    <row r="1478" spans="1:12" x14ac:dyDescent="0.45">
      <c r="A1478" t="s">
        <v>90</v>
      </c>
      <c r="B1478" t="s">
        <v>2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2065</v>
      </c>
      <c r="J1478">
        <v>12.373699999999999</v>
      </c>
      <c r="K1478" t="s">
        <v>85</v>
      </c>
    </row>
    <row r="1479" spans="1:12" x14ac:dyDescent="0.45">
      <c r="A1479" t="s">
        <v>90</v>
      </c>
      <c r="B1479" t="s">
        <v>2</v>
      </c>
      <c r="C1479" t="s">
        <v>84</v>
      </c>
      <c r="D1479" t="s">
        <v>45</v>
      </c>
      <c r="E1479" t="s">
        <v>46</v>
      </c>
      <c r="F1479" t="s">
        <v>45</v>
      </c>
      <c r="G1479" t="s">
        <v>47</v>
      </c>
      <c r="H1479" t="s">
        <v>89</v>
      </c>
      <c r="I1479">
        <v>2070</v>
      </c>
      <c r="J1479">
        <v>409.16454999999996</v>
      </c>
      <c r="K1479" t="s">
        <v>45</v>
      </c>
    </row>
    <row r="1480" spans="1:12" x14ac:dyDescent="0.45">
      <c r="A1480" t="s">
        <v>90</v>
      </c>
      <c r="B1480" t="s">
        <v>2</v>
      </c>
      <c r="C1480" t="s">
        <v>84</v>
      </c>
      <c r="D1480" t="s">
        <v>48</v>
      </c>
      <c r="E1480" t="s">
        <v>46</v>
      </c>
      <c r="F1480" t="s">
        <v>48</v>
      </c>
      <c r="G1480" t="s">
        <v>49</v>
      </c>
      <c r="H1480" t="s">
        <v>50</v>
      </c>
      <c r="I1480">
        <v>2070</v>
      </c>
      <c r="J1480">
        <v>-947.49154999999996</v>
      </c>
      <c r="K1480" t="s">
        <v>48</v>
      </c>
    </row>
    <row r="1481" spans="1:12" x14ac:dyDescent="0.45">
      <c r="A1481" t="s">
        <v>90</v>
      </c>
      <c r="B1481" t="s">
        <v>2</v>
      </c>
      <c r="C1481" t="s">
        <v>84</v>
      </c>
      <c r="D1481" t="s">
        <v>51</v>
      </c>
      <c r="E1481" t="s">
        <v>46</v>
      </c>
      <c r="F1481" t="s">
        <v>51</v>
      </c>
      <c r="G1481" t="s">
        <v>49</v>
      </c>
      <c r="H1481" t="s">
        <v>50</v>
      </c>
      <c r="I1481">
        <v>2070</v>
      </c>
      <c r="J1481">
        <v>-154.22145</v>
      </c>
      <c r="K1481" t="s">
        <v>51</v>
      </c>
    </row>
    <row r="1482" spans="1:12" x14ac:dyDescent="0.45">
      <c r="A1482" t="s">
        <v>90</v>
      </c>
      <c r="B1482" t="s">
        <v>2</v>
      </c>
      <c r="C1482" t="s">
        <v>84</v>
      </c>
      <c r="D1482" t="s">
        <v>24</v>
      </c>
      <c r="E1482" t="s">
        <v>25</v>
      </c>
      <c r="F1482" t="s">
        <v>24</v>
      </c>
      <c r="G1482" t="s">
        <v>26</v>
      </c>
      <c r="H1482" t="s">
        <v>13</v>
      </c>
      <c r="I1482">
        <v>2070</v>
      </c>
      <c r="J1482">
        <v>3.4915000000000003</v>
      </c>
      <c r="K1482" t="s">
        <v>24</v>
      </c>
    </row>
    <row r="1483" spans="1:12" x14ac:dyDescent="0.45">
      <c r="A1483" t="s">
        <v>90</v>
      </c>
      <c r="B1483" t="s">
        <v>2</v>
      </c>
      <c r="C1483" t="s">
        <v>84</v>
      </c>
      <c r="D1483" t="s">
        <v>28</v>
      </c>
      <c r="E1483" t="s">
        <v>25</v>
      </c>
      <c r="F1483" t="s">
        <v>28</v>
      </c>
      <c r="G1483" t="s">
        <v>26</v>
      </c>
      <c r="H1483" t="s">
        <v>12</v>
      </c>
      <c r="I1483">
        <v>2070</v>
      </c>
      <c r="J1483">
        <v>11.648800000000001</v>
      </c>
      <c r="K1483" t="s">
        <v>28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27</v>
      </c>
      <c r="E1484" t="s">
        <v>25</v>
      </c>
      <c r="F1484" t="s">
        <v>27</v>
      </c>
      <c r="G1484" t="s">
        <v>26</v>
      </c>
      <c r="H1484" t="s">
        <v>10</v>
      </c>
      <c r="I1484">
        <v>2070</v>
      </c>
      <c r="J1484">
        <v>4.0388000000000002</v>
      </c>
      <c r="K1484" t="s">
        <v>27</v>
      </c>
    </row>
    <row r="1485" spans="1:12" x14ac:dyDescent="0.45">
      <c r="A1485" t="s">
        <v>90</v>
      </c>
      <c r="B1485" t="s">
        <v>2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11.61825</v>
      </c>
      <c r="K1485" t="s">
        <v>29</v>
      </c>
    </row>
    <row r="1486" spans="1:12" x14ac:dyDescent="0.45">
      <c r="A1486" t="s">
        <v>90</v>
      </c>
      <c r="B1486" t="s">
        <v>2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2070</v>
      </c>
      <c r="J1486">
        <v>2.0681500000000002</v>
      </c>
      <c r="K1486" t="s">
        <v>33</v>
      </c>
    </row>
    <row r="1487" spans="1:12" x14ac:dyDescent="0.45">
      <c r="A1487" t="s">
        <v>90</v>
      </c>
      <c r="B1487" t="s">
        <v>2</v>
      </c>
      <c r="C1487" t="s">
        <v>84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2070</v>
      </c>
      <c r="J1487">
        <v>5.7826500000000003</v>
      </c>
      <c r="K1487" t="s">
        <v>35</v>
      </c>
    </row>
    <row r="1488" spans="1:12" x14ac:dyDescent="0.45">
      <c r="A1488" t="s">
        <v>90</v>
      </c>
      <c r="B1488" t="s">
        <v>2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2070</v>
      </c>
      <c r="J1488">
        <v>236.58409999999998</v>
      </c>
      <c r="K1488" t="s">
        <v>37</v>
      </c>
    </row>
    <row r="1489" spans="1:12" x14ac:dyDescent="0.45">
      <c r="A1489" t="s">
        <v>90</v>
      </c>
      <c r="B1489" t="s">
        <v>2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H1489" t="s">
        <v>89</v>
      </c>
      <c r="I1489">
        <v>2070</v>
      </c>
      <c r="J1489">
        <v>0</v>
      </c>
      <c r="K1489" t="s">
        <v>52</v>
      </c>
      <c r="L1489">
        <v>94</v>
      </c>
    </row>
    <row r="1490" spans="1:12" x14ac:dyDescent="0.45">
      <c r="A1490" t="s">
        <v>90</v>
      </c>
      <c r="B1490" t="s">
        <v>2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2070</v>
      </c>
      <c r="J1490">
        <v>5.2999999999999992E-3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2070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2</v>
      </c>
      <c r="C1492" t="s">
        <v>84</v>
      </c>
      <c r="D1492" t="s">
        <v>85</v>
      </c>
      <c r="E1492" t="s">
        <v>25</v>
      </c>
      <c r="F1492" t="s">
        <v>85</v>
      </c>
      <c r="G1492" t="s">
        <v>26</v>
      </c>
      <c r="H1492" t="s">
        <v>82</v>
      </c>
      <c r="I1492">
        <v>2070</v>
      </c>
      <c r="J1492">
        <v>13.065750000000001</v>
      </c>
      <c r="K1492" t="s">
        <v>85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2075</v>
      </c>
      <c r="J1493">
        <v>293.51855</v>
      </c>
      <c r="K1493" t="s">
        <v>45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48</v>
      </c>
      <c r="E1494" t="s">
        <v>46</v>
      </c>
      <c r="F1494" t="s">
        <v>48</v>
      </c>
      <c r="G1494" t="s">
        <v>49</v>
      </c>
      <c r="H1494" t="s">
        <v>50</v>
      </c>
      <c r="I1494">
        <v>2075</v>
      </c>
      <c r="J1494">
        <v>-882.89709999999991</v>
      </c>
      <c r="K1494" t="s">
        <v>48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51</v>
      </c>
      <c r="E1495" t="s">
        <v>46</v>
      </c>
      <c r="F1495" t="s">
        <v>51</v>
      </c>
      <c r="G1495" t="s">
        <v>49</v>
      </c>
      <c r="H1495" t="s">
        <v>50</v>
      </c>
      <c r="I1495">
        <v>2075</v>
      </c>
      <c r="J1495">
        <v>-92.317399999999992</v>
      </c>
      <c r="K1495" t="s">
        <v>51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24</v>
      </c>
      <c r="E1496" t="s">
        <v>25</v>
      </c>
      <c r="F1496" t="s">
        <v>24</v>
      </c>
      <c r="G1496" t="s">
        <v>26</v>
      </c>
      <c r="H1496" t="s">
        <v>13</v>
      </c>
      <c r="I1496">
        <v>2075</v>
      </c>
      <c r="J1496">
        <v>3.3815</v>
      </c>
      <c r="K1496" t="s">
        <v>24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28</v>
      </c>
      <c r="E1497" t="s">
        <v>25</v>
      </c>
      <c r="F1497" t="s">
        <v>28</v>
      </c>
      <c r="G1497" t="s">
        <v>26</v>
      </c>
      <c r="H1497" t="s">
        <v>12</v>
      </c>
      <c r="I1497">
        <v>2075</v>
      </c>
      <c r="J1497">
        <v>11.87495</v>
      </c>
      <c r="K1497" t="s">
        <v>28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27</v>
      </c>
      <c r="E1498" t="s">
        <v>25</v>
      </c>
      <c r="F1498" t="s">
        <v>27</v>
      </c>
      <c r="G1498" t="s">
        <v>26</v>
      </c>
      <c r="H1498" t="s">
        <v>10</v>
      </c>
      <c r="I1498">
        <v>2075</v>
      </c>
      <c r="J1498">
        <v>4.1442499999999995</v>
      </c>
      <c r="K1498" t="s">
        <v>27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2075</v>
      </c>
      <c r="J1499">
        <v>11.212400000000001</v>
      </c>
      <c r="K1499" t="s">
        <v>29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2075</v>
      </c>
      <c r="J1500">
        <v>2.1757499999999999</v>
      </c>
      <c r="K1500" t="s">
        <v>33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35</v>
      </c>
      <c r="E1501" t="s">
        <v>30</v>
      </c>
      <c r="F1501" t="s">
        <v>35</v>
      </c>
      <c r="G1501" t="s">
        <v>31</v>
      </c>
      <c r="H1501" t="s">
        <v>36</v>
      </c>
      <c r="I1501">
        <v>2075</v>
      </c>
      <c r="J1501">
        <v>5.7862499999999999</v>
      </c>
      <c r="K1501" t="s">
        <v>35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2075</v>
      </c>
      <c r="J1502">
        <v>259.20485000000002</v>
      </c>
      <c r="K1502" t="s">
        <v>37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H1503" t="s">
        <v>89</v>
      </c>
      <c r="I1503">
        <v>2075</v>
      </c>
      <c r="J1503">
        <v>0</v>
      </c>
      <c r="K1503" t="s">
        <v>52</v>
      </c>
      <c r="L1503">
        <v>94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2075</v>
      </c>
      <c r="J1504">
        <v>2.6499999999999996E-3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54</v>
      </c>
      <c r="E1505" t="s">
        <v>25</v>
      </c>
      <c r="F1505" t="s">
        <v>54</v>
      </c>
      <c r="G1505" t="s">
        <v>71</v>
      </c>
      <c r="H1505" t="s">
        <v>89</v>
      </c>
      <c r="I1505">
        <v>2075</v>
      </c>
      <c r="J1505">
        <v>0</v>
      </c>
      <c r="K1505" t="s">
        <v>54</v>
      </c>
      <c r="L1505">
        <v>70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85</v>
      </c>
      <c r="E1506" t="s">
        <v>25</v>
      </c>
      <c r="F1506" t="s">
        <v>85</v>
      </c>
      <c r="G1506" t="s">
        <v>26</v>
      </c>
      <c r="H1506" t="s">
        <v>82</v>
      </c>
      <c r="I1506">
        <v>2075</v>
      </c>
      <c r="J1506">
        <v>13.989599999999999</v>
      </c>
      <c r="K1506" t="s">
        <v>85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2080</v>
      </c>
      <c r="J1507">
        <v>177.8725</v>
      </c>
      <c r="K1507" t="s">
        <v>45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48</v>
      </c>
      <c r="E1508" t="s">
        <v>46</v>
      </c>
      <c r="F1508" t="s">
        <v>48</v>
      </c>
      <c r="G1508" t="s">
        <v>49</v>
      </c>
      <c r="H1508" t="s">
        <v>50</v>
      </c>
      <c r="I1508">
        <v>2080</v>
      </c>
      <c r="J1508">
        <v>-818.30264999999997</v>
      </c>
      <c r="K1508" t="s">
        <v>48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51</v>
      </c>
      <c r="E1509" t="s">
        <v>46</v>
      </c>
      <c r="F1509" t="s">
        <v>51</v>
      </c>
      <c r="G1509" t="s">
        <v>49</v>
      </c>
      <c r="H1509" t="s">
        <v>50</v>
      </c>
      <c r="I1509">
        <v>2080</v>
      </c>
      <c r="J1509">
        <v>-30.413350000000001</v>
      </c>
      <c r="K1509" t="s">
        <v>51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24</v>
      </c>
      <c r="E1510" t="s">
        <v>25</v>
      </c>
      <c r="F1510" t="s">
        <v>24</v>
      </c>
      <c r="G1510" t="s">
        <v>26</v>
      </c>
      <c r="H1510" t="s">
        <v>13</v>
      </c>
      <c r="I1510">
        <v>2080</v>
      </c>
      <c r="J1510">
        <v>3.2714499999999997</v>
      </c>
      <c r="K1510" t="s">
        <v>24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28</v>
      </c>
      <c r="E1511" t="s">
        <v>25</v>
      </c>
      <c r="F1511" t="s">
        <v>28</v>
      </c>
      <c r="G1511" t="s">
        <v>26</v>
      </c>
      <c r="H1511" t="s">
        <v>12</v>
      </c>
      <c r="I1511">
        <v>2080</v>
      </c>
      <c r="J1511">
        <v>12.101099999999999</v>
      </c>
      <c r="K1511" t="s">
        <v>28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27</v>
      </c>
      <c r="E1512" t="s">
        <v>25</v>
      </c>
      <c r="F1512" t="s">
        <v>27</v>
      </c>
      <c r="G1512" t="s">
        <v>26</v>
      </c>
      <c r="H1512" t="s">
        <v>10</v>
      </c>
      <c r="I1512">
        <v>2080</v>
      </c>
      <c r="J1512">
        <v>4.2496999999999998</v>
      </c>
      <c r="K1512" t="s">
        <v>27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2080</v>
      </c>
      <c r="J1513">
        <v>10.8065</v>
      </c>
      <c r="K1513" t="s">
        <v>29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2080</v>
      </c>
      <c r="J1514">
        <v>2.28335</v>
      </c>
      <c r="K1514" t="s">
        <v>33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2080</v>
      </c>
      <c r="J1515">
        <v>5.7898499999999995</v>
      </c>
      <c r="K1515" t="s">
        <v>35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2080</v>
      </c>
      <c r="J1516">
        <v>281.82560000000001</v>
      </c>
      <c r="K1516" t="s">
        <v>37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2080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2080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54</v>
      </c>
      <c r="E1519" t="s">
        <v>25</v>
      </c>
      <c r="F1519" t="s">
        <v>54</v>
      </c>
      <c r="G1519" t="s">
        <v>71</v>
      </c>
      <c r="H1519" t="s">
        <v>89</v>
      </c>
      <c r="I1519">
        <v>2080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2080</v>
      </c>
      <c r="J1520">
        <v>14.913450000000001</v>
      </c>
      <c r="K1520" t="s">
        <v>85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2085</v>
      </c>
      <c r="J1521">
        <v>94.437100000000001</v>
      </c>
      <c r="K1521" t="s">
        <v>45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48</v>
      </c>
      <c r="E1522" t="s">
        <v>46</v>
      </c>
      <c r="F1522" t="s">
        <v>48</v>
      </c>
      <c r="G1522" t="s">
        <v>49</v>
      </c>
      <c r="H1522" t="s">
        <v>50</v>
      </c>
      <c r="I1522">
        <v>2085</v>
      </c>
      <c r="J1522">
        <v>-735.93634999999995</v>
      </c>
      <c r="K1522" t="s">
        <v>48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51</v>
      </c>
      <c r="E1523" t="s">
        <v>46</v>
      </c>
      <c r="F1523" t="s">
        <v>51</v>
      </c>
      <c r="G1523" t="s">
        <v>49</v>
      </c>
      <c r="H1523" t="s">
        <v>50</v>
      </c>
      <c r="I1523">
        <v>2085</v>
      </c>
      <c r="J1523">
        <v>48.387799999999999</v>
      </c>
      <c r="K1523" t="s">
        <v>51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24</v>
      </c>
      <c r="E1524" t="s">
        <v>25</v>
      </c>
      <c r="F1524" t="s">
        <v>24</v>
      </c>
      <c r="G1524" t="s">
        <v>26</v>
      </c>
      <c r="H1524" t="s">
        <v>13</v>
      </c>
      <c r="I1524">
        <v>2085</v>
      </c>
      <c r="J1524">
        <v>3.0762499999999999</v>
      </c>
      <c r="K1524" t="s">
        <v>24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28</v>
      </c>
      <c r="E1525" t="s">
        <v>25</v>
      </c>
      <c r="F1525" t="s">
        <v>28</v>
      </c>
      <c r="G1525" t="s">
        <v>26</v>
      </c>
      <c r="H1525" t="s">
        <v>12</v>
      </c>
      <c r="I1525">
        <v>2085</v>
      </c>
      <c r="J1525">
        <v>12.0785</v>
      </c>
      <c r="K1525" t="s">
        <v>28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27</v>
      </c>
      <c r="E1526" t="s">
        <v>25</v>
      </c>
      <c r="F1526" t="s">
        <v>27</v>
      </c>
      <c r="G1526" t="s">
        <v>26</v>
      </c>
      <c r="H1526" t="s">
        <v>10</v>
      </c>
      <c r="I1526">
        <v>2085</v>
      </c>
      <c r="J1526">
        <v>4.3517999999999999</v>
      </c>
      <c r="K1526" t="s">
        <v>27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2085</v>
      </c>
      <c r="J1527">
        <v>10.06185</v>
      </c>
      <c r="K1527" t="s">
        <v>29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2085</v>
      </c>
      <c r="J1528">
        <v>2.29</v>
      </c>
      <c r="K1528" t="s">
        <v>33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35</v>
      </c>
      <c r="E1529" t="s">
        <v>30</v>
      </c>
      <c r="F1529" t="s">
        <v>35</v>
      </c>
      <c r="G1529" t="s">
        <v>31</v>
      </c>
      <c r="H1529" t="s">
        <v>36</v>
      </c>
      <c r="I1529">
        <v>2085</v>
      </c>
      <c r="J1529">
        <v>5.8544</v>
      </c>
      <c r="K1529" t="s">
        <v>35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2085</v>
      </c>
      <c r="J1530">
        <v>266.38959999999997</v>
      </c>
      <c r="K1530" t="s">
        <v>37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52</v>
      </c>
      <c r="E1531" t="s">
        <v>25</v>
      </c>
      <c r="F1531" t="s">
        <v>52</v>
      </c>
      <c r="G1531" t="s">
        <v>71</v>
      </c>
      <c r="H1531" t="s">
        <v>89</v>
      </c>
      <c r="I1531">
        <v>2085</v>
      </c>
      <c r="J1531">
        <v>0</v>
      </c>
      <c r="K1531" t="s">
        <v>52</v>
      </c>
      <c r="L1531">
        <v>94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2085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2085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85</v>
      </c>
      <c r="E1534" t="s">
        <v>25</v>
      </c>
      <c r="F1534" t="s">
        <v>85</v>
      </c>
      <c r="G1534" t="s">
        <v>26</v>
      </c>
      <c r="H1534" t="s">
        <v>82</v>
      </c>
      <c r="I1534">
        <v>2085</v>
      </c>
      <c r="J1534">
        <v>15.764800000000001</v>
      </c>
      <c r="K1534" t="s">
        <v>85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45</v>
      </c>
      <c r="E1535" t="s">
        <v>46</v>
      </c>
      <c r="F1535" t="s">
        <v>45</v>
      </c>
      <c r="G1535" t="s">
        <v>47</v>
      </c>
      <c r="H1535" t="s">
        <v>89</v>
      </c>
      <c r="I1535">
        <v>2090</v>
      </c>
      <c r="J1535">
        <v>11.001799999999999</v>
      </c>
      <c r="K1535" t="s">
        <v>45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48</v>
      </c>
      <c r="E1536" t="s">
        <v>46</v>
      </c>
      <c r="F1536" t="s">
        <v>48</v>
      </c>
      <c r="G1536" t="s">
        <v>49</v>
      </c>
      <c r="H1536" t="s">
        <v>50</v>
      </c>
      <c r="I1536">
        <v>2090</v>
      </c>
      <c r="J1536">
        <v>-653.57005000000004</v>
      </c>
      <c r="K1536" t="s">
        <v>48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127.18899999999999</v>
      </c>
      <c r="K1537" t="s">
        <v>51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24</v>
      </c>
      <c r="E1538" t="s">
        <v>25</v>
      </c>
      <c r="F1538" t="s">
        <v>24</v>
      </c>
      <c r="G1538" t="s">
        <v>26</v>
      </c>
      <c r="H1538" t="s">
        <v>13</v>
      </c>
      <c r="I1538">
        <v>2090</v>
      </c>
      <c r="J1538">
        <v>2.8810500000000001</v>
      </c>
      <c r="K1538" t="s">
        <v>24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28</v>
      </c>
      <c r="E1539" t="s">
        <v>25</v>
      </c>
      <c r="F1539" t="s">
        <v>28</v>
      </c>
      <c r="G1539" t="s">
        <v>26</v>
      </c>
      <c r="H1539" t="s">
        <v>12</v>
      </c>
      <c r="I1539">
        <v>2090</v>
      </c>
      <c r="J1539">
        <v>12.055900000000001</v>
      </c>
      <c r="K1539" t="s">
        <v>28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27</v>
      </c>
      <c r="E1540" t="s">
        <v>25</v>
      </c>
      <c r="F1540" t="s">
        <v>27</v>
      </c>
      <c r="G1540" t="s">
        <v>26</v>
      </c>
      <c r="H1540" t="s">
        <v>10</v>
      </c>
      <c r="I1540">
        <v>2090</v>
      </c>
      <c r="J1540">
        <v>4.4538500000000001</v>
      </c>
      <c r="K1540" t="s">
        <v>27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2090</v>
      </c>
      <c r="J1541">
        <v>9.3171999999999997</v>
      </c>
      <c r="K1541" t="s">
        <v>29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2090</v>
      </c>
      <c r="J1542">
        <v>2.2967</v>
      </c>
      <c r="K1542" t="s">
        <v>33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2090</v>
      </c>
      <c r="J1543">
        <v>5.9189499999999997</v>
      </c>
      <c r="K1543" t="s">
        <v>35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2090</v>
      </c>
      <c r="J1544">
        <v>250.95355000000001</v>
      </c>
      <c r="K1544" t="s">
        <v>37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52</v>
      </c>
      <c r="E1545" t="s">
        <v>25</v>
      </c>
      <c r="F1545" t="s">
        <v>52</v>
      </c>
      <c r="G1545" t="s">
        <v>71</v>
      </c>
      <c r="H1545" t="s">
        <v>89</v>
      </c>
      <c r="I1545">
        <v>2090</v>
      </c>
      <c r="J1545">
        <v>0</v>
      </c>
      <c r="K1545" t="s">
        <v>52</v>
      </c>
      <c r="L1545">
        <v>94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2090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2090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85</v>
      </c>
      <c r="E1548" t="s">
        <v>25</v>
      </c>
      <c r="F1548" t="s">
        <v>85</v>
      </c>
      <c r="G1548" t="s">
        <v>26</v>
      </c>
      <c r="H1548" t="s">
        <v>82</v>
      </c>
      <c r="I1548">
        <v>2090</v>
      </c>
      <c r="J1548">
        <v>16.616149999999998</v>
      </c>
      <c r="K1548" t="s">
        <v>85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2095</v>
      </c>
      <c r="J1549">
        <v>5.5008999999999997</v>
      </c>
      <c r="K1549" t="s">
        <v>45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48</v>
      </c>
      <c r="E1550" t="s">
        <v>46</v>
      </c>
      <c r="F1550" t="s">
        <v>48</v>
      </c>
      <c r="G1550" t="s">
        <v>49</v>
      </c>
      <c r="H1550" t="s">
        <v>50</v>
      </c>
      <c r="I1550">
        <v>2095</v>
      </c>
      <c r="J1550">
        <v>-650.10114999999996</v>
      </c>
      <c r="K1550" t="s">
        <v>48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51</v>
      </c>
      <c r="E1551" t="s">
        <v>46</v>
      </c>
      <c r="F1551" t="s">
        <v>51</v>
      </c>
      <c r="G1551" t="s">
        <v>49</v>
      </c>
      <c r="H1551" t="s">
        <v>50</v>
      </c>
      <c r="I1551">
        <v>2095</v>
      </c>
      <c r="J1551">
        <v>131.26425</v>
      </c>
      <c r="K1551" t="s">
        <v>51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24</v>
      </c>
      <c r="E1552" t="s">
        <v>25</v>
      </c>
      <c r="F1552" t="s">
        <v>24</v>
      </c>
      <c r="G1552" t="s">
        <v>26</v>
      </c>
      <c r="H1552" t="s">
        <v>13</v>
      </c>
      <c r="I1552">
        <v>2095</v>
      </c>
      <c r="J1552">
        <v>2.7641499999999999</v>
      </c>
      <c r="K1552" t="s">
        <v>24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2095</v>
      </c>
      <c r="J1553">
        <v>12.2102</v>
      </c>
      <c r="K1553" t="s">
        <v>28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27</v>
      </c>
      <c r="E1554" t="s">
        <v>25</v>
      </c>
      <c r="F1554" t="s">
        <v>27</v>
      </c>
      <c r="G1554" t="s">
        <v>26</v>
      </c>
      <c r="H1554" t="s">
        <v>10</v>
      </c>
      <c r="I1554">
        <v>2095</v>
      </c>
      <c r="J1554">
        <v>4.5531000000000006</v>
      </c>
      <c r="K1554" t="s">
        <v>27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2095</v>
      </c>
      <c r="J1555">
        <v>10.18595</v>
      </c>
      <c r="K1555" t="s">
        <v>29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2095</v>
      </c>
      <c r="J1556">
        <v>2.3285</v>
      </c>
      <c r="K1556" t="s">
        <v>33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2095</v>
      </c>
      <c r="J1557">
        <v>5.9424000000000001</v>
      </c>
      <c r="K1557" t="s">
        <v>35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2095</v>
      </c>
      <c r="J1558">
        <v>277.02755000000002</v>
      </c>
      <c r="K1558" t="s">
        <v>37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2095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2095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54</v>
      </c>
      <c r="E1561" t="s">
        <v>25</v>
      </c>
      <c r="F1561" t="s">
        <v>54</v>
      </c>
      <c r="G1561" t="s">
        <v>71</v>
      </c>
      <c r="H1561" t="s">
        <v>89</v>
      </c>
      <c r="I1561">
        <v>2095</v>
      </c>
      <c r="J1561">
        <v>0</v>
      </c>
      <c r="K1561" t="s">
        <v>54</v>
      </c>
      <c r="L1561">
        <v>70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85</v>
      </c>
      <c r="E1562" t="s">
        <v>25</v>
      </c>
      <c r="F1562" t="s">
        <v>85</v>
      </c>
      <c r="G1562" t="s">
        <v>26</v>
      </c>
      <c r="H1562" t="s">
        <v>82</v>
      </c>
      <c r="I1562">
        <v>2095</v>
      </c>
      <c r="J1562">
        <v>15.838849999999999</v>
      </c>
      <c r="K1562" t="s">
        <v>85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45</v>
      </c>
      <c r="E1563" t="s">
        <v>46</v>
      </c>
      <c r="F1563" t="s">
        <v>45</v>
      </c>
      <c r="G1563" t="s">
        <v>47</v>
      </c>
      <c r="H1563" t="s">
        <v>89</v>
      </c>
      <c r="I1563">
        <v>2100</v>
      </c>
      <c r="J1563">
        <v>0</v>
      </c>
      <c r="K1563" t="s">
        <v>45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48</v>
      </c>
      <c r="E1564" t="s">
        <v>46</v>
      </c>
      <c r="F1564" t="s">
        <v>48</v>
      </c>
      <c r="G1564" t="s">
        <v>49</v>
      </c>
      <c r="H1564" t="s">
        <v>50</v>
      </c>
      <c r="I1564">
        <v>2100</v>
      </c>
      <c r="J1564">
        <v>-646.63229999999999</v>
      </c>
      <c r="K1564" t="s">
        <v>48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51</v>
      </c>
      <c r="E1565" t="s">
        <v>46</v>
      </c>
      <c r="F1565" t="s">
        <v>51</v>
      </c>
      <c r="G1565" t="s">
        <v>49</v>
      </c>
      <c r="H1565" t="s">
        <v>50</v>
      </c>
      <c r="I1565">
        <v>2100</v>
      </c>
      <c r="J1565">
        <v>135.33949999999999</v>
      </c>
      <c r="K1565" t="s">
        <v>51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24</v>
      </c>
      <c r="E1566" t="s">
        <v>25</v>
      </c>
      <c r="F1566" t="s">
        <v>24</v>
      </c>
      <c r="G1566" t="s">
        <v>26</v>
      </c>
      <c r="H1566" t="s">
        <v>13</v>
      </c>
      <c r="I1566">
        <v>2100</v>
      </c>
      <c r="J1566">
        <v>2.6473499999999999</v>
      </c>
      <c r="K1566" t="s">
        <v>24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28</v>
      </c>
      <c r="E1567" t="s">
        <v>25</v>
      </c>
      <c r="F1567" t="s">
        <v>28</v>
      </c>
      <c r="G1567" t="s">
        <v>26</v>
      </c>
      <c r="H1567" t="s">
        <v>12</v>
      </c>
      <c r="I1567">
        <v>2100</v>
      </c>
      <c r="J1567">
        <v>12.364549999999999</v>
      </c>
      <c r="K1567" t="s">
        <v>28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27</v>
      </c>
      <c r="E1568" t="s">
        <v>25</v>
      </c>
      <c r="F1568" t="s">
        <v>27</v>
      </c>
      <c r="G1568" t="s">
        <v>26</v>
      </c>
      <c r="H1568" t="s">
        <v>10</v>
      </c>
      <c r="I1568">
        <v>2100</v>
      </c>
      <c r="J1568">
        <v>4.65245</v>
      </c>
      <c r="K1568" t="s">
        <v>27</v>
      </c>
    </row>
    <row r="1569" spans="1:12" x14ac:dyDescent="0.45">
      <c r="A1569" t="s">
        <v>90</v>
      </c>
      <c r="B1569" t="s">
        <v>2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2100</v>
      </c>
      <c r="J1569">
        <v>11.05475</v>
      </c>
      <c r="K1569" t="s">
        <v>29</v>
      </c>
    </row>
    <row r="1570" spans="1:12" x14ac:dyDescent="0.45">
      <c r="A1570" t="s">
        <v>90</v>
      </c>
      <c r="B1570" t="s">
        <v>2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2100</v>
      </c>
      <c r="J1570">
        <v>2.3602499999999997</v>
      </c>
      <c r="K1570" t="s">
        <v>33</v>
      </c>
    </row>
    <row r="1571" spans="1:12" x14ac:dyDescent="0.45">
      <c r="A1571" t="s">
        <v>90</v>
      </c>
      <c r="B1571" t="s">
        <v>2</v>
      </c>
      <c r="C1571" t="s">
        <v>84</v>
      </c>
      <c r="D1571" t="s">
        <v>35</v>
      </c>
      <c r="E1571" t="s">
        <v>30</v>
      </c>
      <c r="F1571" t="s">
        <v>35</v>
      </c>
      <c r="G1571" t="s">
        <v>31</v>
      </c>
      <c r="H1571" t="s">
        <v>36</v>
      </c>
      <c r="I1571">
        <v>2100</v>
      </c>
      <c r="J1571">
        <v>5.9658999999999995</v>
      </c>
      <c r="K1571" t="s">
        <v>35</v>
      </c>
    </row>
    <row r="1572" spans="1:12" x14ac:dyDescent="0.45">
      <c r="A1572" t="s">
        <v>90</v>
      </c>
      <c r="B1572" t="s">
        <v>2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303.10149999999999</v>
      </c>
      <c r="K1572" t="s">
        <v>37</v>
      </c>
    </row>
    <row r="1573" spans="1:12" x14ac:dyDescent="0.45">
      <c r="A1573" t="s">
        <v>90</v>
      </c>
      <c r="B1573" t="s">
        <v>2</v>
      </c>
      <c r="C1573" t="s">
        <v>84</v>
      </c>
      <c r="D1573" t="s">
        <v>52</v>
      </c>
      <c r="E1573" t="s">
        <v>25</v>
      </c>
      <c r="F1573" t="s">
        <v>52</v>
      </c>
      <c r="G1573" t="s">
        <v>71</v>
      </c>
      <c r="H1573" t="s">
        <v>89</v>
      </c>
      <c r="I1573">
        <v>2100</v>
      </c>
      <c r="J1573">
        <v>0</v>
      </c>
      <c r="K1573" t="s">
        <v>52</v>
      </c>
      <c r="L1573">
        <v>94</v>
      </c>
    </row>
    <row r="1574" spans="1:12" x14ac:dyDescent="0.45">
      <c r="A1574" t="s">
        <v>90</v>
      </c>
      <c r="B1574" t="s">
        <v>2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2100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2</v>
      </c>
      <c r="C1576" t="s">
        <v>84</v>
      </c>
      <c r="D1576" t="s">
        <v>85</v>
      </c>
      <c r="E1576" t="s">
        <v>25</v>
      </c>
      <c r="F1576" t="s">
        <v>85</v>
      </c>
      <c r="G1576" t="s">
        <v>26</v>
      </c>
      <c r="H1576" t="s">
        <v>82</v>
      </c>
      <c r="I1576">
        <v>2100</v>
      </c>
      <c r="J1576">
        <v>15.0616</v>
      </c>
      <c r="K1576" t="s">
        <v>85</v>
      </c>
    </row>
    <row r="1577" spans="1:12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2.2551000000000001</v>
      </c>
      <c r="K1577" t="s">
        <v>45</v>
      </c>
    </row>
    <row r="1578" spans="1:12" x14ac:dyDescent="0.45">
      <c r="A1578" t="s">
        <v>90</v>
      </c>
      <c r="B1578" t="s">
        <v>1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4048.3285999999998</v>
      </c>
      <c r="K1578" t="s">
        <v>48</v>
      </c>
    </row>
    <row r="1579" spans="1:12" x14ac:dyDescent="0.45">
      <c r="A1579" t="s">
        <v>90</v>
      </c>
      <c r="B1579" t="s">
        <v>1</v>
      </c>
      <c r="C1579" t="s">
        <v>84</v>
      </c>
      <c r="D1579" t="s">
        <v>51</v>
      </c>
      <c r="E1579" t="s">
        <v>46</v>
      </c>
      <c r="F1579" t="s">
        <v>51</v>
      </c>
      <c r="G1579" t="s">
        <v>49</v>
      </c>
      <c r="H1579" t="s">
        <v>50</v>
      </c>
      <c r="I1579">
        <v>2020</v>
      </c>
      <c r="J1579">
        <v>4763.2656999999999</v>
      </c>
      <c r="K1579" t="s">
        <v>51</v>
      </c>
    </row>
    <row r="1580" spans="1:12" x14ac:dyDescent="0.45">
      <c r="A1580" t="s">
        <v>90</v>
      </c>
      <c r="B1580" t="s">
        <v>1</v>
      </c>
      <c r="C1580" t="s">
        <v>84</v>
      </c>
      <c r="D1580" t="s">
        <v>24</v>
      </c>
      <c r="E1580" t="s">
        <v>25</v>
      </c>
      <c r="F1580" t="s">
        <v>24</v>
      </c>
      <c r="G1580" t="s">
        <v>26</v>
      </c>
      <c r="H1580" t="s">
        <v>13</v>
      </c>
      <c r="I1580">
        <v>2020</v>
      </c>
      <c r="J1580">
        <v>3.1556000000000002</v>
      </c>
      <c r="K1580" t="s">
        <v>24</v>
      </c>
    </row>
    <row r="1581" spans="1:12" x14ac:dyDescent="0.45">
      <c r="A1581" t="s">
        <v>90</v>
      </c>
      <c r="B1581" t="s">
        <v>1</v>
      </c>
      <c r="C1581" t="s">
        <v>84</v>
      </c>
      <c r="D1581" t="s">
        <v>28</v>
      </c>
      <c r="E1581" t="s">
        <v>25</v>
      </c>
      <c r="F1581" t="s">
        <v>28</v>
      </c>
      <c r="G1581" t="s">
        <v>26</v>
      </c>
      <c r="H1581" t="s">
        <v>12</v>
      </c>
      <c r="I1581">
        <v>2020</v>
      </c>
      <c r="J1581">
        <v>10.713200000000001</v>
      </c>
      <c r="K1581" t="s">
        <v>28</v>
      </c>
    </row>
    <row r="1582" spans="1:12" x14ac:dyDescent="0.45">
      <c r="A1582" t="s">
        <v>90</v>
      </c>
      <c r="B1582" t="s">
        <v>1</v>
      </c>
      <c r="C1582" t="s">
        <v>84</v>
      </c>
      <c r="D1582" t="s">
        <v>27</v>
      </c>
      <c r="E1582" t="s">
        <v>25</v>
      </c>
      <c r="F1582" t="s">
        <v>27</v>
      </c>
      <c r="G1582" t="s">
        <v>26</v>
      </c>
      <c r="H1582" t="s">
        <v>10</v>
      </c>
      <c r="I1582">
        <v>2020</v>
      </c>
      <c r="J1582">
        <v>0.27579999999999999</v>
      </c>
      <c r="K1582" t="s">
        <v>27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29</v>
      </c>
      <c r="E1583" t="s">
        <v>30</v>
      </c>
      <c r="F1583" t="s">
        <v>29</v>
      </c>
      <c r="G1583" t="s">
        <v>31</v>
      </c>
      <c r="H1583" t="s">
        <v>32</v>
      </c>
      <c r="I1583">
        <v>2020</v>
      </c>
      <c r="J1583">
        <v>5.3799000000000001</v>
      </c>
      <c r="K1583" t="s">
        <v>29</v>
      </c>
    </row>
    <row r="1584" spans="1:12" x14ac:dyDescent="0.45">
      <c r="A1584" t="s">
        <v>90</v>
      </c>
      <c r="B1584" t="s">
        <v>1</v>
      </c>
      <c r="C1584" t="s">
        <v>84</v>
      </c>
      <c r="D1584" t="s">
        <v>33</v>
      </c>
      <c r="E1584" t="s">
        <v>30</v>
      </c>
      <c r="F1584" t="s">
        <v>33</v>
      </c>
      <c r="G1584" t="s">
        <v>31</v>
      </c>
      <c r="H1584" t="s">
        <v>34</v>
      </c>
      <c r="I1584">
        <v>2020</v>
      </c>
      <c r="J1584">
        <v>2.0344000000000002</v>
      </c>
      <c r="K1584" t="s">
        <v>33</v>
      </c>
    </row>
    <row r="1585" spans="1:12" x14ac:dyDescent="0.45">
      <c r="A1585" t="s">
        <v>90</v>
      </c>
      <c r="B1585" t="s">
        <v>1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2020</v>
      </c>
      <c r="J1585">
        <v>3.9710999999999999</v>
      </c>
      <c r="K1585" t="s">
        <v>35</v>
      </c>
    </row>
    <row r="1586" spans="1:12" x14ac:dyDescent="0.45">
      <c r="A1586" t="s">
        <v>90</v>
      </c>
      <c r="B1586" t="s">
        <v>1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2020</v>
      </c>
      <c r="J1586">
        <v>81.473500000000001</v>
      </c>
      <c r="K1586" t="s">
        <v>37</v>
      </c>
    </row>
    <row r="1587" spans="1:12" x14ac:dyDescent="0.45">
      <c r="A1587" t="s">
        <v>90</v>
      </c>
      <c r="B1587" t="s">
        <v>1</v>
      </c>
      <c r="C1587" t="s">
        <v>84</v>
      </c>
      <c r="D1587" t="s">
        <v>52</v>
      </c>
      <c r="E1587" t="s">
        <v>25</v>
      </c>
      <c r="F1587" t="s">
        <v>52</v>
      </c>
      <c r="G1587" t="s">
        <v>71</v>
      </c>
      <c r="H1587" t="s">
        <v>89</v>
      </c>
      <c r="I1587">
        <v>2020</v>
      </c>
      <c r="J1587">
        <v>3.0137</v>
      </c>
      <c r="K1587" t="s">
        <v>52</v>
      </c>
      <c r="L1587">
        <v>94</v>
      </c>
    </row>
    <row r="1588" spans="1:12" x14ac:dyDescent="0.45">
      <c r="A1588" t="s">
        <v>90</v>
      </c>
      <c r="B1588" t="s">
        <v>1</v>
      </c>
      <c r="C1588" t="s">
        <v>84</v>
      </c>
      <c r="D1588" t="s">
        <v>53</v>
      </c>
      <c r="E1588" t="s">
        <v>25</v>
      </c>
      <c r="F1588" t="s">
        <v>53</v>
      </c>
      <c r="G1588" t="s">
        <v>71</v>
      </c>
      <c r="H1588" t="s">
        <v>89</v>
      </c>
      <c r="I1588">
        <v>2020</v>
      </c>
      <c r="J1588">
        <v>7.1176000000000004</v>
      </c>
      <c r="K1588" t="s">
        <v>53</v>
      </c>
      <c r="L1588">
        <v>55</v>
      </c>
    </row>
    <row r="1589" spans="1:12" x14ac:dyDescent="0.45">
      <c r="A1589" t="s">
        <v>90</v>
      </c>
      <c r="B1589" t="s">
        <v>1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2020</v>
      </c>
      <c r="J1589">
        <v>0.128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85</v>
      </c>
      <c r="E1590" t="s">
        <v>25</v>
      </c>
      <c r="F1590" t="s">
        <v>85</v>
      </c>
      <c r="G1590" t="s">
        <v>26</v>
      </c>
      <c r="H1590" t="s">
        <v>82</v>
      </c>
      <c r="I1590">
        <v>2020</v>
      </c>
      <c r="J1590">
        <v>0.1113</v>
      </c>
      <c r="K1590" t="s">
        <v>85</v>
      </c>
    </row>
    <row r="1591" spans="1:12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2025</v>
      </c>
      <c r="J1591">
        <v>28.1</v>
      </c>
      <c r="K1591" t="s">
        <v>45</v>
      </c>
    </row>
    <row r="1592" spans="1:12" x14ac:dyDescent="0.45">
      <c r="A1592" t="s">
        <v>90</v>
      </c>
      <c r="B1592" t="s">
        <v>1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2025</v>
      </c>
      <c r="J1592">
        <v>3090.7280000000001</v>
      </c>
      <c r="K1592" t="s">
        <v>48</v>
      </c>
    </row>
    <row r="1593" spans="1:12" x14ac:dyDescent="0.45">
      <c r="A1593" t="s">
        <v>90</v>
      </c>
      <c r="B1593" t="s">
        <v>1</v>
      </c>
      <c r="C1593" t="s">
        <v>84</v>
      </c>
      <c r="D1593" t="s">
        <v>51</v>
      </c>
      <c r="E1593" t="s">
        <v>46</v>
      </c>
      <c r="F1593" t="s">
        <v>51</v>
      </c>
      <c r="G1593" t="s">
        <v>49</v>
      </c>
      <c r="H1593" t="s">
        <v>50</v>
      </c>
      <c r="I1593">
        <v>2025</v>
      </c>
      <c r="J1593">
        <v>3816.3136500000001</v>
      </c>
      <c r="K1593" t="s">
        <v>51</v>
      </c>
    </row>
    <row r="1594" spans="1:12" x14ac:dyDescent="0.45">
      <c r="A1594" t="s">
        <v>90</v>
      </c>
      <c r="B1594" t="s">
        <v>1</v>
      </c>
      <c r="C1594" t="s">
        <v>84</v>
      </c>
      <c r="D1594" t="s">
        <v>24</v>
      </c>
      <c r="E1594" t="s">
        <v>25</v>
      </c>
      <c r="F1594" t="s">
        <v>24</v>
      </c>
      <c r="G1594" t="s">
        <v>26</v>
      </c>
      <c r="H1594" t="s">
        <v>13</v>
      </c>
      <c r="I1594">
        <v>2025</v>
      </c>
      <c r="J1594">
        <v>3.1898</v>
      </c>
      <c r="K1594" t="s">
        <v>24</v>
      </c>
    </row>
    <row r="1595" spans="1:12" x14ac:dyDescent="0.45">
      <c r="A1595" t="s">
        <v>90</v>
      </c>
      <c r="B1595" t="s">
        <v>1</v>
      </c>
      <c r="C1595" t="s">
        <v>84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2025</v>
      </c>
      <c r="J1595">
        <v>10.565799999999999</v>
      </c>
      <c r="K1595" t="s">
        <v>28</v>
      </c>
    </row>
    <row r="1596" spans="1:12" x14ac:dyDescent="0.45">
      <c r="A1596" t="s">
        <v>90</v>
      </c>
      <c r="B1596" t="s">
        <v>1</v>
      </c>
      <c r="C1596" t="s">
        <v>84</v>
      </c>
      <c r="D1596" t="s">
        <v>27</v>
      </c>
      <c r="E1596" t="s">
        <v>25</v>
      </c>
      <c r="F1596" t="s">
        <v>27</v>
      </c>
      <c r="G1596" t="s">
        <v>26</v>
      </c>
      <c r="H1596" t="s">
        <v>10</v>
      </c>
      <c r="I1596">
        <v>2025</v>
      </c>
      <c r="J1596">
        <v>0.64319999999999999</v>
      </c>
      <c r="K1596" t="s">
        <v>27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2025</v>
      </c>
      <c r="J1597">
        <v>5.2343000000000002</v>
      </c>
      <c r="K1597" t="s">
        <v>29</v>
      </c>
    </row>
    <row r="1598" spans="1:12" x14ac:dyDescent="0.45">
      <c r="A1598" t="s">
        <v>90</v>
      </c>
      <c r="B1598" t="s">
        <v>1</v>
      </c>
      <c r="C1598" t="s">
        <v>84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2025</v>
      </c>
      <c r="J1598">
        <v>2.6320999999999999</v>
      </c>
      <c r="K1598" t="s">
        <v>33</v>
      </c>
    </row>
    <row r="1599" spans="1:12" x14ac:dyDescent="0.45">
      <c r="A1599" t="s">
        <v>90</v>
      </c>
      <c r="B1599" t="s">
        <v>1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2025</v>
      </c>
      <c r="J1599">
        <v>5.1760999999999999</v>
      </c>
      <c r="K1599" t="s">
        <v>35</v>
      </c>
    </row>
    <row r="1600" spans="1:12" x14ac:dyDescent="0.45">
      <c r="A1600" t="s">
        <v>90</v>
      </c>
      <c r="B1600" t="s">
        <v>1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2025</v>
      </c>
      <c r="J1600">
        <v>91.422750000000008</v>
      </c>
      <c r="K1600" t="s">
        <v>37</v>
      </c>
    </row>
    <row r="1601" spans="1:12" x14ac:dyDescent="0.45">
      <c r="A1601" t="s">
        <v>90</v>
      </c>
      <c r="B1601" t="s">
        <v>1</v>
      </c>
      <c r="C1601" t="s">
        <v>84</v>
      </c>
      <c r="D1601" t="s">
        <v>52</v>
      </c>
      <c r="E1601" t="s">
        <v>25</v>
      </c>
      <c r="F1601" t="s">
        <v>52</v>
      </c>
      <c r="G1601" t="s">
        <v>71</v>
      </c>
      <c r="H1601" t="s">
        <v>89</v>
      </c>
      <c r="I1601">
        <v>2025</v>
      </c>
      <c r="J1601">
        <v>1.0508999999999999</v>
      </c>
      <c r="K1601" t="s">
        <v>52</v>
      </c>
      <c r="L1601">
        <v>94</v>
      </c>
    </row>
    <row r="1602" spans="1:12" x14ac:dyDescent="0.45">
      <c r="A1602" t="s">
        <v>90</v>
      </c>
      <c r="B1602" t="s">
        <v>1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2025</v>
      </c>
      <c r="J1602">
        <v>6.9039000000000001</v>
      </c>
      <c r="K1602" t="s">
        <v>53</v>
      </c>
      <c r="L1602">
        <v>55</v>
      </c>
    </row>
    <row r="1603" spans="1:12" x14ac:dyDescent="0.45">
      <c r="A1603" t="s">
        <v>90</v>
      </c>
      <c r="B1603" t="s">
        <v>1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2025</v>
      </c>
      <c r="J1603">
        <v>7.9000000000000001E-2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85</v>
      </c>
      <c r="E1604" t="s">
        <v>25</v>
      </c>
      <c r="F1604" t="s">
        <v>85</v>
      </c>
      <c r="G1604" t="s">
        <v>26</v>
      </c>
      <c r="H1604" t="s">
        <v>82</v>
      </c>
      <c r="I1604">
        <v>2025</v>
      </c>
      <c r="J1604">
        <v>0.43369999999999997</v>
      </c>
      <c r="K1604" t="s">
        <v>85</v>
      </c>
    </row>
    <row r="1605" spans="1:12" x14ac:dyDescent="0.45">
      <c r="A1605" t="s">
        <v>90</v>
      </c>
      <c r="B1605" t="s">
        <v>1</v>
      </c>
      <c r="C1605" t="s">
        <v>84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2030</v>
      </c>
      <c r="J1605">
        <v>395.4486</v>
      </c>
      <c r="K1605" t="s">
        <v>45</v>
      </c>
    </row>
    <row r="1606" spans="1:12" x14ac:dyDescent="0.45">
      <c r="A1606" t="s">
        <v>90</v>
      </c>
      <c r="B1606" t="s">
        <v>1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2030</v>
      </c>
      <c r="J1606">
        <v>1465.443</v>
      </c>
      <c r="K1606" t="s">
        <v>48</v>
      </c>
    </row>
    <row r="1607" spans="1:12" x14ac:dyDescent="0.45">
      <c r="A1607" t="s">
        <v>90</v>
      </c>
      <c r="B1607" t="s">
        <v>1</v>
      </c>
      <c r="C1607" t="s">
        <v>84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2030</v>
      </c>
      <c r="J1607">
        <v>2233.0242499999999</v>
      </c>
      <c r="K1607" t="s">
        <v>51</v>
      </c>
    </row>
    <row r="1608" spans="1:12" x14ac:dyDescent="0.45">
      <c r="A1608" t="s">
        <v>90</v>
      </c>
      <c r="B1608" t="s">
        <v>1</v>
      </c>
      <c r="C1608" t="s">
        <v>84</v>
      </c>
      <c r="D1608" t="s">
        <v>24</v>
      </c>
      <c r="E1608" t="s">
        <v>25</v>
      </c>
      <c r="F1608" t="s">
        <v>24</v>
      </c>
      <c r="G1608" t="s">
        <v>26</v>
      </c>
      <c r="H1608" t="s">
        <v>13</v>
      </c>
      <c r="I1608">
        <v>2030</v>
      </c>
      <c r="J1608">
        <v>3.7167500000000002</v>
      </c>
      <c r="K1608" t="s">
        <v>24</v>
      </c>
    </row>
    <row r="1609" spans="1:12" x14ac:dyDescent="0.45">
      <c r="A1609" t="s">
        <v>90</v>
      </c>
      <c r="B1609" t="s">
        <v>1</v>
      </c>
      <c r="C1609" t="s">
        <v>84</v>
      </c>
      <c r="D1609" t="s">
        <v>28</v>
      </c>
      <c r="E1609" t="s">
        <v>25</v>
      </c>
      <c r="F1609" t="s">
        <v>28</v>
      </c>
      <c r="G1609" t="s">
        <v>26</v>
      </c>
      <c r="H1609" t="s">
        <v>12</v>
      </c>
      <c r="I1609">
        <v>2030</v>
      </c>
      <c r="J1609">
        <v>10.92825</v>
      </c>
      <c r="K1609" t="s">
        <v>28</v>
      </c>
    </row>
    <row r="1610" spans="1:12" x14ac:dyDescent="0.45">
      <c r="A1610" t="s">
        <v>90</v>
      </c>
      <c r="B1610" t="s">
        <v>1</v>
      </c>
      <c r="C1610" t="s">
        <v>84</v>
      </c>
      <c r="D1610" t="s">
        <v>27</v>
      </c>
      <c r="E1610" t="s">
        <v>25</v>
      </c>
      <c r="F1610" t="s">
        <v>27</v>
      </c>
      <c r="G1610" t="s">
        <v>26</v>
      </c>
      <c r="H1610" t="s">
        <v>10</v>
      </c>
      <c r="I1610">
        <v>2030</v>
      </c>
      <c r="J1610">
        <v>1.5113000000000001</v>
      </c>
      <c r="K1610" t="s">
        <v>27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2030</v>
      </c>
      <c r="J1611">
        <v>6.0677500000000002</v>
      </c>
      <c r="K1611" t="s">
        <v>29</v>
      </c>
    </row>
    <row r="1612" spans="1:12" x14ac:dyDescent="0.45">
      <c r="A1612" t="s">
        <v>90</v>
      </c>
      <c r="B1612" t="s">
        <v>1</v>
      </c>
      <c r="C1612" t="s">
        <v>84</v>
      </c>
      <c r="D1612" t="s">
        <v>33</v>
      </c>
      <c r="E1612" t="s">
        <v>30</v>
      </c>
      <c r="F1612" t="s">
        <v>33</v>
      </c>
      <c r="G1612" t="s">
        <v>31</v>
      </c>
      <c r="H1612" t="s">
        <v>34</v>
      </c>
      <c r="I1612">
        <v>2030</v>
      </c>
      <c r="J1612">
        <v>1.7513000000000001</v>
      </c>
      <c r="K1612" t="s">
        <v>33</v>
      </c>
    </row>
    <row r="1613" spans="1:12" x14ac:dyDescent="0.45">
      <c r="A1613" t="s">
        <v>90</v>
      </c>
      <c r="B1613" t="s">
        <v>1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5.5630500000000005</v>
      </c>
      <c r="K1613" t="s">
        <v>35</v>
      </c>
    </row>
    <row r="1614" spans="1:12" x14ac:dyDescent="0.45">
      <c r="A1614" t="s">
        <v>90</v>
      </c>
      <c r="B1614" t="s">
        <v>1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2030</v>
      </c>
      <c r="J1614">
        <v>90.229849999999999</v>
      </c>
      <c r="K1614" t="s">
        <v>37</v>
      </c>
    </row>
    <row r="1615" spans="1:12" x14ac:dyDescent="0.45">
      <c r="A1615" t="s">
        <v>90</v>
      </c>
      <c r="B1615" t="s">
        <v>1</v>
      </c>
      <c r="C1615" t="s">
        <v>84</v>
      </c>
      <c r="D1615" t="s">
        <v>52</v>
      </c>
      <c r="E1615" t="s">
        <v>25</v>
      </c>
      <c r="F1615" t="s">
        <v>52</v>
      </c>
      <c r="G1615" t="s">
        <v>71</v>
      </c>
      <c r="H1615" t="s">
        <v>89</v>
      </c>
      <c r="I1615">
        <v>2030</v>
      </c>
      <c r="J1615">
        <v>6.0000000000000001E-3</v>
      </c>
      <c r="K1615" t="s">
        <v>52</v>
      </c>
      <c r="L1615">
        <v>94</v>
      </c>
    </row>
    <row r="1616" spans="1:12" x14ac:dyDescent="0.45">
      <c r="A1616" t="s">
        <v>90</v>
      </c>
      <c r="B1616" t="s">
        <v>1</v>
      </c>
      <c r="C1616" t="s">
        <v>84</v>
      </c>
      <c r="D1616" t="s">
        <v>53</v>
      </c>
      <c r="E1616" t="s">
        <v>25</v>
      </c>
      <c r="F1616" t="s">
        <v>53</v>
      </c>
      <c r="G1616" t="s">
        <v>71</v>
      </c>
      <c r="H1616" t="s">
        <v>89</v>
      </c>
      <c r="I1616">
        <v>2030</v>
      </c>
      <c r="J1616">
        <v>3.4455</v>
      </c>
      <c r="K1616" t="s">
        <v>53</v>
      </c>
      <c r="L1616">
        <v>55</v>
      </c>
    </row>
    <row r="1617" spans="1:12" x14ac:dyDescent="0.45">
      <c r="A1617" t="s">
        <v>90</v>
      </c>
      <c r="B1617" t="s">
        <v>1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2030</v>
      </c>
      <c r="J1617">
        <v>2.7E-2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2030</v>
      </c>
      <c r="J1618">
        <v>1.0763500000000001</v>
      </c>
      <c r="K1618" t="s">
        <v>85</v>
      </c>
    </row>
    <row r="1619" spans="1:12" x14ac:dyDescent="0.45">
      <c r="A1619" t="s">
        <v>90</v>
      </c>
      <c r="B1619" t="s">
        <v>1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2035</v>
      </c>
      <c r="J1619">
        <v>712.78549999999996</v>
      </c>
      <c r="K1619" t="s">
        <v>45</v>
      </c>
    </row>
    <row r="1620" spans="1:12" x14ac:dyDescent="0.45">
      <c r="A1620" t="s">
        <v>90</v>
      </c>
      <c r="B1620" t="s">
        <v>1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2035</v>
      </c>
      <c r="J1620">
        <v>94.269350000000003</v>
      </c>
      <c r="K1620" t="s">
        <v>48</v>
      </c>
    </row>
    <row r="1621" spans="1:12" x14ac:dyDescent="0.45">
      <c r="A1621" t="s">
        <v>90</v>
      </c>
      <c r="B1621" t="s">
        <v>1</v>
      </c>
      <c r="C1621" t="s">
        <v>84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2035</v>
      </c>
      <c r="J1621">
        <v>873.40515000000005</v>
      </c>
      <c r="K1621" t="s">
        <v>51</v>
      </c>
    </row>
    <row r="1622" spans="1:12" x14ac:dyDescent="0.45">
      <c r="A1622" t="s">
        <v>90</v>
      </c>
      <c r="B1622" t="s">
        <v>1</v>
      </c>
      <c r="C1622" t="s">
        <v>84</v>
      </c>
      <c r="D1622" t="s">
        <v>24</v>
      </c>
      <c r="E1622" t="s">
        <v>25</v>
      </c>
      <c r="F1622" t="s">
        <v>24</v>
      </c>
      <c r="G1622" t="s">
        <v>26</v>
      </c>
      <c r="H1622" t="s">
        <v>13</v>
      </c>
      <c r="I1622">
        <v>2035</v>
      </c>
      <c r="J1622">
        <v>4.1225500000000004</v>
      </c>
      <c r="K1622" t="s">
        <v>24</v>
      </c>
    </row>
    <row r="1623" spans="1:12" x14ac:dyDescent="0.45">
      <c r="A1623" t="s">
        <v>90</v>
      </c>
      <c r="B1623" t="s">
        <v>1</v>
      </c>
      <c r="C1623" t="s">
        <v>84</v>
      </c>
      <c r="D1623" t="s">
        <v>28</v>
      </c>
      <c r="E1623" t="s">
        <v>25</v>
      </c>
      <c r="F1623" t="s">
        <v>28</v>
      </c>
      <c r="G1623" t="s">
        <v>26</v>
      </c>
      <c r="H1623" t="s">
        <v>12</v>
      </c>
      <c r="I1623">
        <v>2035</v>
      </c>
      <c r="J1623">
        <v>12.090299999999999</v>
      </c>
      <c r="K1623" t="s">
        <v>28</v>
      </c>
    </row>
    <row r="1624" spans="1:12" x14ac:dyDescent="0.45">
      <c r="A1624" t="s">
        <v>90</v>
      </c>
      <c r="B1624" t="s">
        <v>1</v>
      </c>
      <c r="C1624" t="s">
        <v>84</v>
      </c>
      <c r="D1624" t="s">
        <v>27</v>
      </c>
      <c r="E1624" t="s">
        <v>25</v>
      </c>
      <c r="F1624" t="s">
        <v>27</v>
      </c>
      <c r="G1624" t="s">
        <v>26</v>
      </c>
      <c r="H1624" t="s">
        <v>10</v>
      </c>
      <c r="I1624">
        <v>2035</v>
      </c>
      <c r="J1624">
        <v>2.6759500000000003</v>
      </c>
      <c r="K1624" t="s">
        <v>27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2035</v>
      </c>
      <c r="J1625">
        <v>8.3306499999999986</v>
      </c>
      <c r="K1625" t="s">
        <v>29</v>
      </c>
    </row>
    <row r="1626" spans="1:12" x14ac:dyDescent="0.45">
      <c r="A1626" t="s">
        <v>90</v>
      </c>
      <c r="B1626" t="s">
        <v>1</v>
      </c>
      <c r="C1626" t="s">
        <v>84</v>
      </c>
      <c r="D1626" t="s">
        <v>33</v>
      </c>
      <c r="E1626" t="s">
        <v>30</v>
      </c>
      <c r="F1626" t="s">
        <v>33</v>
      </c>
      <c r="G1626" t="s">
        <v>31</v>
      </c>
      <c r="H1626" t="s">
        <v>34</v>
      </c>
      <c r="I1626">
        <v>2035</v>
      </c>
      <c r="J1626">
        <v>1.4137</v>
      </c>
      <c r="K1626" t="s">
        <v>33</v>
      </c>
    </row>
    <row r="1627" spans="1:12" x14ac:dyDescent="0.45">
      <c r="A1627" t="s">
        <v>90</v>
      </c>
      <c r="B1627" t="s">
        <v>1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2035</v>
      </c>
      <c r="J1627">
        <v>5.8599999999999994</v>
      </c>
      <c r="K1627" t="s">
        <v>35</v>
      </c>
    </row>
    <row r="1628" spans="1:12" x14ac:dyDescent="0.45">
      <c r="A1628" t="s">
        <v>90</v>
      </c>
      <c r="B1628" t="s">
        <v>1</v>
      </c>
      <c r="C1628" t="s">
        <v>84</v>
      </c>
      <c r="D1628" t="s">
        <v>37</v>
      </c>
      <c r="E1628" t="s">
        <v>30</v>
      </c>
      <c r="F1628" t="s">
        <v>37</v>
      </c>
      <c r="G1628" t="s">
        <v>31</v>
      </c>
      <c r="H1628" t="s">
        <v>38</v>
      </c>
      <c r="I1628">
        <v>2035</v>
      </c>
      <c r="J1628">
        <v>95.118349999999992</v>
      </c>
      <c r="K1628" t="s">
        <v>37</v>
      </c>
    </row>
    <row r="1629" spans="1:12" x14ac:dyDescent="0.45">
      <c r="A1629" t="s">
        <v>90</v>
      </c>
      <c r="B1629" t="s">
        <v>1</v>
      </c>
      <c r="C1629" t="s">
        <v>84</v>
      </c>
      <c r="D1629" t="s">
        <v>52</v>
      </c>
      <c r="E1629" t="s">
        <v>25</v>
      </c>
      <c r="F1629" t="s">
        <v>52</v>
      </c>
      <c r="G1629" t="s">
        <v>71</v>
      </c>
      <c r="H1629" t="s">
        <v>89</v>
      </c>
      <c r="I1629">
        <v>2035</v>
      </c>
      <c r="J1629">
        <v>8.0000000000000004E-4</v>
      </c>
      <c r="K1629" t="s">
        <v>52</v>
      </c>
      <c r="L1629">
        <v>94</v>
      </c>
    </row>
    <row r="1630" spans="1:12" x14ac:dyDescent="0.45">
      <c r="A1630" t="s">
        <v>90</v>
      </c>
      <c r="B1630" t="s">
        <v>1</v>
      </c>
      <c r="C1630" t="s">
        <v>84</v>
      </c>
      <c r="D1630" t="s">
        <v>53</v>
      </c>
      <c r="E1630" t="s">
        <v>25</v>
      </c>
      <c r="F1630" t="s">
        <v>53</v>
      </c>
      <c r="G1630" t="s">
        <v>71</v>
      </c>
      <c r="H1630" t="s">
        <v>89</v>
      </c>
      <c r="I1630">
        <v>2035</v>
      </c>
      <c r="J1630">
        <v>0.41749999999999998</v>
      </c>
      <c r="K1630" t="s">
        <v>53</v>
      </c>
      <c r="L1630">
        <v>55</v>
      </c>
    </row>
    <row r="1631" spans="1:12" x14ac:dyDescent="0.45">
      <c r="A1631" t="s">
        <v>90</v>
      </c>
      <c r="B1631" t="s">
        <v>1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85</v>
      </c>
      <c r="E1632" t="s">
        <v>25</v>
      </c>
      <c r="F1632" t="s">
        <v>85</v>
      </c>
      <c r="G1632" t="s">
        <v>26</v>
      </c>
      <c r="H1632" t="s">
        <v>82</v>
      </c>
      <c r="I1632">
        <v>2035</v>
      </c>
      <c r="J1632">
        <v>2.3922999999999996</v>
      </c>
      <c r="K1632" t="s">
        <v>85</v>
      </c>
    </row>
    <row r="1633" spans="1:12" x14ac:dyDescent="0.45">
      <c r="A1633" t="s">
        <v>90</v>
      </c>
      <c r="B1633" t="s">
        <v>1</v>
      </c>
      <c r="C1633" t="s">
        <v>84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2040</v>
      </c>
      <c r="J1633">
        <v>810.19509999999991</v>
      </c>
      <c r="K1633" t="s">
        <v>45</v>
      </c>
    </row>
    <row r="1634" spans="1:12" x14ac:dyDescent="0.45">
      <c r="A1634" t="s">
        <v>90</v>
      </c>
      <c r="B1634" t="s">
        <v>1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2040</v>
      </c>
      <c r="J1634">
        <v>-852.46550000000002</v>
      </c>
      <c r="K1634" t="s">
        <v>48</v>
      </c>
    </row>
    <row r="1635" spans="1:12" x14ac:dyDescent="0.45">
      <c r="A1635" t="s">
        <v>90</v>
      </c>
      <c r="B1635" t="s">
        <v>1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2040</v>
      </c>
      <c r="J1635">
        <v>-24.759249999999998</v>
      </c>
      <c r="K1635" t="s">
        <v>51</v>
      </c>
    </row>
    <row r="1636" spans="1:12" x14ac:dyDescent="0.45">
      <c r="A1636" t="s">
        <v>90</v>
      </c>
      <c r="B1636" t="s">
        <v>1</v>
      </c>
      <c r="C1636" t="s">
        <v>84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2040</v>
      </c>
      <c r="J1636">
        <v>4.8772500000000001</v>
      </c>
      <c r="K1636" t="s">
        <v>24</v>
      </c>
    </row>
    <row r="1637" spans="1:12" x14ac:dyDescent="0.45">
      <c r="A1637" t="s">
        <v>90</v>
      </c>
      <c r="B1637" t="s">
        <v>1</v>
      </c>
      <c r="C1637" t="s">
        <v>84</v>
      </c>
      <c r="D1637" t="s">
        <v>28</v>
      </c>
      <c r="E1637" t="s">
        <v>25</v>
      </c>
      <c r="F1637" t="s">
        <v>28</v>
      </c>
      <c r="G1637" t="s">
        <v>26</v>
      </c>
      <c r="H1637" t="s">
        <v>12</v>
      </c>
      <c r="I1637">
        <v>2040</v>
      </c>
      <c r="J1637">
        <v>13.45185</v>
      </c>
      <c r="K1637" t="s">
        <v>28</v>
      </c>
    </row>
    <row r="1638" spans="1:12" x14ac:dyDescent="0.45">
      <c r="A1638" t="s">
        <v>90</v>
      </c>
      <c r="B1638" t="s">
        <v>1</v>
      </c>
      <c r="C1638" t="s">
        <v>84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2040</v>
      </c>
      <c r="J1638">
        <v>3.6368999999999998</v>
      </c>
      <c r="K1638" t="s">
        <v>27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29</v>
      </c>
      <c r="E1639" t="s">
        <v>30</v>
      </c>
      <c r="F1639" t="s">
        <v>29</v>
      </c>
      <c r="G1639" t="s">
        <v>31</v>
      </c>
      <c r="H1639" t="s">
        <v>32</v>
      </c>
      <c r="I1639">
        <v>2040</v>
      </c>
      <c r="J1639">
        <v>16.86035</v>
      </c>
      <c r="K1639" t="s">
        <v>29</v>
      </c>
    </row>
    <row r="1640" spans="1:12" x14ac:dyDescent="0.45">
      <c r="A1640" t="s">
        <v>90</v>
      </c>
      <c r="B1640" t="s">
        <v>1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2040</v>
      </c>
      <c r="J1640">
        <v>1.3690500000000001</v>
      </c>
      <c r="K1640" t="s">
        <v>33</v>
      </c>
    </row>
    <row r="1641" spans="1:12" x14ac:dyDescent="0.45">
      <c r="A1641" t="s">
        <v>90</v>
      </c>
      <c r="B1641" t="s">
        <v>1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2040</v>
      </c>
      <c r="J1641">
        <v>5.8657500000000002</v>
      </c>
      <c r="K1641" t="s">
        <v>35</v>
      </c>
    </row>
    <row r="1642" spans="1:12" x14ac:dyDescent="0.45">
      <c r="A1642" t="s">
        <v>90</v>
      </c>
      <c r="B1642" t="s">
        <v>1</v>
      </c>
      <c r="C1642" t="s">
        <v>84</v>
      </c>
      <c r="D1642" t="s">
        <v>37</v>
      </c>
      <c r="E1642" t="s">
        <v>30</v>
      </c>
      <c r="F1642" t="s">
        <v>37</v>
      </c>
      <c r="G1642" t="s">
        <v>31</v>
      </c>
      <c r="H1642" t="s">
        <v>38</v>
      </c>
      <c r="I1642">
        <v>2040</v>
      </c>
      <c r="J1642">
        <v>111.45779999999999</v>
      </c>
      <c r="K1642" t="s">
        <v>37</v>
      </c>
    </row>
    <row r="1643" spans="1:12" x14ac:dyDescent="0.45">
      <c r="A1643" t="s">
        <v>90</v>
      </c>
      <c r="B1643" t="s">
        <v>1</v>
      </c>
      <c r="C1643" t="s">
        <v>84</v>
      </c>
      <c r="D1643" t="s">
        <v>52</v>
      </c>
      <c r="E1643" t="s">
        <v>25</v>
      </c>
      <c r="F1643" t="s">
        <v>52</v>
      </c>
      <c r="G1643" t="s">
        <v>71</v>
      </c>
      <c r="H1643" t="s">
        <v>89</v>
      </c>
      <c r="I1643">
        <v>2040</v>
      </c>
      <c r="J1643">
        <v>5.9999999999999995E-4</v>
      </c>
      <c r="K1643" t="s">
        <v>52</v>
      </c>
      <c r="L1643">
        <v>94</v>
      </c>
    </row>
    <row r="1644" spans="1:12" x14ac:dyDescent="0.45">
      <c r="A1644" t="s">
        <v>90</v>
      </c>
      <c r="B1644" t="s">
        <v>1</v>
      </c>
      <c r="C1644" t="s">
        <v>84</v>
      </c>
      <c r="D1644" t="s">
        <v>53</v>
      </c>
      <c r="E1644" t="s">
        <v>25</v>
      </c>
      <c r="F1644" t="s">
        <v>53</v>
      </c>
      <c r="G1644" t="s">
        <v>71</v>
      </c>
      <c r="H1644" t="s">
        <v>89</v>
      </c>
      <c r="I1644">
        <v>2040</v>
      </c>
      <c r="J1644">
        <v>9.1000000000000004E-3</v>
      </c>
      <c r="K1644" t="s">
        <v>53</v>
      </c>
      <c r="L1644">
        <v>55</v>
      </c>
    </row>
    <row r="1645" spans="1:12" x14ac:dyDescent="0.45">
      <c r="A1645" t="s">
        <v>90</v>
      </c>
      <c r="B1645" t="s">
        <v>1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2040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85</v>
      </c>
      <c r="E1646" t="s">
        <v>25</v>
      </c>
      <c r="F1646" t="s">
        <v>85</v>
      </c>
      <c r="G1646" t="s">
        <v>26</v>
      </c>
      <c r="H1646" t="s">
        <v>82</v>
      </c>
      <c r="I1646">
        <v>2040</v>
      </c>
      <c r="J1646">
        <v>4.0547500000000003</v>
      </c>
      <c r="K1646" t="s">
        <v>85</v>
      </c>
    </row>
    <row r="1647" spans="1:12" x14ac:dyDescent="0.45">
      <c r="A1647" t="s">
        <v>90</v>
      </c>
      <c r="B1647" t="s">
        <v>1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H1647" t="s">
        <v>89</v>
      </c>
      <c r="I1647">
        <v>2045</v>
      </c>
      <c r="J1647">
        <v>780.39380000000006</v>
      </c>
      <c r="K1647" t="s">
        <v>45</v>
      </c>
    </row>
    <row r="1648" spans="1:12" x14ac:dyDescent="0.45">
      <c r="A1648" t="s">
        <v>90</v>
      </c>
      <c r="B1648" t="s">
        <v>1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2045</v>
      </c>
      <c r="J1648">
        <v>-1214.5183</v>
      </c>
      <c r="K1648" t="s">
        <v>48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51</v>
      </c>
      <c r="E1649" t="s">
        <v>46</v>
      </c>
      <c r="F1649" t="s">
        <v>51</v>
      </c>
      <c r="G1649" t="s">
        <v>49</v>
      </c>
      <c r="H1649" t="s">
        <v>50</v>
      </c>
      <c r="I1649">
        <v>2045</v>
      </c>
      <c r="J1649">
        <v>-337.01644999999996</v>
      </c>
      <c r="K1649" t="s">
        <v>51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24</v>
      </c>
      <c r="E1650" t="s">
        <v>25</v>
      </c>
      <c r="F1650" t="s">
        <v>24</v>
      </c>
      <c r="G1650" t="s">
        <v>26</v>
      </c>
      <c r="H1650" t="s">
        <v>13</v>
      </c>
      <c r="I1650">
        <v>2045</v>
      </c>
      <c r="J1650">
        <v>5.11205</v>
      </c>
      <c r="K1650" t="s">
        <v>24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2045</v>
      </c>
      <c r="J1651">
        <v>13.886050000000001</v>
      </c>
      <c r="K1651" t="s">
        <v>28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27</v>
      </c>
      <c r="E1652" t="s">
        <v>25</v>
      </c>
      <c r="F1652" t="s">
        <v>27</v>
      </c>
      <c r="G1652" t="s">
        <v>26</v>
      </c>
      <c r="H1652" t="s">
        <v>10</v>
      </c>
      <c r="I1652">
        <v>2045</v>
      </c>
      <c r="J1652">
        <v>4.0548000000000002</v>
      </c>
      <c r="K1652" t="s">
        <v>27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29</v>
      </c>
      <c r="E1653" t="s">
        <v>30</v>
      </c>
      <c r="F1653" t="s">
        <v>29</v>
      </c>
      <c r="G1653" t="s">
        <v>31</v>
      </c>
      <c r="H1653" t="s">
        <v>32</v>
      </c>
      <c r="I1653">
        <v>2045</v>
      </c>
      <c r="J1653">
        <v>22.537300000000002</v>
      </c>
      <c r="K1653" t="s">
        <v>29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33</v>
      </c>
      <c r="E1654" t="s">
        <v>30</v>
      </c>
      <c r="F1654" t="s">
        <v>33</v>
      </c>
      <c r="G1654" t="s">
        <v>31</v>
      </c>
      <c r="H1654" t="s">
        <v>34</v>
      </c>
      <c r="I1654">
        <v>2045</v>
      </c>
      <c r="J1654">
        <v>1.4416</v>
      </c>
      <c r="K1654" t="s">
        <v>33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2045</v>
      </c>
      <c r="J1655">
        <v>4.9245999999999999</v>
      </c>
      <c r="K1655" t="s">
        <v>35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37</v>
      </c>
      <c r="E1656" t="s">
        <v>30</v>
      </c>
      <c r="F1656" t="s">
        <v>37</v>
      </c>
      <c r="G1656" t="s">
        <v>31</v>
      </c>
      <c r="H1656" t="s">
        <v>38</v>
      </c>
      <c r="I1656">
        <v>2045</v>
      </c>
      <c r="J1656">
        <v>106.08315</v>
      </c>
      <c r="K1656" t="s">
        <v>37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52</v>
      </c>
      <c r="E1657" t="s">
        <v>25</v>
      </c>
      <c r="F1657" t="s">
        <v>52</v>
      </c>
      <c r="G1657" t="s">
        <v>71</v>
      </c>
      <c r="H1657" t="s">
        <v>89</v>
      </c>
      <c r="I1657">
        <v>2045</v>
      </c>
      <c r="J1657">
        <v>4.0000000000000002E-4</v>
      </c>
      <c r="K1657" t="s">
        <v>52</v>
      </c>
      <c r="L1657">
        <v>94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53</v>
      </c>
      <c r="E1658" t="s">
        <v>25</v>
      </c>
      <c r="F1658" t="s">
        <v>53</v>
      </c>
      <c r="G1658" t="s">
        <v>71</v>
      </c>
      <c r="H1658" t="s">
        <v>89</v>
      </c>
      <c r="I1658">
        <v>2045</v>
      </c>
      <c r="J1658">
        <v>5.3E-3</v>
      </c>
      <c r="K1658" t="s">
        <v>53</v>
      </c>
      <c r="L1658">
        <v>55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2045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85</v>
      </c>
      <c r="E1660" t="s">
        <v>25</v>
      </c>
      <c r="F1660" t="s">
        <v>85</v>
      </c>
      <c r="G1660" t="s">
        <v>26</v>
      </c>
      <c r="H1660" t="s">
        <v>82</v>
      </c>
      <c r="I1660">
        <v>2045</v>
      </c>
      <c r="J1660">
        <v>5.8657500000000002</v>
      </c>
      <c r="K1660" t="s">
        <v>85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2050</v>
      </c>
      <c r="J1661">
        <v>735.1268</v>
      </c>
      <c r="K1661" t="s">
        <v>45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2050</v>
      </c>
      <c r="J1662">
        <v>-1427.3263000000002</v>
      </c>
      <c r="K1662" t="s">
        <v>48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51</v>
      </c>
      <c r="E1663" t="s">
        <v>46</v>
      </c>
      <c r="F1663" t="s">
        <v>51</v>
      </c>
      <c r="G1663" t="s">
        <v>49</v>
      </c>
      <c r="H1663" t="s">
        <v>50</v>
      </c>
      <c r="I1663">
        <v>2050</v>
      </c>
      <c r="J1663">
        <v>-512.89335000000005</v>
      </c>
      <c r="K1663" t="s">
        <v>51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2050</v>
      </c>
      <c r="J1664">
        <v>4.7871500000000005</v>
      </c>
      <c r="K1664" t="s">
        <v>24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28</v>
      </c>
      <c r="E1665" t="s">
        <v>25</v>
      </c>
      <c r="F1665" t="s">
        <v>28</v>
      </c>
      <c r="G1665" t="s">
        <v>26</v>
      </c>
      <c r="H1665" t="s">
        <v>12</v>
      </c>
      <c r="I1665">
        <v>2050</v>
      </c>
      <c r="J1665">
        <v>13.5787</v>
      </c>
      <c r="K1665" t="s">
        <v>28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2050</v>
      </c>
      <c r="J1666">
        <v>4.3002500000000001</v>
      </c>
      <c r="K1666" t="s">
        <v>27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2050</v>
      </c>
      <c r="J1667">
        <v>21.625300000000003</v>
      </c>
      <c r="K1667" t="s">
        <v>29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2050</v>
      </c>
      <c r="J1668">
        <v>1.7387999999999999</v>
      </c>
      <c r="K1668" t="s">
        <v>33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2050</v>
      </c>
      <c r="J1669">
        <v>4.4139499999999998</v>
      </c>
      <c r="K1669" t="s">
        <v>35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2050</v>
      </c>
      <c r="J1670">
        <v>120.13804999999999</v>
      </c>
      <c r="K1670" t="s">
        <v>37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52</v>
      </c>
      <c r="E1671" t="s">
        <v>25</v>
      </c>
      <c r="F1671" t="s">
        <v>52</v>
      </c>
      <c r="G1671" t="s">
        <v>71</v>
      </c>
      <c r="H1671" t="s">
        <v>89</v>
      </c>
      <c r="I1671">
        <v>2050</v>
      </c>
      <c r="J1671">
        <v>2.0000000000000001E-4</v>
      </c>
      <c r="K1671" t="s">
        <v>52</v>
      </c>
      <c r="L1671">
        <v>94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53</v>
      </c>
      <c r="E1672" t="s">
        <v>25</v>
      </c>
      <c r="F1672" t="s">
        <v>53</v>
      </c>
      <c r="G1672" t="s">
        <v>71</v>
      </c>
      <c r="H1672" t="s">
        <v>89</v>
      </c>
      <c r="I1672">
        <v>2050</v>
      </c>
      <c r="J1672">
        <v>3.0999999999999999E-3</v>
      </c>
      <c r="K1672" t="s">
        <v>53</v>
      </c>
      <c r="L1672">
        <v>55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2050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85</v>
      </c>
      <c r="E1674" t="s">
        <v>25</v>
      </c>
      <c r="F1674" t="s">
        <v>85</v>
      </c>
      <c r="G1674" t="s">
        <v>26</v>
      </c>
      <c r="H1674" t="s">
        <v>82</v>
      </c>
      <c r="I1674">
        <v>2050</v>
      </c>
      <c r="J1674">
        <v>7.7442500000000001</v>
      </c>
      <c r="K1674" t="s">
        <v>85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45</v>
      </c>
      <c r="E1675" t="s">
        <v>46</v>
      </c>
      <c r="F1675" t="s">
        <v>45</v>
      </c>
      <c r="G1675" t="s">
        <v>47</v>
      </c>
      <c r="H1675" t="s">
        <v>89</v>
      </c>
      <c r="I1675">
        <v>2055</v>
      </c>
      <c r="J1675">
        <v>708.21195</v>
      </c>
      <c r="K1675" t="s">
        <v>45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2055</v>
      </c>
      <c r="J1676">
        <v>-1523.7858999999999</v>
      </c>
      <c r="K1676" t="s">
        <v>48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51</v>
      </c>
      <c r="E1677" t="s">
        <v>46</v>
      </c>
      <c r="F1677" t="s">
        <v>51</v>
      </c>
      <c r="G1677" t="s">
        <v>49</v>
      </c>
      <c r="H1677" t="s">
        <v>50</v>
      </c>
      <c r="I1677">
        <v>2055</v>
      </c>
      <c r="J1677">
        <v>-602.92574999999999</v>
      </c>
      <c r="K1677" t="s">
        <v>51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2055</v>
      </c>
      <c r="J1678">
        <v>4.5244</v>
      </c>
      <c r="K1678" t="s">
        <v>24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2055</v>
      </c>
      <c r="J1679">
        <v>12.5654</v>
      </c>
      <c r="K1679" t="s">
        <v>28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2055</v>
      </c>
      <c r="J1680">
        <v>4.4215499999999999</v>
      </c>
      <c r="K1680" t="s">
        <v>27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2055</v>
      </c>
      <c r="J1681">
        <v>20.022300000000001</v>
      </c>
      <c r="K1681" t="s">
        <v>29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33</v>
      </c>
      <c r="E1682" t="s">
        <v>30</v>
      </c>
      <c r="F1682" t="s">
        <v>33</v>
      </c>
      <c r="G1682" t="s">
        <v>31</v>
      </c>
      <c r="H1682" t="s">
        <v>34</v>
      </c>
      <c r="I1682">
        <v>2055</v>
      </c>
      <c r="J1682">
        <v>1.66615</v>
      </c>
      <c r="K1682" t="s">
        <v>33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2055</v>
      </c>
      <c r="J1683">
        <v>4.5674000000000001</v>
      </c>
      <c r="K1683" t="s">
        <v>35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2055</v>
      </c>
      <c r="J1684">
        <v>132.06335000000001</v>
      </c>
      <c r="K1684" t="s">
        <v>37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52</v>
      </c>
      <c r="E1685" t="s">
        <v>25</v>
      </c>
      <c r="F1685" t="s">
        <v>52</v>
      </c>
      <c r="G1685" t="s">
        <v>71</v>
      </c>
      <c r="H1685" t="s">
        <v>89</v>
      </c>
      <c r="I1685">
        <v>2055</v>
      </c>
      <c r="J1685">
        <v>1E-4</v>
      </c>
      <c r="K1685" t="s">
        <v>52</v>
      </c>
      <c r="L1685">
        <v>94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2055</v>
      </c>
      <c r="J1686">
        <v>2.3E-3</v>
      </c>
      <c r="K1686" t="s">
        <v>53</v>
      </c>
      <c r="L1686">
        <v>55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2055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85</v>
      </c>
      <c r="E1688" t="s">
        <v>25</v>
      </c>
      <c r="F1688" t="s">
        <v>85</v>
      </c>
      <c r="G1688" t="s">
        <v>26</v>
      </c>
      <c r="H1688" t="s">
        <v>82</v>
      </c>
      <c r="I1688">
        <v>2055</v>
      </c>
      <c r="J1688">
        <v>9.2441500000000012</v>
      </c>
      <c r="K1688" t="s">
        <v>85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2060</v>
      </c>
      <c r="J1689">
        <v>647.03570000000002</v>
      </c>
      <c r="K1689" t="s">
        <v>45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2060</v>
      </c>
      <c r="J1690">
        <v>-1521.6818499999999</v>
      </c>
      <c r="K1690" t="s">
        <v>48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51</v>
      </c>
      <c r="E1691" t="s">
        <v>46</v>
      </c>
      <c r="F1691" t="s">
        <v>51</v>
      </c>
      <c r="G1691" t="s">
        <v>49</v>
      </c>
      <c r="H1691" t="s">
        <v>50</v>
      </c>
      <c r="I1691">
        <v>2060</v>
      </c>
      <c r="J1691">
        <v>-616.94904999999994</v>
      </c>
      <c r="K1691" t="s">
        <v>51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24</v>
      </c>
      <c r="E1692" t="s">
        <v>25</v>
      </c>
      <c r="F1692" t="s">
        <v>24</v>
      </c>
      <c r="G1692" t="s">
        <v>26</v>
      </c>
      <c r="H1692" t="s">
        <v>13</v>
      </c>
      <c r="I1692">
        <v>2060</v>
      </c>
      <c r="J1692">
        <v>4.1191499999999994</v>
      </c>
      <c r="K1692" t="s">
        <v>24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28</v>
      </c>
      <c r="E1693" t="s">
        <v>25</v>
      </c>
      <c r="F1693" t="s">
        <v>28</v>
      </c>
      <c r="G1693" t="s">
        <v>26</v>
      </c>
      <c r="H1693" t="s">
        <v>12</v>
      </c>
      <c r="I1693">
        <v>2060</v>
      </c>
      <c r="J1693">
        <v>12.7653</v>
      </c>
      <c r="K1693" t="s">
        <v>28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2060</v>
      </c>
      <c r="J1694">
        <v>4.6055000000000001</v>
      </c>
      <c r="K1694" t="s">
        <v>27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2060</v>
      </c>
      <c r="J1695">
        <v>34.522100000000002</v>
      </c>
      <c r="K1695" t="s">
        <v>29</v>
      </c>
    </row>
    <row r="1696" spans="1:12" x14ac:dyDescent="0.45">
      <c r="A1696" t="s">
        <v>90</v>
      </c>
      <c r="B1696" t="s">
        <v>1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2060</v>
      </c>
      <c r="J1696">
        <v>1.8959000000000001</v>
      </c>
      <c r="K1696" t="s">
        <v>33</v>
      </c>
    </row>
    <row r="1697" spans="1:12" x14ac:dyDescent="0.45">
      <c r="A1697" t="s">
        <v>90</v>
      </c>
      <c r="B1697" t="s">
        <v>1</v>
      </c>
      <c r="C1697" t="s">
        <v>84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2060</v>
      </c>
      <c r="J1697">
        <v>5.5579999999999998</v>
      </c>
      <c r="K1697" t="s">
        <v>35</v>
      </c>
    </row>
    <row r="1698" spans="1:12" x14ac:dyDescent="0.45">
      <c r="A1698" t="s">
        <v>90</v>
      </c>
      <c r="B1698" t="s">
        <v>1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2060</v>
      </c>
      <c r="J1698">
        <v>229.3304</v>
      </c>
      <c r="K1698" t="s">
        <v>37</v>
      </c>
    </row>
    <row r="1699" spans="1:12" x14ac:dyDescent="0.45">
      <c r="A1699" t="s">
        <v>90</v>
      </c>
      <c r="B1699" t="s">
        <v>1</v>
      </c>
      <c r="C1699" t="s">
        <v>84</v>
      </c>
      <c r="D1699" t="s">
        <v>52</v>
      </c>
      <c r="E1699" t="s">
        <v>25</v>
      </c>
      <c r="F1699" t="s">
        <v>52</v>
      </c>
      <c r="G1699" t="s">
        <v>71</v>
      </c>
      <c r="H1699" t="s">
        <v>89</v>
      </c>
      <c r="I1699">
        <v>2060</v>
      </c>
      <c r="J1699">
        <v>0</v>
      </c>
      <c r="K1699" t="s">
        <v>52</v>
      </c>
      <c r="L1699">
        <v>94</v>
      </c>
    </row>
    <row r="1700" spans="1:12" x14ac:dyDescent="0.45">
      <c r="A1700" t="s">
        <v>90</v>
      </c>
      <c r="B1700" t="s">
        <v>1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2060</v>
      </c>
      <c r="J1700">
        <v>8.9999999999999998E-4</v>
      </c>
      <c r="K1700" t="s">
        <v>53</v>
      </c>
      <c r="L1700">
        <v>55</v>
      </c>
    </row>
    <row r="1701" spans="1:12" x14ac:dyDescent="0.45">
      <c r="A1701" t="s">
        <v>90</v>
      </c>
      <c r="B1701" t="s">
        <v>1</v>
      </c>
      <c r="C1701" t="s">
        <v>84</v>
      </c>
      <c r="D1701" t="s">
        <v>54</v>
      </c>
      <c r="E1701" t="s">
        <v>25</v>
      </c>
      <c r="F1701" t="s">
        <v>54</v>
      </c>
      <c r="G1701" t="s">
        <v>71</v>
      </c>
      <c r="H1701" t="s">
        <v>89</v>
      </c>
      <c r="I1701">
        <v>2060</v>
      </c>
      <c r="J1701">
        <v>0</v>
      </c>
      <c r="K1701" t="s">
        <v>54</v>
      </c>
      <c r="L1701">
        <v>70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2060</v>
      </c>
      <c r="J1702">
        <v>10.83755</v>
      </c>
      <c r="K1702" t="s">
        <v>85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45</v>
      </c>
      <c r="E1703" t="s">
        <v>46</v>
      </c>
      <c r="F1703" t="s">
        <v>45</v>
      </c>
      <c r="G1703" t="s">
        <v>47</v>
      </c>
      <c r="H1703" t="s">
        <v>89</v>
      </c>
      <c r="I1703">
        <v>2065</v>
      </c>
      <c r="J1703">
        <v>551.18544999999995</v>
      </c>
      <c r="K1703" t="s">
        <v>45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2065</v>
      </c>
      <c r="J1704">
        <v>-1446.9391500000002</v>
      </c>
      <c r="K1704" t="s">
        <v>48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-551.04750000000001</v>
      </c>
      <c r="K1705" t="s">
        <v>51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24</v>
      </c>
      <c r="E1706" t="s">
        <v>25</v>
      </c>
      <c r="F1706" t="s">
        <v>24</v>
      </c>
      <c r="G1706" t="s">
        <v>26</v>
      </c>
      <c r="H1706" t="s">
        <v>13</v>
      </c>
      <c r="I1706">
        <v>2065</v>
      </c>
      <c r="J1706">
        <v>4.0318000000000005</v>
      </c>
      <c r="K1706" t="s">
        <v>24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28</v>
      </c>
      <c r="E1707" t="s">
        <v>25</v>
      </c>
      <c r="F1707" t="s">
        <v>28</v>
      </c>
      <c r="G1707" t="s">
        <v>26</v>
      </c>
      <c r="H1707" t="s">
        <v>12</v>
      </c>
      <c r="I1707">
        <v>2065</v>
      </c>
      <c r="J1707">
        <v>12.716650000000001</v>
      </c>
      <c r="K1707" t="s">
        <v>28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27</v>
      </c>
      <c r="E1708" t="s">
        <v>25</v>
      </c>
      <c r="F1708" t="s">
        <v>27</v>
      </c>
      <c r="G1708" t="s">
        <v>26</v>
      </c>
      <c r="H1708" t="s">
        <v>10</v>
      </c>
      <c r="I1708">
        <v>2065</v>
      </c>
      <c r="J1708">
        <v>4.7298</v>
      </c>
      <c r="K1708" t="s">
        <v>27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29</v>
      </c>
      <c r="E1709" t="s">
        <v>30</v>
      </c>
      <c r="F1709" t="s">
        <v>29</v>
      </c>
      <c r="G1709" t="s">
        <v>31</v>
      </c>
      <c r="H1709" t="s">
        <v>32</v>
      </c>
      <c r="I1709">
        <v>2065</v>
      </c>
      <c r="J1709">
        <v>34.848349999999996</v>
      </c>
      <c r="K1709" t="s">
        <v>29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2065</v>
      </c>
      <c r="J1710">
        <v>1.9075500000000001</v>
      </c>
      <c r="K1710" t="s">
        <v>33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2065</v>
      </c>
      <c r="J1711">
        <v>5.8658999999999999</v>
      </c>
      <c r="K1711" t="s">
        <v>35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2065</v>
      </c>
      <c r="J1712">
        <v>302.83524999999997</v>
      </c>
      <c r="K1712" t="s">
        <v>37</v>
      </c>
    </row>
    <row r="1713" spans="1:12" x14ac:dyDescent="0.45">
      <c r="A1713" t="s">
        <v>90</v>
      </c>
      <c r="B1713" t="s">
        <v>1</v>
      </c>
      <c r="C1713" t="s">
        <v>84</v>
      </c>
      <c r="D1713" t="s">
        <v>52</v>
      </c>
      <c r="E1713" t="s">
        <v>25</v>
      </c>
      <c r="F1713" t="s">
        <v>52</v>
      </c>
      <c r="G1713" t="s">
        <v>71</v>
      </c>
      <c r="H1713" t="s">
        <v>89</v>
      </c>
      <c r="I1713">
        <v>2065</v>
      </c>
      <c r="J1713">
        <v>0</v>
      </c>
      <c r="K1713" t="s">
        <v>52</v>
      </c>
      <c r="L1713">
        <v>94</v>
      </c>
    </row>
    <row r="1714" spans="1:12" x14ac:dyDescent="0.45">
      <c r="A1714" t="s">
        <v>90</v>
      </c>
      <c r="B1714" t="s">
        <v>1</v>
      </c>
      <c r="C1714" t="s">
        <v>84</v>
      </c>
      <c r="D1714" t="s">
        <v>53</v>
      </c>
      <c r="E1714" t="s">
        <v>25</v>
      </c>
      <c r="F1714" t="s">
        <v>53</v>
      </c>
      <c r="G1714" t="s">
        <v>71</v>
      </c>
      <c r="H1714" t="s">
        <v>89</v>
      </c>
      <c r="I1714">
        <v>2065</v>
      </c>
      <c r="J1714">
        <v>4.4999999999999999E-4</v>
      </c>
      <c r="K1714" t="s">
        <v>53</v>
      </c>
      <c r="L1714">
        <v>55</v>
      </c>
    </row>
    <row r="1715" spans="1:12" x14ac:dyDescent="0.45">
      <c r="A1715" t="s">
        <v>90</v>
      </c>
      <c r="B1715" t="s">
        <v>1</v>
      </c>
      <c r="C1715" t="s">
        <v>84</v>
      </c>
      <c r="D1715" t="s">
        <v>54</v>
      </c>
      <c r="E1715" t="s">
        <v>25</v>
      </c>
      <c r="F1715" t="s">
        <v>54</v>
      </c>
      <c r="G1715" t="s">
        <v>71</v>
      </c>
      <c r="H1715" t="s">
        <v>89</v>
      </c>
      <c r="I1715">
        <v>2065</v>
      </c>
      <c r="J1715">
        <v>0</v>
      </c>
      <c r="K1715" t="s">
        <v>54</v>
      </c>
      <c r="L1715">
        <v>70</v>
      </c>
    </row>
    <row r="1716" spans="1:12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2065</v>
      </c>
      <c r="J1716">
        <v>11.2875</v>
      </c>
      <c r="K1716" t="s">
        <v>85</v>
      </c>
    </row>
    <row r="1717" spans="1:12" x14ac:dyDescent="0.45">
      <c r="A1717" t="s">
        <v>90</v>
      </c>
      <c r="B1717" t="s">
        <v>1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2070</v>
      </c>
      <c r="J1717">
        <v>455.33510000000001</v>
      </c>
      <c r="K1717" t="s">
        <v>45</v>
      </c>
    </row>
    <row r="1718" spans="1:12" x14ac:dyDescent="0.45">
      <c r="A1718" t="s">
        <v>90</v>
      </c>
      <c r="B1718" t="s">
        <v>1</v>
      </c>
      <c r="C1718" t="s">
        <v>84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2070</v>
      </c>
      <c r="J1718">
        <v>-1372.1963499999999</v>
      </c>
      <c r="K1718" t="s">
        <v>48</v>
      </c>
    </row>
    <row r="1719" spans="1:12" x14ac:dyDescent="0.45">
      <c r="A1719" t="s">
        <v>90</v>
      </c>
      <c r="B1719" t="s">
        <v>1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2070</v>
      </c>
      <c r="J1719">
        <v>-485.14589999999998</v>
      </c>
      <c r="K1719" t="s">
        <v>51</v>
      </c>
    </row>
    <row r="1720" spans="1:12" x14ac:dyDescent="0.45">
      <c r="A1720" t="s">
        <v>90</v>
      </c>
      <c r="B1720" t="s">
        <v>1</v>
      </c>
      <c r="C1720" t="s">
        <v>84</v>
      </c>
      <c r="D1720" t="s">
        <v>24</v>
      </c>
      <c r="E1720" t="s">
        <v>25</v>
      </c>
      <c r="F1720" t="s">
        <v>24</v>
      </c>
      <c r="G1720" t="s">
        <v>26</v>
      </c>
      <c r="H1720" t="s">
        <v>13</v>
      </c>
      <c r="I1720">
        <v>2070</v>
      </c>
      <c r="J1720">
        <v>3.94435</v>
      </c>
      <c r="K1720" t="s">
        <v>24</v>
      </c>
    </row>
    <row r="1721" spans="1:12" x14ac:dyDescent="0.45">
      <c r="A1721" t="s">
        <v>90</v>
      </c>
      <c r="B1721" t="s">
        <v>1</v>
      </c>
      <c r="C1721" t="s">
        <v>84</v>
      </c>
      <c r="D1721" t="s">
        <v>28</v>
      </c>
      <c r="E1721" t="s">
        <v>25</v>
      </c>
      <c r="F1721" t="s">
        <v>28</v>
      </c>
      <c r="G1721" t="s">
        <v>26</v>
      </c>
      <c r="H1721" t="s">
        <v>12</v>
      </c>
      <c r="I1721">
        <v>2070</v>
      </c>
      <c r="J1721">
        <v>12.668099999999999</v>
      </c>
      <c r="K1721" t="s">
        <v>28</v>
      </c>
    </row>
    <row r="1722" spans="1:12" x14ac:dyDescent="0.45">
      <c r="A1722" t="s">
        <v>90</v>
      </c>
      <c r="B1722" t="s">
        <v>1</v>
      </c>
      <c r="C1722" t="s">
        <v>84</v>
      </c>
      <c r="D1722" t="s">
        <v>27</v>
      </c>
      <c r="E1722" t="s">
        <v>25</v>
      </c>
      <c r="F1722" t="s">
        <v>27</v>
      </c>
      <c r="G1722" t="s">
        <v>26</v>
      </c>
      <c r="H1722" t="s">
        <v>10</v>
      </c>
      <c r="I1722">
        <v>2070</v>
      </c>
      <c r="J1722">
        <v>4.8540500000000009</v>
      </c>
      <c r="K1722" t="s">
        <v>27</v>
      </c>
    </row>
    <row r="1723" spans="1:12" x14ac:dyDescent="0.45">
      <c r="A1723" t="s">
        <v>90</v>
      </c>
      <c r="B1723" t="s">
        <v>1</v>
      </c>
      <c r="C1723" t="s">
        <v>84</v>
      </c>
      <c r="D1723" t="s">
        <v>29</v>
      </c>
      <c r="E1723" t="s">
        <v>30</v>
      </c>
      <c r="F1723" t="s">
        <v>29</v>
      </c>
      <c r="G1723" t="s">
        <v>31</v>
      </c>
      <c r="H1723" t="s">
        <v>32</v>
      </c>
      <c r="I1723">
        <v>2070</v>
      </c>
      <c r="J1723">
        <v>35.174599999999998</v>
      </c>
      <c r="K1723" t="s">
        <v>29</v>
      </c>
    </row>
    <row r="1724" spans="1:12" x14ac:dyDescent="0.45">
      <c r="A1724" t="s">
        <v>90</v>
      </c>
      <c r="B1724" t="s">
        <v>1</v>
      </c>
      <c r="C1724" t="s">
        <v>84</v>
      </c>
      <c r="D1724" t="s">
        <v>33</v>
      </c>
      <c r="E1724" t="s">
        <v>30</v>
      </c>
      <c r="F1724" t="s">
        <v>33</v>
      </c>
      <c r="G1724" t="s">
        <v>31</v>
      </c>
      <c r="H1724" t="s">
        <v>34</v>
      </c>
      <c r="I1724">
        <v>2070</v>
      </c>
      <c r="J1724">
        <v>1.9191499999999999</v>
      </c>
      <c r="K1724" t="s">
        <v>33</v>
      </c>
    </row>
    <row r="1725" spans="1:12" x14ac:dyDescent="0.45">
      <c r="A1725" t="s">
        <v>90</v>
      </c>
      <c r="B1725" t="s">
        <v>1</v>
      </c>
      <c r="C1725" t="s">
        <v>84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2070</v>
      </c>
      <c r="J1725">
        <v>6.1738</v>
      </c>
      <c r="K1725" t="s">
        <v>35</v>
      </c>
    </row>
    <row r="1726" spans="1:12" x14ac:dyDescent="0.45">
      <c r="A1726" t="s">
        <v>90</v>
      </c>
      <c r="B1726" t="s">
        <v>1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2070</v>
      </c>
      <c r="J1726">
        <v>376.34005000000002</v>
      </c>
      <c r="K1726" t="s">
        <v>37</v>
      </c>
    </row>
    <row r="1727" spans="1:12" x14ac:dyDescent="0.45">
      <c r="A1727" t="s">
        <v>90</v>
      </c>
      <c r="B1727" t="s">
        <v>1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H1727" t="s">
        <v>89</v>
      </c>
      <c r="I1727">
        <v>2070</v>
      </c>
      <c r="J1727">
        <v>0</v>
      </c>
      <c r="K1727" t="s">
        <v>52</v>
      </c>
      <c r="L1727">
        <v>94</v>
      </c>
    </row>
    <row r="1728" spans="1:12" x14ac:dyDescent="0.45">
      <c r="A1728" t="s">
        <v>90</v>
      </c>
      <c r="B1728" t="s">
        <v>1</v>
      </c>
      <c r="C1728" t="s">
        <v>84</v>
      </c>
      <c r="D1728" t="s">
        <v>53</v>
      </c>
      <c r="E1728" t="s">
        <v>25</v>
      </c>
      <c r="F1728" t="s">
        <v>53</v>
      </c>
      <c r="G1728" t="s">
        <v>71</v>
      </c>
      <c r="H1728" t="s">
        <v>89</v>
      </c>
      <c r="I1728">
        <v>2070</v>
      </c>
      <c r="J1728">
        <v>0</v>
      </c>
      <c r="K1728" t="s">
        <v>53</v>
      </c>
      <c r="L1728">
        <v>55</v>
      </c>
    </row>
    <row r="1729" spans="1:12" x14ac:dyDescent="0.45">
      <c r="A1729" t="s">
        <v>90</v>
      </c>
      <c r="B1729" t="s">
        <v>1</v>
      </c>
      <c r="C1729" t="s">
        <v>84</v>
      </c>
      <c r="D1729" t="s">
        <v>54</v>
      </c>
      <c r="E1729" t="s">
        <v>25</v>
      </c>
      <c r="F1729" t="s">
        <v>54</v>
      </c>
      <c r="G1729" t="s">
        <v>71</v>
      </c>
      <c r="H1729" t="s">
        <v>89</v>
      </c>
      <c r="I1729">
        <v>2070</v>
      </c>
      <c r="J1729">
        <v>0</v>
      </c>
      <c r="K1729" t="s">
        <v>54</v>
      </c>
      <c r="L1729">
        <v>70</v>
      </c>
    </row>
    <row r="1730" spans="1:12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2070</v>
      </c>
      <c r="J1730">
        <v>11.737400000000001</v>
      </c>
      <c r="K1730" t="s">
        <v>85</v>
      </c>
    </row>
    <row r="1731" spans="1:12" x14ac:dyDescent="0.45">
      <c r="A1731" t="s">
        <v>90</v>
      </c>
      <c r="B1731" t="s">
        <v>1</v>
      </c>
      <c r="C1731" t="s">
        <v>84</v>
      </c>
      <c r="D1731" t="s">
        <v>45</v>
      </c>
      <c r="E1731" t="s">
        <v>46</v>
      </c>
      <c r="F1731" t="s">
        <v>45</v>
      </c>
      <c r="G1731" t="s">
        <v>47</v>
      </c>
      <c r="H1731" t="s">
        <v>89</v>
      </c>
      <c r="I1731">
        <v>2075</v>
      </c>
      <c r="J1731">
        <v>311.62284999999997</v>
      </c>
      <c r="K1731" t="s">
        <v>45</v>
      </c>
    </row>
    <row r="1732" spans="1:12" x14ac:dyDescent="0.45">
      <c r="A1732" t="s">
        <v>90</v>
      </c>
      <c r="B1732" t="s">
        <v>1</v>
      </c>
      <c r="C1732" t="s">
        <v>84</v>
      </c>
      <c r="D1732" t="s">
        <v>48</v>
      </c>
      <c r="E1732" t="s">
        <v>46</v>
      </c>
      <c r="F1732" t="s">
        <v>48</v>
      </c>
      <c r="G1732" t="s">
        <v>49</v>
      </c>
      <c r="H1732" t="s">
        <v>50</v>
      </c>
      <c r="I1732">
        <v>2075</v>
      </c>
      <c r="J1732">
        <v>-1215.96255</v>
      </c>
      <c r="K1732" t="s">
        <v>48</v>
      </c>
    </row>
    <row r="1733" spans="1:12" x14ac:dyDescent="0.45">
      <c r="A1733" t="s">
        <v>90</v>
      </c>
      <c r="B1733" t="s">
        <v>1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2075</v>
      </c>
      <c r="J1733">
        <v>-334.00030000000004</v>
      </c>
      <c r="K1733" t="s">
        <v>51</v>
      </c>
    </row>
    <row r="1734" spans="1:12" x14ac:dyDescent="0.45">
      <c r="A1734" t="s">
        <v>90</v>
      </c>
      <c r="B1734" t="s">
        <v>1</v>
      </c>
      <c r="C1734" t="s">
        <v>84</v>
      </c>
      <c r="D1734" t="s">
        <v>24</v>
      </c>
      <c r="E1734" t="s">
        <v>25</v>
      </c>
      <c r="F1734" t="s">
        <v>24</v>
      </c>
      <c r="G1734" t="s">
        <v>26</v>
      </c>
      <c r="H1734" t="s">
        <v>13</v>
      </c>
      <c r="I1734">
        <v>2075</v>
      </c>
      <c r="J1734">
        <v>3.7861000000000002</v>
      </c>
      <c r="K1734" t="s">
        <v>24</v>
      </c>
    </row>
    <row r="1735" spans="1:12" x14ac:dyDescent="0.45">
      <c r="A1735" t="s">
        <v>90</v>
      </c>
      <c r="B1735" t="s">
        <v>1</v>
      </c>
      <c r="C1735" t="s">
        <v>84</v>
      </c>
      <c r="D1735" t="s">
        <v>28</v>
      </c>
      <c r="E1735" t="s">
        <v>25</v>
      </c>
      <c r="F1735" t="s">
        <v>28</v>
      </c>
      <c r="G1735" t="s">
        <v>26</v>
      </c>
      <c r="H1735" t="s">
        <v>12</v>
      </c>
      <c r="I1735">
        <v>2075</v>
      </c>
      <c r="J1735">
        <v>12.795349999999999</v>
      </c>
      <c r="K1735" t="s">
        <v>28</v>
      </c>
    </row>
    <row r="1736" spans="1:12" x14ac:dyDescent="0.45">
      <c r="A1736" t="s">
        <v>90</v>
      </c>
      <c r="B1736" t="s">
        <v>1</v>
      </c>
      <c r="C1736" t="s">
        <v>84</v>
      </c>
      <c r="D1736" t="s">
        <v>27</v>
      </c>
      <c r="E1736" t="s">
        <v>25</v>
      </c>
      <c r="F1736" t="s">
        <v>27</v>
      </c>
      <c r="G1736" t="s">
        <v>26</v>
      </c>
      <c r="H1736" t="s">
        <v>10</v>
      </c>
      <c r="I1736">
        <v>2075</v>
      </c>
      <c r="J1736">
        <v>4.9845500000000005</v>
      </c>
      <c r="K1736" t="s">
        <v>27</v>
      </c>
    </row>
    <row r="1737" spans="1:12" x14ac:dyDescent="0.45">
      <c r="A1737" t="s">
        <v>90</v>
      </c>
      <c r="B1737" t="s">
        <v>1</v>
      </c>
      <c r="C1737" t="s">
        <v>84</v>
      </c>
      <c r="D1737" t="s">
        <v>29</v>
      </c>
      <c r="E1737" t="s">
        <v>30</v>
      </c>
      <c r="F1737" t="s">
        <v>29</v>
      </c>
      <c r="G1737" t="s">
        <v>31</v>
      </c>
      <c r="H1737" t="s">
        <v>32</v>
      </c>
      <c r="I1737">
        <v>2075</v>
      </c>
      <c r="J1737">
        <v>34.450149999999994</v>
      </c>
      <c r="K1737" t="s">
        <v>29</v>
      </c>
    </row>
    <row r="1738" spans="1:12" x14ac:dyDescent="0.45">
      <c r="A1738" t="s">
        <v>90</v>
      </c>
      <c r="B1738" t="s">
        <v>1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2075</v>
      </c>
      <c r="J1738">
        <v>2.0170500000000002</v>
      </c>
      <c r="K1738" t="s">
        <v>33</v>
      </c>
    </row>
    <row r="1739" spans="1:12" x14ac:dyDescent="0.45">
      <c r="A1739" t="s">
        <v>90</v>
      </c>
      <c r="B1739" t="s">
        <v>1</v>
      </c>
      <c r="C1739" t="s">
        <v>84</v>
      </c>
      <c r="D1739" t="s">
        <v>35</v>
      </c>
      <c r="E1739" t="s">
        <v>30</v>
      </c>
      <c r="F1739" t="s">
        <v>35</v>
      </c>
      <c r="G1739" t="s">
        <v>31</v>
      </c>
      <c r="H1739" t="s">
        <v>36</v>
      </c>
      <c r="I1739">
        <v>2075</v>
      </c>
      <c r="J1739">
        <v>6.0717999999999996</v>
      </c>
      <c r="K1739" t="s">
        <v>35</v>
      </c>
    </row>
    <row r="1740" spans="1:12" x14ac:dyDescent="0.45">
      <c r="A1740" t="s">
        <v>90</v>
      </c>
      <c r="B1740" t="s">
        <v>1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2075</v>
      </c>
      <c r="J1740">
        <v>401.12594999999999</v>
      </c>
      <c r="K1740" t="s">
        <v>37</v>
      </c>
    </row>
    <row r="1741" spans="1:12" x14ac:dyDescent="0.45">
      <c r="A1741" t="s">
        <v>90</v>
      </c>
      <c r="B1741" t="s">
        <v>1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H1741" t="s">
        <v>89</v>
      </c>
      <c r="I1741">
        <v>2075</v>
      </c>
      <c r="J1741">
        <v>0</v>
      </c>
      <c r="K1741" t="s">
        <v>52</v>
      </c>
      <c r="L1741">
        <v>94</v>
      </c>
    </row>
    <row r="1742" spans="1:12" x14ac:dyDescent="0.45">
      <c r="A1742" t="s">
        <v>90</v>
      </c>
      <c r="B1742" t="s">
        <v>1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H1742" t="s">
        <v>89</v>
      </c>
      <c r="I1742">
        <v>2075</v>
      </c>
      <c r="J1742">
        <v>0</v>
      </c>
      <c r="K1742" t="s">
        <v>53</v>
      </c>
      <c r="L1742">
        <v>55</v>
      </c>
    </row>
    <row r="1743" spans="1:12" x14ac:dyDescent="0.45">
      <c r="A1743" t="s">
        <v>90</v>
      </c>
      <c r="B1743" t="s">
        <v>1</v>
      </c>
      <c r="C1743" t="s">
        <v>84</v>
      </c>
      <c r="D1743" t="s">
        <v>54</v>
      </c>
      <c r="E1743" t="s">
        <v>25</v>
      </c>
      <c r="F1743" t="s">
        <v>54</v>
      </c>
      <c r="G1743" t="s">
        <v>71</v>
      </c>
      <c r="H1743" t="s">
        <v>89</v>
      </c>
      <c r="I1743">
        <v>2075</v>
      </c>
      <c r="J1743">
        <v>0</v>
      </c>
      <c r="K1743" t="s">
        <v>54</v>
      </c>
      <c r="L1743">
        <v>70</v>
      </c>
    </row>
    <row r="1744" spans="1:12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2075</v>
      </c>
      <c r="J1744">
        <v>12.517949999999999</v>
      </c>
      <c r="K1744" t="s">
        <v>85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2080</v>
      </c>
      <c r="J1745">
        <v>167.91064999999998</v>
      </c>
      <c r="K1745" t="s">
        <v>45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48</v>
      </c>
      <c r="E1746" t="s">
        <v>46</v>
      </c>
      <c r="F1746" t="s">
        <v>48</v>
      </c>
      <c r="G1746" t="s">
        <v>49</v>
      </c>
      <c r="H1746" t="s">
        <v>50</v>
      </c>
      <c r="I1746">
        <v>2080</v>
      </c>
      <c r="J1746">
        <v>-1059.7289000000001</v>
      </c>
      <c r="K1746" t="s">
        <v>48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2080</v>
      </c>
      <c r="J1747">
        <v>-182.85480000000001</v>
      </c>
      <c r="K1747" t="s">
        <v>51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24</v>
      </c>
      <c r="E1748" t="s">
        <v>25</v>
      </c>
      <c r="F1748" t="s">
        <v>24</v>
      </c>
      <c r="G1748" t="s">
        <v>26</v>
      </c>
      <c r="H1748" t="s">
        <v>13</v>
      </c>
      <c r="I1748">
        <v>2080</v>
      </c>
      <c r="J1748">
        <v>3.62785</v>
      </c>
      <c r="K1748" t="s">
        <v>24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2080</v>
      </c>
      <c r="J1749">
        <v>12.922650000000001</v>
      </c>
      <c r="K1749" t="s">
        <v>28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27</v>
      </c>
      <c r="E1750" t="s">
        <v>25</v>
      </c>
      <c r="F1750" t="s">
        <v>27</v>
      </c>
      <c r="G1750" t="s">
        <v>26</v>
      </c>
      <c r="H1750" t="s">
        <v>10</v>
      </c>
      <c r="I1750">
        <v>2080</v>
      </c>
      <c r="J1750">
        <v>5.1150500000000001</v>
      </c>
      <c r="K1750" t="s">
        <v>27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2080</v>
      </c>
      <c r="J1751">
        <v>33.725650000000002</v>
      </c>
      <c r="K1751" t="s">
        <v>29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33</v>
      </c>
      <c r="E1752" t="s">
        <v>30</v>
      </c>
      <c r="F1752" t="s">
        <v>33</v>
      </c>
      <c r="G1752" t="s">
        <v>31</v>
      </c>
      <c r="H1752" t="s">
        <v>34</v>
      </c>
      <c r="I1752">
        <v>2080</v>
      </c>
      <c r="J1752">
        <v>2.1149</v>
      </c>
      <c r="K1752" t="s">
        <v>33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35</v>
      </c>
      <c r="E1753" t="s">
        <v>30</v>
      </c>
      <c r="F1753" t="s">
        <v>35</v>
      </c>
      <c r="G1753" t="s">
        <v>31</v>
      </c>
      <c r="H1753" t="s">
        <v>36</v>
      </c>
      <c r="I1753">
        <v>2080</v>
      </c>
      <c r="J1753">
        <v>5.9697999999999993</v>
      </c>
      <c r="K1753" t="s">
        <v>35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2080</v>
      </c>
      <c r="J1754">
        <v>425.91179999999997</v>
      </c>
      <c r="K1754" t="s">
        <v>37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2080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H1756" t="s">
        <v>89</v>
      </c>
      <c r="I1756">
        <v>2080</v>
      </c>
      <c r="J1756">
        <v>0</v>
      </c>
      <c r="K1756" t="s">
        <v>53</v>
      </c>
      <c r="L1756">
        <v>55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54</v>
      </c>
      <c r="E1757" t="s">
        <v>25</v>
      </c>
      <c r="F1757" t="s">
        <v>54</v>
      </c>
      <c r="G1757" t="s">
        <v>71</v>
      </c>
      <c r="H1757" t="s">
        <v>89</v>
      </c>
      <c r="I1757">
        <v>2080</v>
      </c>
      <c r="J1757">
        <v>0</v>
      </c>
      <c r="K1757" t="s">
        <v>54</v>
      </c>
      <c r="L1757">
        <v>70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2080</v>
      </c>
      <c r="J1758">
        <v>13.298500000000001</v>
      </c>
      <c r="K1758" t="s">
        <v>85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45</v>
      </c>
      <c r="E1759" t="s">
        <v>46</v>
      </c>
      <c r="F1759" t="s">
        <v>45</v>
      </c>
      <c r="G1759" t="s">
        <v>47</v>
      </c>
      <c r="H1759" t="s">
        <v>89</v>
      </c>
      <c r="I1759">
        <v>2085</v>
      </c>
      <c r="J1759">
        <v>126.274</v>
      </c>
      <c r="K1759" t="s">
        <v>45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2085</v>
      </c>
      <c r="J1760">
        <v>-1015.4433</v>
      </c>
      <c r="K1760" t="s">
        <v>48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2085</v>
      </c>
      <c r="J1761">
        <v>-136.88164999999998</v>
      </c>
      <c r="K1761" t="s">
        <v>51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24</v>
      </c>
      <c r="E1762" t="s">
        <v>25</v>
      </c>
      <c r="F1762" t="s">
        <v>24</v>
      </c>
      <c r="G1762" t="s">
        <v>26</v>
      </c>
      <c r="H1762" t="s">
        <v>13</v>
      </c>
      <c r="I1762">
        <v>2085</v>
      </c>
      <c r="J1762">
        <v>3.5125999999999999</v>
      </c>
      <c r="K1762" t="s">
        <v>24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28</v>
      </c>
      <c r="E1763" t="s">
        <v>25</v>
      </c>
      <c r="F1763" t="s">
        <v>28</v>
      </c>
      <c r="G1763" t="s">
        <v>26</v>
      </c>
      <c r="H1763" t="s">
        <v>12</v>
      </c>
      <c r="I1763">
        <v>2085</v>
      </c>
      <c r="J1763">
        <v>13.1906</v>
      </c>
      <c r="K1763" t="s">
        <v>28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27</v>
      </c>
      <c r="E1764" t="s">
        <v>25</v>
      </c>
      <c r="F1764" t="s">
        <v>27</v>
      </c>
      <c r="G1764" t="s">
        <v>26</v>
      </c>
      <c r="H1764" t="s">
        <v>10</v>
      </c>
      <c r="I1764">
        <v>2085</v>
      </c>
      <c r="J1764">
        <v>5.2322500000000005</v>
      </c>
      <c r="K1764" t="s">
        <v>27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2085</v>
      </c>
      <c r="J1765">
        <v>35.534049999999993</v>
      </c>
      <c r="K1765" t="s">
        <v>29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2085</v>
      </c>
      <c r="J1766">
        <v>2.0994000000000002</v>
      </c>
      <c r="K1766" t="s">
        <v>33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35</v>
      </c>
      <c r="E1767" t="s">
        <v>30</v>
      </c>
      <c r="F1767" t="s">
        <v>35</v>
      </c>
      <c r="G1767" t="s">
        <v>31</v>
      </c>
      <c r="H1767" t="s">
        <v>36</v>
      </c>
      <c r="I1767">
        <v>2085</v>
      </c>
      <c r="J1767">
        <v>5.8603500000000004</v>
      </c>
      <c r="K1767" t="s">
        <v>35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2085</v>
      </c>
      <c r="J1768">
        <v>442.71434999999997</v>
      </c>
      <c r="K1768" t="s">
        <v>37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52</v>
      </c>
      <c r="E1769" t="s">
        <v>25</v>
      </c>
      <c r="F1769" t="s">
        <v>52</v>
      </c>
      <c r="G1769" t="s">
        <v>71</v>
      </c>
      <c r="H1769" t="s">
        <v>89</v>
      </c>
      <c r="I1769">
        <v>2085</v>
      </c>
      <c r="J1769">
        <v>0</v>
      </c>
      <c r="K1769" t="s">
        <v>52</v>
      </c>
      <c r="L1769">
        <v>94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2085</v>
      </c>
      <c r="J1770">
        <v>0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H1771" t="s">
        <v>89</v>
      </c>
      <c r="I1771">
        <v>2085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2085</v>
      </c>
      <c r="J1772">
        <v>13.224499999999999</v>
      </c>
      <c r="K1772" t="s">
        <v>85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45</v>
      </c>
      <c r="E1773" t="s">
        <v>46</v>
      </c>
      <c r="F1773" t="s">
        <v>45</v>
      </c>
      <c r="G1773" t="s">
        <v>47</v>
      </c>
      <c r="H1773" t="s">
        <v>89</v>
      </c>
      <c r="I1773">
        <v>2090</v>
      </c>
      <c r="J1773">
        <v>84.637200000000007</v>
      </c>
      <c r="K1773" t="s">
        <v>45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2090</v>
      </c>
      <c r="J1774">
        <v>-971.15785000000005</v>
      </c>
      <c r="K1774" t="s">
        <v>48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2090</v>
      </c>
      <c r="J1775">
        <v>-90.908600000000007</v>
      </c>
      <c r="K1775" t="s">
        <v>51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24</v>
      </c>
      <c r="E1776" t="s">
        <v>25</v>
      </c>
      <c r="F1776" t="s">
        <v>24</v>
      </c>
      <c r="G1776" t="s">
        <v>26</v>
      </c>
      <c r="H1776" t="s">
        <v>13</v>
      </c>
      <c r="I1776">
        <v>2090</v>
      </c>
      <c r="J1776">
        <v>3.3973</v>
      </c>
      <c r="K1776" t="s">
        <v>24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28</v>
      </c>
      <c r="E1777" t="s">
        <v>25</v>
      </c>
      <c r="F1777" t="s">
        <v>28</v>
      </c>
      <c r="G1777" t="s">
        <v>26</v>
      </c>
      <c r="H1777" t="s">
        <v>12</v>
      </c>
      <c r="I1777">
        <v>2090</v>
      </c>
      <c r="J1777">
        <v>13.458500000000001</v>
      </c>
      <c r="K1777" t="s">
        <v>28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27</v>
      </c>
      <c r="E1778" t="s">
        <v>25</v>
      </c>
      <c r="F1778" t="s">
        <v>27</v>
      </c>
      <c r="G1778" t="s">
        <v>26</v>
      </c>
      <c r="H1778" t="s">
        <v>10</v>
      </c>
      <c r="I1778">
        <v>2090</v>
      </c>
      <c r="J1778">
        <v>5.34945</v>
      </c>
      <c r="K1778" t="s">
        <v>27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2090</v>
      </c>
      <c r="J1779">
        <v>37.342399999999998</v>
      </c>
      <c r="K1779" t="s">
        <v>29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2090</v>
      </c>
      <c r="J1780">
        <v>2.0839499999999997</v>
      </c>
      <c r="K1780" t="s">
        <v>33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2090</v>
      </c>
      <c r="J1781">
        <v>5.7508499999999998</v>
      </c>
      <c r="K1781" t="s">
        <v>35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2090</v>
      </c>
      <c r="J1782">
        <v>459.51684999999998</v>
      </c>
      <c r="K1782" t="s">
        <v>37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52</v>
      </c>
      <c r="E1783" t="s">
        <v>25</v>
      </c>
      <c r="F1783" t="s">
        <v>52</v>
      </c>
      <c r="G1783" t="s">
        <v>71</v>
      </c>
      <c r="H1783" t="s">
        <v>89</v>
      </c>
      <c r="I1783">
        <v>2090</v>
      </c>
      <c r="J1783">
        <v>0</v>
      </c>
      <c r="K1783" t="s">
        <v>52</v>
      </c>
      <c r="L1783">
        <v>94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53</v>
      </c>
      <c r="E1784" t="s">
        <v>25</v>
      </c>
      <c r="F1784" t="s">
        <v>53</v>
      </c>
      <c r="G1784" t="s">
        <v>71</v>
      </c>
      <c r="H1784" t="s">
        <v>89</v>
      </c>
      <c r="I1784">
        <v>2090</v>
      </c>
      <c r="J1784">
        <v>0</v>
      </c>
      <c r="K1784" t="s">
        <v>53</v>
      </c>
      <c r="L1784">
        <v>55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2090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2090</v>
      </c>
      <c r="J1786">
        <v>13.150500000000001</v>
      </c>
      <c r="K1786" t="s">
        <v>85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45</v>
      </c>
      <c r="E1787" t="s">
        <v>46</v>
      </c>
      <c r="F1787" t="s">
        <v>45</v>
      </c>
      <c r="G1787" t="s">
        <v>47</v>
      </c>
      <c r="H1787" t="s">
        <v>89</v>
      </c>
      <c r="I1787">
        <v>2095</v>
      </c>
      <c r="J1787">
        <v>86.268650000000008</v>
      </c>
      <c r="K1787" t="s">
        <v>45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2095</v>
      </c>
      <c r="J1788">
        <v>-978.06510000000003</v>
      </c>
      <c r="K1788" t="s">
        <v>48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2095</v>
      </c>
      <c r="J1789">
        <v>-93.414749999999998</v>
      </c>
      <c r="K1789" t="s">
        <v>51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24</v>
      </c>
      <c r="E1790" t="s">
        <v>25</v>
      </c>
      <c r="F1790" t="s">
        <v>24</v>
      </c>
      <c r="G1790" t="s">
        <v>26</v>
      </c>
      <c r="H1790" t="s">
        <v>13</v>
      </c>
      <c r="I1790">
        <v>2095</v>
      </c>
      <c r="J1790">
        <v>3.1837999999999997</v>
      </c>
      <c r="K1790" t="s">
        <v>24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28</v>
      </c>
      <c r="E1791" t="s">
        <v>25</v>
      </c>
      <c r="F1791" t="s">
        <v>28</v>
      </c>
      <c r="G1791" t="s">
        <v>26</v>
      </c>
      <c r="H1791" t="s">
        <v>12</v>
      </c>
      <c r="I1791">
        <v>2095</v>
      </c>
      <c r="J1791">
        <v>13.428599999999999</v>
      </c>
      <c r="K1791" t="s">
        <v>28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27</v>
      </c>
      <c r="E1792" t="s">
        <v>25</v>
      </c>
      <c r="F1792" t="s">
        <v>27</v>
      </c>
      <c r="G1792" t="s">
        <v>26</v>
      </c>
      <c r="H1792" t="s">
        <v>10</v>
      </c>
      <c r="I1792">
        <v>2095</v>
      </c>
      <c r="J1792">
        <v>5.4516999999999998</v>
      </c>
      <c r="K1792" t="s">
        <v>27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2095</v>
      </c>
      <c r="J1793">
        <v>41.003249999999994</v>
      </c>
      <c r="K1793" t="s">
        <v>29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2095</v>
      </c>
      <c r="J1794">
        <v>1.94255</v>
      </c>
      <c r="K1794" t="s">
        <v>33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2095</v>
      </c>
      <c r="J1795">
        <v>5.3330500000000001</v>
      </c>
      <c r="K1795" t="s">
        <v>35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484.97794999999996</v>
      </c>
      <c r="K1796" t="s">
        <v>37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52</v>
      </c>
      <c r="E1797" t="s">
        <v>25</v>
      </c>
      <c r="F1797" t="s">
        <v>52</v>
      </c>
      <c r="G1797" t="s">
        <v>71</v>
      </c>
      <c r="H1797" t="s">
        <v>89</v>
      </c>
      <c r="I1797">
        <v>2095</v>
      </c>
      <c r="J1797">
        <v>0</v>
      </c>
      <c r="K1797" t="s">
        <v>52</v>
      </c>
      <c r="L1797">
        <v>94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2095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54</v>
      </c>
      <c r="E1799" t="s">
        <v>25</v>
      </c>
      <c r="F1799" t="s">
        <v>54</v>
      </c>
      <c r="G1799" t="s">
        <v>71</v>
      </c>
      <c r="H1799" t="s">
        <v>89</v>
      </c>
      <c r="I1799">
        <v>2095</v>
      </c>
      <c r="J1799">
        <v>0</v>
      </c>
      <c r="K1799" t="s">
        <v>54</v>
      </c>
      <c r="L1799">
        <v>70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2095</v>
      </c>
      <c r="J1800">
        <v>12.87355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45</v>
      </c>
      <c r="E1801" t="s">
        <v>46</v>
      </c>
      <c r="F1801" t="s">
        <v>45</v>
      </c>
      <c r="G1801" t="s">
        <v>47</v>
      </c>
      <c r="H1801" t="s">
        <v>89</v>
      </c>
      <c r="I1801">
        <v>2100</v>
      </c>
      <c r="J1801">
        <v>87.900100000000009</v>
      </c>
      <c r="K1801" t="s">
        <v>45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-984.97244999999998</v>
      </c>
      <c r="K1802" t="s">
        <v>48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2100</v>
      </c>
      <c r="J1803">
        <v>-95.920999999999992</v>
      </c>
      <c r="K1803" t="s">
        <v>51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24</v>
      </c>
      <c r="E1804" t="s">
        <v>25</v>
      </c>
      <c r="F1804" t="s">
        <v>24</v>
      </c>
      <c r="G1804" t="s">
        <v>26</v>
      </c>
      <c r="H1804" t="s">
        <v>13</v>
      </c>
      <c r="I1804">
        <v>2100</v>
      </c>
      <c r="J1804">
        <v>2.9702000000000002</v>
      </c>
      <c r="K1804" t="s">
        <v>24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28</v>
      </c>
      <c r="E1805" t="s">
        <v>25</v>
      </c>
      <c r="F1805" t="s">
        <v>28</v>
      </c>
      <c r="G1805" t="s">
        <v>26</v>
      </c>
      <c r="H1805" t="s">
        <v>12</v>
      </c>
      <c r="I1805">
        <v>2100</v>
      </c>
      <c r="J1805">
        <v>13.39875</v>
      </c>
      <c r="K1805" t="s">
        <v>28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27</v>
      </c>
      <c r="E1806" t="s">
        <v>25</v>
      </c>
      <c r="F1806" t="s">
        <v>27</v>
      </c>
      <c r="G1806" t="s">
        <v>26</v>
      </c>
      <c r="H1806" t="s">
        <v>10</v>
      </c>
      <c r="I1806">
        <v>2100</v>
      </c>
      <c r="J1806">
        <v>5.5539500000000004</v>
      </c>
      <c r="K1806" t="s">
        <v>27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29</v>
      </c>
      <c r="E1807" t="s">
        <v>30</v>
      </c>
      <c r="F1807" t="s">
        <v>29</v>
      </c>
      <c r="G1807" t="s">
        <v>31</v>
      </c>
      <c r="H1807" t="s">
        <v>32</v>
      </c>
      <c r="I1807">
        <v>2100</v>
      </c>
      <c r="J1807">
        <v>44.664050000000003</v>
      </c>
      <c r="K1807" t="s">
        <v>29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2100</v>
      </c>
      <c r="J1808">
        <v>1.8012000000000001</v>
      </c>
      <c r="K1808" t="s">
        <v>33</v>
      </c>
    </row>
    <row r="1809" spans="1:12" x14ac:dyDescent="0.45">
      <c r="A1809" t="s">
        <v>90</v>
      </c>
      <c r="B1809" t="s">
        <v>1</v>
      </c>
      <c r="C1809" t="s">
        <v>84</v>
      </c>
      <c r="D1809" t="s">
        <v>35</v>
      </c>
      <c r="E1809" t="s">
        <v>30</v>
      </c>
      <c r="F1809" t="s">
        <v>35</v>
      </c>
      <c r="G1809" t="s">
        <v>31</v>
      </c>
      <c r="H1809" t="s">
        <v>36</v>
      </c>
      <c r="I1809">
        <v>2100</v>
      </c>
      <c r="J1809">
        <v>4.9152500000000003</v>
      </c>
      <c r="K1809" t="s">
        <v>35</v>
      </c>
    </row>
    <row r="1810" spans="1:12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510.43905000000001</v>
      </c>
      <c r="K1810" t="s">
        <v>37</v>
      </c>
    </row>
    <row r="1811" spans="1:12" x14ac:dyDescent="0.45">
      <c r="A1811" t="s">
        <v>90</v>
      </c>
      <c r="B1811" t="s">
        <v>1</v>
      </c>
      <c r="C1811" t="s">
        <v>84</v>
      </c>
      <c r="D1811" t="s">
        <v>52</v>
      </c>
      <c r="E1811" t="s">
        <v>25</v>
      </c>
      <c r="F1811" t="s">
        <v>52</v>
      </c>
      <c r="G1811" t="s">
        <v>71</v>
      </c>
      <c r="H1811" t="s">
        <v>89</v>
      </c>
      <c r="I1811">
        <v>2100</v>
      </c>
      <c r="J1811">
        <v>0</v>
      </c>
      <c r="K1811" t="s">
        <v>52</v>
      </c>
      <c r="L1811">
        <v>94</v>
      </c>
    </row>
    <row r="1812" spans="1:12" x14ac:dyDescent="0.45">
      <c r="A1812" t="s">
        <v>90</v>
      </c>
      <c r="B1812" t="s">
        <v>1</v>
      </c>
      <c r="C1812" t="s">
        <v>84</v>
      </c>
      <c r="D1812" t="s">
        <v>53</v>
      </c>
      <c r="E1812" t="s">
        <v>25</v>
      </c>
      <c r="F1812" t="s">
        <v>53</v>
      </c>
      <c r="G1812" t="s">
        <v>71</v>
      </c>
      <c r="H1812" t="s">
        <v>89</v>
      </c>
      <c r="I1812">
        <v>2100</v>
      </c>
      <c r="J1812">
        <v>0</v>
      </c>
      <c r="K1812" t="s">
        <v>53</v>
      </c>
      <c r="L1812">
        <v>55</v>
      </c>
    </row>
    <row r="1813" spans="1:12" x14ac:dyDescent="0.45">
      <c r="A1813" t="s">
        <v>90</v>
      </c>
      <c r="B1813" t="s">
        <v>1</v>
      </c>
      <c r="C1813" t="s">
        <v>84</v>
      </c>
      <c r="D1813" t="s">
        <v>54</v>
      </c>
      <c r="E1813" t="s">
        <v>25</v>
      </c>
      <c r="F1813" t="s">
        <v>54</v>
      </c>
      <c r="G1813" t="s">
        <v>71</v>
      </c>
      <c r="H1813" t="s">
        <v>89</v>
      </c>
      <c r="I1813">
        <v>2100</v>
      </c>
      <c r="J1813">
        <v>0</v>
      </c>
      <c r="K1813" t="s">
        <v>54</v>
      </c>
      <c r="L1813">
        <v>70</v>
      </c>
    </row>
    <row r="1814" spans="1:12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12.596599999999999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12.654999999999999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50.764099999999999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87.387500000000003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168.45259999999999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277.5609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2.0451000000000001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2.0756999999999999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2.1764999999999999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2.2477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2.3068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2.3565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2.5503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11.8245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13.077400000000001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13.196999999999999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13.458299999999999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14.0802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14.643000000000001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15.2393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4.6699999999999998E-2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4.24E-2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0.31619999999999998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0.79659999999999997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1.6315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3.0617999999999999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4.7785000000000002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0.1328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0.12770000000000001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5.4699999999999999E-2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5.2699999999999997E-2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0.1017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0.27329999999999999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0.43430000000000002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448.7842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230.9298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69.795000000000002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36.143000000000001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15.547599999999999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4.8786000000000005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0.50760000000000005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241.16400000000002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340.87900000000002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371.58550000000002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438.04750000000001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480.50749999999999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476.839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382.87700000000001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47.194000000000003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41.845999999999997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22.148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1.169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3496.8701999999998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3009.8681999999999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2015.9817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1777.3175000000001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1431.9012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980.6585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366.85219999999998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4762.6923999999999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4344.6644999999999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3515.8908999999999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3314.0185000000001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3011.2728999999999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2546.7710999999999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1919.1588999999999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2.0367000000000002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2.1808999999999998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2.2601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2.3056999999999999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2.3428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2.4138999999999999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2.4895999999999998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11.7905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12.517300000000001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13.0969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13.7766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14.2948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14.661099999999999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14.9033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4.6600000000000003E-2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4.1399999999999999E-2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3.9899999999999998E-2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3.6700000000000003E-2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0.1132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0.42209999999999998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0.87119999999999997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0.13400000000000001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0.13730000000000001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0.13589999999999999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0.25600000000000001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0.24399999999999999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0.2432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0.1201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448.21080000000001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471.66379999999998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430.64219999999995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357.88620000000003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217.76040000000003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240.9502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245.857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240.85599999999999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281.1875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368.27449999999999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409.01300000000003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443.56400000000002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484.58300000000003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539.60500000000002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47.088999999999999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46.823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33.991999999999997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17.423000000000002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3511.7665999999999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3780.5221999999999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3392.7710000000002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3429.3721999999998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2866.6705000000002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2928.8069999999998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3093.7332000000001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4777.4350000000004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5165.2668000000003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4953.5533999999998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5047.5425999999998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4540.8406000000004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4656.5820999999996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4873.9349000000002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43.261200000000002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113.5538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188.36539999999999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295.85820000000001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2.0274999999999999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2.1676000000000002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2.2418999999999998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2.3003999999999998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2.3864000000000001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2.6766000000000001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2.9030999999999998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11.7866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12.5116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13.088900000000001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13.764900000000001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14.372999999999999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15.040900000000001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15.8461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4.6100000000000002E-2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4.0599999999999997E-2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3.8899999999999997E-2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0.31319999999999998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0.80410000000000004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1.6491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3.097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0.13400000000000001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0.13730000000000001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0.13600000000000001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0.2646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0.39639999999999997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0.55089999999999995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0.79769999999999996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448.33299999999997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471.91760000000005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430.97120000000007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44.828600000000002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6.3826000000000001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0.67679999999999996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0.68620000000000003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240.9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281.29749999999996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368.5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438.78449999999998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447.64499999999998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391.8365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303.05550000000005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47.082000000000001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46.830000000000005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33.991999999999997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15.540000000000001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3511.9951999999998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3834.7415000000001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3500.6311000000001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2423.9598999999998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1912.0378000000001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1355.3801000000001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771.41719999999998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4777.7187000000004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5166.0857999999998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4954.5560999999998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3919.0261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3454.6601999999998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2888.5947000000001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2294.7570999999998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12.634600000000001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42.2288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108.2948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206.87100000000001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2.0305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2.1701000000000001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2.2464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2.2654000000000001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2.3170999999999999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2.5537999999999998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2.7471000000000001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11.803900000000001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12.5365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13.1234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13.6639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13.974600000000001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14.073499999999999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14.361800000000001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4.6199999999999998E-2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4.0800000000000003E-2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0.315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0.80740000000000001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1.6549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3.1082999999999998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0.13339999999999999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0.13669999999999999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0.1353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0.18329999999999999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0.2152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0.2606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0.21870000000000001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448.62439999999998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472.39699999999999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431.601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197.30600000000001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64.474599999999995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5.734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0.53580000000000005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241.05950000000001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281.57250000000005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369.02800000000002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409.87650000000002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481.79450000000003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472.24649999999997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396.59399999999999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47.144999999999996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46.893000000000001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34.055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15.029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3499.0915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3792.1082999999999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3429.6617000000001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2838.4924999999998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2181.6372999999999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1575.3838000000001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1027.3495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4765.1273000000001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5150.5231999999996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4937.4916000000003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4415.7775000000001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3833.6682999999998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3272.2867000000001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2767.2750000000001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135.07660000000001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199.6585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245.0718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387.81760000000003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554.16380000000004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2.0655999999999999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2.1213000000000002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2.0327000000000002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1.9692000000000001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1.8892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1.7710999999999999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1.6294999999999999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11.845000000000001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13.0947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11.6676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11.54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10.930300000000001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10.329000000000001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9.4115000000000002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4.9599999999999998E-2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4.7399999999999998E-2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0.2873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0.7097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1.4334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2.6806999999999999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4.8047000000000004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0.13120000000000001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0.1258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0.42899999999999999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0.87960000000000005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1.2337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1.76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2.2824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448.60560000000004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230.73240000000001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60.911999999999999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21.497799999999998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7.2285999999999992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3.1678000000000002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3.6472000000000002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241.08699999999999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340.6755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263.846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152.00899999999999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62.452500000000001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89.369500000000002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131.21350000000001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47.187000000000005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41.845999999999997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11.417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3460.0346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2954.0470999999998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1089.3561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458.01740000000001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-50.011299999999999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-345.88900000000001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-690.66070000000002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4726.8642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4290.0275000000001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2609.8845999999999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1948.6714999999999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1413.0741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1103.4302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745.19169999999997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12.667199999999999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31.706199999999999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71.197800000000001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106.4661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2.0396999999999998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2.0741000000000001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2.1427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2.2610000000000001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2.3451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2.4175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2.4678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11.7982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13.0306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13.152900000000001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14.105700000000001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14.003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14.217000000000001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14.3277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4.6699999999999998E-2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4.24E-2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0.29759999999999998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0.76519999999999999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1.5788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2.9714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4.5190999999999999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0.1336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0.12859999999999999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0.1244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0.11940000000000001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0.11509999999999999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9.3200000000000005E-2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0.1046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448.34239999999994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230.53500000000003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144.70360000000002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42.751199999999997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36.8386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14.015400000000001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1.2407999999999999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240.92749999999998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340.34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366.82799999999997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466.202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505.03749999999997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576.38349999999991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669.12450000000001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47.117000000000004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41.748000000000005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24.626000000000001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4.109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3504.6698000000001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2994.8148000000001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2295.7707999999998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2107.7370000000001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1780.7761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1463.3371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1321.7732000000001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4770.5772999999999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4356.5048999999999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3844.0466999999999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3717.3164000000002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3447.8739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3165.9227999999998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3062.1396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213.22739999999999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244.25659999999999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222.36619999999999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324.7688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295.0283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2.0680999999999998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2.1147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2.4839000000000002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2.8763000000000001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3.2075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3.5516000000000001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3.9205000000000001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11.848699999999999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13.113099999999999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14.072900000000001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15.4162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16.447299999999998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17.144300000000001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17.7699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4.7699999999999999E-2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4.4200000000000003E-2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0.32069999999999999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0.80020000000000002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1.6148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3.0192999999999999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5.0453000000000001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0.1328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0.1278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0.21310000000000001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0.437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0.82379999999999998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1.3889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1.5147999999999999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448.66199999999998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230.79819999999998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29.967199999999998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18.123200000000001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1.6450000000000002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3.1678000000000002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1.9740000000000002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241.11449999999999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340.74700000000001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186.35650000000001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30.772500000000001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16.0105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15.345000000000001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4.8784999999999998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47.194000000000003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41.838999999999999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5.2640000000000002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3496.8627000000001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3010.7838000000002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1033.8266000000001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251.49430000000001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-192.68780000000001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-630.91039999999998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-945.87819999999999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4762.5577000000003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4345.2551000000003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2560.8157000000001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1772.7556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1331.9151999999999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871.11369999999999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534.24360000000001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2.2551000000000001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28.100100000000001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100.4532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286.07389999999998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443.42410000000001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492.4633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475.44540000000001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435.67160000000001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387.61610000000002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343.8066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299.99680000000001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223.6148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147.2329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102.78019999999999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58.327500000000001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53.179400000000001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48.031300000000002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3.1556000000000002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3.2275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3.6009000000000002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4.1048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4.4416000000000002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4.5331000000000001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4.6062000000000003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4.3338999999999999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3.8309000000000002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3.6735000000000002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3.5160999999999998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3.3772000000000002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3.2383999999999999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3.0954999999999999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2.9527000000000001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2.8127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2.6728000000000001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10.713200000000001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10.6761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11.010899999999999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11.6373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12.2278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12.3132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12.5669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11.9274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11.731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11.6759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11.620699999999999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11.811400000000001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12.0021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12.2301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12.458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12.523999999999999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12.5899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0.27579999999999999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0.62529999999999997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1.4742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2.5908000000000002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3.5348000000000002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3.9154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4.1315999999999997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4.3608000000000002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4.5091000000000001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4.6257999999999999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4.7424999999999997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4.8677999999999999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4.9930000000000003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5.1054000000000004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5.2178000000000004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5.3250999999999999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5.4324000000000003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0.1113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0.46550000000000002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0.8367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1.1998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1.6485000000000001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2.3511000000000002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3.6972999999999998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5.5067000000000004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8.4076000000000004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9.5820000000000007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10.756500000000001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11.9367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13.117000000000001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13.388199999999999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13.6594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13.0198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12.3803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3.0137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1.2278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6.4000000000000003E-3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1.1000000000000001E-3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8.9999999999999998E-4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5.0000000000000001E-4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7.1176000000000004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7.1668000000000003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5.4526000000000003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2.8108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1.4540999999999999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0.16370000000000001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0.1512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0.1326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0.1026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6.3100000000000003E-2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2.3699999999999999E-2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1.2E-2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2.9999999999999997E-4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1E-4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0.128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7.9000000000000001E-2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2.7E-2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81.473500000000001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96.573499999999996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94.260900000000007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85.382199999999997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89.889300000000006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98.190899999999999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117.0594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121.16330000000001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186.35249999999999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220.37299999999999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254.39340000000001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241.624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228.8546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250.29159999999999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271.7285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295.00130000000001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318.274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4048.3285999999998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3259.5691000000002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2282.5079000000001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1244.7788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377.73570000000001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-218.4418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-530.18820000000005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-692.53560000000004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-875.21349999999995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-910.93470000000002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-946.65589999999997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-883.05399999999997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-819.45209999999997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-818.81029999999998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-818.16859999999997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-820.87570000000005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-823.58299999999997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4763.2656999999999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3964.8647999999998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3006.3262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1999.2280000000001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1160.9712999999999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590.65020000000004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296.28399999999999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133.45050000000001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-59.344999999999999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-96.186099999999996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-133.02709999999999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-68.148600000000002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-3.2700999999999998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0.99160000000000004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5.2531999999999996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8.4662000000000006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11.6792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2.2551000000000001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21.053100000000001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40.809600000000003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41.465000000000003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41.194400000000002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40.492899999999999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39.027000000000001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36.363599999999998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31.969799999999999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23.806999999999999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15.6442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7.9139999999999997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0.18360000000000001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9.1800000000000007E-2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3.1556000000000002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3.1738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3.6254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3.9076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4.0278999999999998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4.0853000000000002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4.1036999999999999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3.8399000000000001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3.5752000000000002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3.4529999999999998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3.3308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3.1831999999999998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3.0356000000000001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2.8894000000000002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2.7431999999999999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2.6126999999999998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2.4822000000000002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10.713200000000001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10.604900000000001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11.2433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11.615399999999999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11.486800000000001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11.188800000000001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11.0608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10.532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10.552199999999999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10.4856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10.419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10.6325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10.8459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11.0045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11.163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11.2563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11.349600000000001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0.27579999999999999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0.68559999999999999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1.4006000000000001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2.2530999999999999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2.8961000000000001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3.1863000000000001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3.39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3.5522999999999998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3.7006000000000001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3.7942999999999998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3.8881000000000001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3.9889000000000001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4.0895999999999999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4.1730999999999998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4.2565999999999997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4.3396999999999997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4.4227999999999996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0.1113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0.49349999999999999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0.84870000000000001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1.1191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1.2839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1.3873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1.6053999999999999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1.583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2.2930000000000001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3.4401000000000002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4.5872000000000002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6.56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8.5327000000000002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10.3337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12.1347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12.5724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13.0101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3.0137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1.2690999999999999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0.96730000000000005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0.73819999999999997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8.6E-3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6.3E-3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4.1999999999999997E-3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1.8599999999999998E-2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8.4199999999999997E-2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0.24729999999999999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0.41049999999999998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0.68300000000000005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0.9556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1.2487999999999999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1.5419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1.6174999999999999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1.6930000000000001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7.1176000000000004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7.3632999999999997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6.7834000000000003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5.4009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4.0266999999999999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2.1071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1.2375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0.55900000000000005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0.2223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0.2334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0.24460000000000001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0.27600000000000002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0.30740000000000001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0.33479999999999999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0.36220000000000002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0.37259999999999999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0.38290000000000002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0.128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7.9000000000000001E-2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2.7E-2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81.473500000000001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96.311400000000006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96.558400000000006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79.232799999999997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100.2007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103.40519999999999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111.4328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118.66589999999999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178.75069999999999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221.33199999999999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263.91329999999999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262.10250000000002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260.29169999999999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258.57870000000003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256.86559999999997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252.48349999999999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248.10149999999999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4048.3285999999998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3334.7948999999999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2905.3874000000001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2357.2347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1742.0451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1328.7973999999999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1129.4963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910.37159999999994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727.51120000000003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614.00630000000001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500.50130000000001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416.54590000000002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332.59059999999999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290.77379999999999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248.9571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207.38939999999999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165.82159999999999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4763.2656999999999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4037.5998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3619.9416000000001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3085.2979999999998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2484.6444999999999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2087.1143000000002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1903.6488999999999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1686.1294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1504.3405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1391.3487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1278.3569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1194.5752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1110.7936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1068.7165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1026.6394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985.9529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945.26639999999998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2.2551000000000001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21.053100000000001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40.809600000000003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57.687399999999997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388.65929999999997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610.79560000000004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705.61490000000003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718.46569999999997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694.8836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659.37030000000004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623.8569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528.74929999999995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433.64170000000001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292.56360000000001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151.4854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120.7432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90.000900000000001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3.1556000000000002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3.1738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3.6254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4.1056999999999997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5.0171999999999999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5.0206999999999997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4.8174000000000001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4.4983000000000004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4.0259999999999998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3.8780999999999999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3.7303000000000002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3.6051000000000002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3.48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3.2959000000000001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3.1116999999999999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2.9670000000000001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2.8222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10.713200000000001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10.604900000000001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11.2433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11.725300000000001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11.907299999999999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13.149699999999999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13.5335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12.540100000000001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12.401300000000001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12.325200000000001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12.249000000000001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12.4964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12.7438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12.73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12.7163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12.7318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12.747299999999999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0.27579999999999999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0.68559999999999999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1.4006000000000001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2.3220999999999998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2.9609999999999999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3.2890000000000001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3.5386000000000002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3.7006999999999999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3.8540999999999999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3.9792000000000001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4.1043000000000003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4.2180999999999997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4.3319000000000001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4.4263000000000003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4.5206999999999997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4.6291000000000002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4.7374999999999998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0.1113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0.49349999999999999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0.84870000000000001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1.1763999999999999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2.0032000000000001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3.9643000000000002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7.0824999999999996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9.9954000000000001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13.1219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13.6349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14.148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14.307399999999999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14.466799999999999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14.893800000000001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15.3209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15.076000000000001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14.831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3.0137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1.2690999999999999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0.96730000000000005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0.61990000000000001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2.0000000000000001E-4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7.1176000000000004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7.3632999999999997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6.7834000000000003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4.8174999999999999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1.7997000000000001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4.7800000000000002E-2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3.4099999999999998E-2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2.06E-2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8.6999999999999994E-3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4.4000000000000003E-3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0.128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7.9000000000000001E-2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2.7E-2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81.473500000000001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96.311400000000006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96.558400000000006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53.237900000000003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108.46469999999999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136.08150000000001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129.5942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136.7749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212.02629999999999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291.80259999999998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371.5788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385.97399999999999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400.36919999999998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389.52519999999998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378.68119999999999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387.07330000000002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395.46550000000002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4048.3285999999998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3334.7948999999999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2905.3874000000001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2060.4978000000001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99.885900000000007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-897.66560000000004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-1262.4371000000001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-1338.6929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-1485.8765000000001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-1494.6805999999999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-1503.4848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-1415.4069999999999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-1327.3291999999999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-1177.8423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-1028.3553999999999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-996.91800000000001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-965.48069999999996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4763.2656999999999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4037.5998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3619.9416000000001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2830.5655999999999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930.76199999999994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-20.28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-359.28539999999998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-438.40039999999999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-601.16600000000005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-614.41690000000006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-627.66780000000006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-539.27070000000003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-450.87360000000001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-300.791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-150.70840000000001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-115.7754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-80.842399999999998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2.2551000000000001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21.053100000000001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40.809600000000003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52.921500000000002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209.2353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302.51139999999998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300.52109999999999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276.298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240.41149999999999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216.82579999999999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193.24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157.18680000000001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121.13379999999999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69.649799999999999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18.165900000000001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9.0830000000000002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3.1556000000000002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3.1738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3.6254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3.8298000000000001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4.2111000000000001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4.2967000000000004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4.2416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4.2378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3.8146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3.6528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3.4910000000000001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3.3845999999999998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3.2780999999999998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3.1179999999999999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2.9580000000000002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2.8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2.6419999999999999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10.713200000000001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10.604900000000001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11.2433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12.032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12.0846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12.162599999999999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12.1942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11.921900000000001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11.801500000000001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11.6639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11.526400000000001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11.7818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12.0372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12.151999999999999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12.2668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12.3156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12.3644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0.27579999999999999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0.68559999999999999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1.4006000000000001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2.3288000000000002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2.9820000000000002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3.2942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3.4872000000000001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3.6671999999999998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3.7864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3.9003999999999999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4.0143000000000004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4.1254999999999997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4.2366999999999999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4.3421000000000003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4.4474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4.5540000000000003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4.6605999999999996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0.1113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0.49349999999999999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0.84870000000000001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1.1186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1.786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3.5697999999999999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5.7923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7.6193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10.498200000000001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11.420999999999999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12.3438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13.0787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13.813700000000001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14.4977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15.181699999999999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14.7493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14.316800000000001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3.0137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1.2690999999999999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0.96730000000000005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0.64729999999999999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1.2999999999999999E-3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6.9999999999999999E-4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2.9999999999999997E-4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7.1176000000000004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7.3632999999999997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6.7834000000000003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5.1558999999999999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2.1328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0.37240000000000001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0.2298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0.21079999999999999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0.1789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0.1298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8.0799999999999997E-2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4.4200000000000003E-2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7.7000000000000002E-3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3.8E-3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0.128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7.9000000000000001E-2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2.7E-2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81.473500000000001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96.311400000000006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96.558400000000006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48.980699999999999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101.7205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109.0718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126.3901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131.3552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185.55539999999999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215.61949999999999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245.68369999999999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267.98480000000001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290.286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294.34399999999999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298.40199999999999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317.29230000000001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336.18259999999998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4048.3285999999998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3334.7948999999999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2905.3874000000001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2113.3476999999998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551.88720000000001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-215.142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-551.13149999999996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-726.01170000000002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-872.52369999999996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-908.3723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-944.221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-915.74980000000005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-887.27859999999998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-852.72370000000001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-818.16880000000003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-818.7242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-819.2799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4763.2656999999999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4037.5998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3619.9416000000001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2873.3063000000002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1355.5264999999999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646.09450000000004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350.4717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184.71180000000001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27.312100000000001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-16.201799999999999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-59.715699999999998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-34.966999999999999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-10.218299999999999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25.999300000000002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62.216999999999999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69.039299999999997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75.861500000000007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2.2551000000000001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28.1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221.06950000000001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353.19099999999997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439.35070000000002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505.91520000000003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557.87879999999996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604.57410000000004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655.09649999999999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630.0607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605.02499999999998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523.49450000000002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441.96390000000002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363.91719999999998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285.87040000000002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225.63659999999999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165.4025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3.1556000000000002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2.423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2.4377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2.4942000000000002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2.4342000000000001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2.3919999999999999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2.3412000000000002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2.1783999999999999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1.9782999999999999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1.8858999999999999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1.7936000000000001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1.7543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1.7150000000000001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1.6776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1.6403000000000001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1.5712999999999999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1.5022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10.713200000000001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10.8813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10.195399999999999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11.102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11.2204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11.5562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11.7692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10.7468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10.718299999999999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10.377800000000001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10.0374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10.3315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10.6257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10.825900000000001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11.0261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11.0518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11.077500000000001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0.27579999999999999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0.59050000000000002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1.3048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2.2277999999999998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2.8921999999999999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3.0499000000000001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2.7437999999999998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3.3144999999999998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3.4575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3.5255000000000001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3.5935999999999999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3.6932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3.7928000000000002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3.8881000000000001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3.9834000000000001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4.0861999999999998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4.1890999999999998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0.1113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0.35909999999999997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0.68340000000000001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1.1424000000000001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1.5641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1.8186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1.9160999999999999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1.8786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1.9067000000000001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2.052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2.1972999999999998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2.694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3.1907000000000001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3.6949999999999998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4.1992000000000003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4.5625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4.9257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3.0137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1.0787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6.1999999999999998E-3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8.9999999999999998E-4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6.9999999999999999E-4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7.1176000000000004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6.8224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3.4308000000000001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1.3211999999999999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2.1100000000000001E-2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1.66E-2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1.3599999999999999E-2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9.2999999999999992E-3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5.5999999999999999E-3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2.8E-3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0.128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7.9000000000000001E-2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2.7E-2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81.473500000000001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65.838899999999995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77.018199999999993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83.183899999999994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95.883799999999994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85.020499999999998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111.76990000000001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124.9843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180.66079999999999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218.3809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256.10109999999997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257.16730000000001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258.23349999999999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269.9864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281.73919999999998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312.28019999999998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342.8211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4048.3285999999998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3018.4337999999998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1302.4432999999999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250.5283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-544.79409999999996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-876.39790000000005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-1100.0881999999999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-1231.4867999999999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-1336.7502999999999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-1330.5050000000001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-1324.2597000000001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-1276.0588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-1227.8579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-1153.1159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-1078.374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-1022.6835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-966.9932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4763.2656999999999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3727.67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2039.7387000000001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1019.1079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251.16300000000001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-56.634300000000003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-263.19420000000002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-394.67430000000002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-509.04289999999997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-505.89769999999999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-502.75240000000002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-456.03640000000001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-409.32029999999997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-335.27269999999999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-261.2251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-206.43709999999999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-151.64920000000001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2.2551000000000001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28.1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145.85720000000001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393.3596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605.202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633.35540000000003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596.40470000000005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575.27970000000005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515.36419999999998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456.7919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398.21949999999998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285.22699999999998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172.23439999999999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91.419399999999996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10.6044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5.3022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3.1556000000000002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3.2077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3.5044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4.2230999999999996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4.5331000000000001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4.8137999999999996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4.6917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4.2747000000000002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3.6993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3.5617999999999999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3.4243000000000001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3.3142999999999998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3.2042999999999999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3.0118999999999998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2.8193999999999999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2.7035999999999998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2.5878999999999999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10.713200000000001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10.6496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10.723100000000001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11.812799999999999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12.393000000000001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12.8635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12.553800000000001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11.6229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11.2629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11.3337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11.404500000000001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11.6144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11.824299999999999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11.8119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11.7995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11.931900000000001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12.064299999999999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0.27579999999999999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0.69289999999999996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1.4079999999999999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2.2862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2.9540999999999999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3.2541000000000002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3.4489999999999998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3.6122000000000001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3.7519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3.8553999999999999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3.9588000000000001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4.0617999999999999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4.1647999999999996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4.2621000000000002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4.3593999999999999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4.4538000000000002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4.5483000000000002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0.1113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0.46410000000000001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0.86939999999999995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1.4767999999999999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2.3607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3.8784000000000001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6.1109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8.3934999999999995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11.3127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12.001300000000001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12.6898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13.6609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14.632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15.477600000000001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16.3232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15.570499999999999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14.8179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3.0137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1.1759999999999999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6.1999999999999998E-3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1E-3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8.0000000000000004E-4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5.0000000000000001E-4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2.0000000000000001E-4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1E-4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7.1176000000000004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7.1628999999999996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4.4108999999999998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2.2948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0.65629999999999999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0.1027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9.2399999999999996E-2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7.6600000000000001E-2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5.2699999999999997E-2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2.92E-2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5.7999999999999996E-3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2.8999999999999998E-3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0.128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7.9000000000000001E-2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2.7E-2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81.473500000000001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93.567599999999999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90.874300000000005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93.824100000000001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101.2522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108.2436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124.8801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132.96279999999999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189.9468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212.34389999999999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234.74109999999999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255.88030000000001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277.01940000000002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262.63350000000003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248.24760000000001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272.63339999999999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297.01909999999998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4048.3285999999998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3207.5850999999998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1992.3222000000001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901.33029999999997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32.2273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-485.08629999999999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-782.2921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-916.96519999999998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-990.04539999999997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-959.98009999999999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-929.91480000000001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-874.12189999999998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-818.32899999999995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-738.82079999999996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-659.31259999999997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-655.93169999999998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-652.55089999999996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4763.2656999999999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3912.8503000000001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2713.7487000000001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1640.2961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788.50400000000002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288.47430000000003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8.0991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-121.24639999999999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-194.31800000000001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-165.44919999999999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-136.58029999999999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-83.167199999999994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-29.754100000000001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46.2408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122.23569999999999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126.26430000000001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130.2929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2.2551000000000001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28.1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385.47949999999997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703.99639999999999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805.50099999999998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787.38019999999995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734.1662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708.67780000000005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647.43240000000003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554.51660000000004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461.60059999999999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319.31299999999999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177.02539999999999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134.59729999999999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92.1691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90.004000000000005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87.838999999999999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3.1556000000000002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3.2054999999999998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3.698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4.0991999999999997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4.8236999999999997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5.0423999999999998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4.7401999999999997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4.4603999999999999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4.0415999999999999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3.9527999999999999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3.8639000000000001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3.72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3.5760999999999998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3.4586000000000001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3.3410000000000002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3.1335999999999999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2.9260999999999999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10.713200000000001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10.58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10.8797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11.9217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13.2239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13.650399999999999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13.193899999999999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12.3698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12.5032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12.462300000000001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12.4215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12.5777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12.7339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13.0029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13.271800000000001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13.2462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13.220599999999999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0.27579999999999999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0.64270000000000005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1.5071000000000001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2.6663999999999999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3.6141000000000001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4.0258000000000003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4.1997999999999998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4.3716999999999997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4.5423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4.6624999999999996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4.7826000000000004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4.915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5.0473999999999997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5.1653000000000002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5.2831999999999999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5.3830999999999998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5.4829999999999997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0.1113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0.43330000000000002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1.0515000000000001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2.2999999999999998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3.8794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5.5975000000000001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7.4884000000000004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8.9486000000000008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10.570600000000001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11.0449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11.5192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12.302300000000001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13.0855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13.0642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13.042899999999999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12.7928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12.5427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3.0137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1.0840000000000001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6.0000000000000001E-3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8.0000000000000004E-4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5.9999999999999995E-4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4.0000000000000002E-4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2.0000000000000001E-4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7.1176000000000004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6.9157000000000002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3.4845000000000002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0.46810000000000002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1.32E-2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1.01E-2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6.7000000000000002E-3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3.3999999999999998E-3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1.4E-3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6.9999999999999999E-4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0.128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7.9000000000000001E-2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2.7E-2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81.473500000000001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92.322199999999995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89.651799999999994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93.965000000000003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111.3095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104.8934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119.3544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129.11080000000001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224.61850000000001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295.3689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366.11930000000001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391.517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416.91469999999998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435.26490000000001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453.61500000000001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479.42099999999999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505.2269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4048.3285999999998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3114.9712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1506.0208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114.702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-841.42989999999998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-1191.7438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-1409.6457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-1517.1142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-1534.9870000000001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-1456.9828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-1378.9784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-1225.1996999999999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-1071.4212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-1026.4987000000001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-981.57650000000001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-983.43650000000002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-985.29669999999999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4763.2656999999999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3824.4766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2244.8557000000001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893.57849999999996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-16.178899999999999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-317.61419999999998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-497.28579999999999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-595.18709999999999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-626.22439999999995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-556.75630000000001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-487.28809999999999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-338.96600000000001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-190.64400000000001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-144.5282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-98.412499999999994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-96.526700000000005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-94.641000000000005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2.2551000000000001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28.1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97.329899999999995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289.81900000000002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447.59129999999999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502.39030000000002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488.0136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443.93630000000002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394.9418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349.71949999999998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304.49700000000001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224.3656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144.23410000000001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101.2248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58.215499999999999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52.489400000000003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46.763300000000001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3.1556000000000002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3.2082000000000002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3.6324000000000001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4.0289000000000001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4.4701000000000004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4.5675999999999997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4.6746999999999996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4.4325999999999999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3.9369999999999998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3.7801999999999998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3.6234999999999999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3.4752000000000001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3.327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3.1922999999999999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3.0575999999999999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2.9108000000000001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2.7641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10.713200000000001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10.665900000000001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11.0945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11.6045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12.276999999999999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12.404999999999999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12.7067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12.1776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12.056800000000001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12.0571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12.0573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12.219900000000001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12.382400000000001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12.6663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12.950100000000001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12.9964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13.0426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0.27579999999999999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0.62309999999999999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1.4748000000000001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2.6038000000000001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3.5838000000000001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3.9986999999999999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4.2534000000000001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4.4417999999999997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4.6116000000000001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4.8682999999999996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4.9931999999999999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5.1180000000000003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5.2324999999999999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5.3468999999999998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5.4661999999999997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5.5856000000000003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0.1113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0.46789999999999998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0.83589999999999998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1.1597999999999999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1.6027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2.3447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3.7909999999999999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5.7572000000000001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8.9412000000000003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10.1418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11.3424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12.5662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13.789899999999999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13.9216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14.0533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13.4284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12.8035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3.0137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1.1516999999999999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6.4999999999999997E-3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1.1999999999999999E-3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8.9999999999999998E-4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5.9999999999999995E-4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2.9999999999999997E-4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7.1176000000000004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7.2529000000000003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5.7461000000000002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2.7808999999999999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1.5137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0.1691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0.1565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0.13769999999999999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0.1072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6.6600000000000006E-2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2.5899999999999999E-2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1.3100000000000001E-2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2.9999999999999997E-4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2.0000000000000001E-4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0.128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7.9000000000000001E-2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2.7E-2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81.473500000000001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99.7196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94.413300000000007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84.942700000000002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90.251999999999995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98.935599999999994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116.5057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123.5514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190.44829999999999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220.12690000000001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249.80549999999999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246.91380000000001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244.02209999999999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262.81990000000002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281.61779999999999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302.11410000000001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322.61040000000003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4048.3285999999998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3258.7037999999998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2336.9049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1311.2606000000001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444.01159999999999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-176.5592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-510.48480000000001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-724.49659999999994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-895.74040000000002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-925.58309999999994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-955.42589999999996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-897.93499999999995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-840.44410000000005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-829.30619999999999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-818.16830000000004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-820.2903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-822.41240000000005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4763.2656999999999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3963.63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3056.8083000000001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2052.2129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1202.8585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601.08209999999997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284.27550000000002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76.995500000000007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-93.953699999999998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-121.1923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-148.43090000000001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-88.682000000000002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-28.9331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-14.199400000000001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0.53420000000000001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4.4687000000000001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8.4032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2.2551000000000001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21.063199999999998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41.337899999999998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42.371000000000002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42.0989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41.391599999999997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39.910200000000003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37.214300000000001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32.761699999999998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24.4756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16.189699999999998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8.2341999999999995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0.27879999999999999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0.1394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3.1556000000000002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3.1581999999999999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3.6297000000000001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3.9079000000000002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4.048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4.1330999999999998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4.1852999999999998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3.9451999999999998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3.7256999999999998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3.6139999999999999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3.5023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3.3593000000000002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3.2164000000000001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3.0588000000000002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2.9011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2.7763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2.6516000000000002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10.713200000000001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10.5779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11.257300000000001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11.605600000000001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11.5303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11.291399999999999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11.232200000000001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10.8963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10.915100000000001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10.9338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11.1708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11.4078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11.6073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11.806800000000001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11.9499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12.0931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0.27579999999999999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0.68569999999999998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1.403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2.2581000000000002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2.9117000000000002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3.2229999999999999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3.4546999999999999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3.6402999999999999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3.8311000000000002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3.9531999999999998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4.0754000000000001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4.1871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4.2988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4.399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4.4992000000000001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4.5998000000000001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4.7004000000000001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0.1113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0.49580000000000002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0.84989999999999999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1.1233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1.3006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1.4245000000000001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1.6625000000000001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1.6414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2.5390000000000001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3.8624999999999998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5.1859999999999999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7.3621999999999996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9.5385000000000009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11.331099999999999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13.123699999999999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13.5609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13.997999999999999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3.0137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1.1867000000000001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0.96409999999999996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0.73619999999999997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8.1600000000000006E-2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7.7999999999999996E-3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5.7000000000000002E-3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2.3099999999999999E-2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9.9299999999999999E-2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0.28210000000000002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0.46489999999999998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0.76429999999999998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1.0638000000000001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1.3602000000000001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1.6566000000000001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1.7270000000000001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1.7975000000000001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7.1176000000000004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7.3954000000000004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6.8179999999999996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5.4333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4.0586000000000002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2.2517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1.3666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0.57550000000000001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0.23449999999999999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0.25009999999999999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0.26569999999999999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0.30120000000000002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0.3367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0.36470000000000002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0.39279999999999998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0.39579999999999999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0.39879999999999999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0.128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7.9000000000000001E-2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2.7E-2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81.473500000000001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96.601799999999997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96.683800000000005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78.991699999999994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100.5829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104.092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112.90179999999999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121.5003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183.12909999999999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224.38040000000001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265.63170000000002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265.5197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265.40769999999998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259.57589999999999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253.744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255.2809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256.81790000000001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4048.3285999999998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3310.0953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2906.741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2366.2359000000001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1774.5207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1390.1529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1199.7173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983.19569999999999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803.74260000000004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693.50300000000004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583.26350000000002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492.53410000000002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401.80470000000003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337.02839999999998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272.25209999999998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231.54249999999999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190.83279999999999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4763.2656999999999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4016.0133000000001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3624.1966000000002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3096.4573999999998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2517.9778999999999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2147.5409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1971.5205000000001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1756.5829000000001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1578.8127999999999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1469.1473000000001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1359.4819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1268.9573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1178.4328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1113.146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1047.8593000000001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1007.97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968.08079999999995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2.2551000000000001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21.063199999999998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41.337899999999998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58.418399999999998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386.44029999999998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608.36900000000003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695.71630000000005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703.88829999999996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680.53430000000003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644.63030000000003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608.72630000000004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515.38340000000005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422.04039999999998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283.5487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145.05690000000001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109.1754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73.293999999999997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3.1556000000000002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3.1581999999999999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3.6297000000000001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4.1010999999999997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5.0372000000000003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5.0583999999999998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4.9135999999999997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4.5960000000000001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4.1379999999999999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3.9956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3.8532000000000002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3.7269000000000001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3.6006999999999998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3.4098999999999999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3.2191999999999998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3.0602999999999998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2.9014000000000002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10.713200000000001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10.5779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11.257300000000001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11.731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11.960100000000001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13.3025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13.733700000000001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12.7659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12.745200000000001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12.719799999999999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12.6945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12.946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13.1976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13.166399999999999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13.135300000000001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13.138500000000001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13.1416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0.27579999999999999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0.68569999999999998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1.403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2.3252000000000002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2.9824000000000002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3.3451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3.6177000000000001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3.7841999999999998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3.9493999999999998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4.0858999999999996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4.2222999999999997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4.3456000000000001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4.4687999999999999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4.5654000000000003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4.6619000000000002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4.7723000000000004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4.8826999999999998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0.1113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0.49580000000000002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0.84989999999999999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1.1815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2.0112000000000001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4.0194999999999999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7.3164999999999996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10.471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13.8277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14.343400000000001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14.8591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14.9732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15.087300000000001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15.5464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16.005400000000002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15.882199999999999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15.758900000000001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3.0137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1.1867000000000001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0.96409999999999996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0.621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1.1999999999999999E-3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7.1176000000000004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7.3954000000000004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6.8179999999999996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4.8482000000000003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1.8149999999999999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4.8599999999999997E-2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3.4799999999999998E-2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2.1000000000000001E-2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8.8999999999999999E-3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4.4999999999999997E-3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0.128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7.9000000000000001E-2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2.7E-2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81.473500000000001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96.601799999999997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96.683800000000005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54.913800000000002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108.9151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134.39920000000001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129.84350000000001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138.8562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217.1711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297.03019999999998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376.88929999999999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393.67790000000002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410.46660000000003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398.61270000000002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386.75880000000001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390.4624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394.166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4048.3285999999998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3310.0953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2906.741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2066.3503000000001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98.439400000000006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-905.65890000000002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-1260.6741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-1330.1654000000001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-1468.9301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-1472.0309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-1475.1315999999999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-1395.3938000000001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-1315.6560999999999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-1170.6321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-1025.6080999999999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-988.18169999999998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-950.75530000000003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4763.2656999999999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4016.0133000000001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3624.1966000000002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2848.5650999999998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952.72450000000003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3.1193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-328.51069999999999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-412.66809999999998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-579.26779999999997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-590.36680000000001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-601.46579999999994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-520.3981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-439.3304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-291.28829999999999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-143.24619999999999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-101.6698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-60.093400000000003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2.2551000000000001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21.063199999999998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41.337899999999998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52.480800000000002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156.0111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222.65299999999999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220.80009999999999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216.76840000000001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189.511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168.67250000000001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147.8339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118.97239999999999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90.110699999999994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54.258299999999998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18.405799999999999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11.9285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5.4509999999999996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3.1556000000000002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3.1581999999999999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3.6297000000000001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3.9077000000000002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4.0502000000000002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4.3348000000000004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4.2953999999999999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4.3032000000000004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3.8929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3.7713000000000001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3.6496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3.5224000000000002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3.3953000000000002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3.1842999999999999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2.9733999999999998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2.8323999999999998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2.6913999999999998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10.713200000000001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10.5779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11.257300000000001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11.890599999999999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11.876899999999999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12.180199999999999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12.3019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12.082100000000001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11.923500000000001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11.853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11.7826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12.124000000000001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12.465400000000001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12.4178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12.3703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12.4857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12.6012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0.27579999999999999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0.68569999999999998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1.403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2.3090999999999999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2.9710999999999999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3.2995999999999999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3.532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3.7275999999999998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3.8959999999999999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4.0057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4.1153000000000004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4.2313999999999998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4.3474000000000004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4.4512999999999998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4.5552999999999999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4.66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4.7647000000000004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0.1113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0.49580000000000002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0.84989999999999999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1.0855999999999999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1.4592000000000001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2.3666999999999998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4.2647000000000004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6.0419999999999998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9.2886000000000006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10.5794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11.870100000000001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12.7578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13.6454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14.9389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16.232500000000002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15.793799999999999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15.3551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3.0137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1.1867000000000001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0.96409999999999996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0.65710000000000002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1.6999999999999999E-3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8.9999999999999998E-4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4.0000000000000002E-4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2.0000000000000001E-4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7.1176000000000004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7.3954000000000004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6.8179999999999996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5.2759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2.2071999999999998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0.42770000000000002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0.26679999999999998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0.24829999999999999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0.21629999999999999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0.16600000000000001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0.1157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7.0000000000000007E-2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2.4199999999999999E-2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1.2200000000000001E-2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0.128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7.9000000000000001E-2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2.7E-2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81.473500000000001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96.601799999999997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96.683800000000005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61.631300000000003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96.868600000000001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109.4522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126.74809999999999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128.1756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189.5943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226.75970000000001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263.92520000000002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275.95740000000001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287.98970000000003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277.85739999999998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267.72500000000002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286.86259999999999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306.00009999999997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4048.3285999999998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3310.0953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2906.741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2194.0038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923.76949999999999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193.941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-170.9812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-365.9042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-568.56359999999995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-685.73310000000004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-802.90250000000003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-803.21349999999995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-803.52459999999996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-783.75239999999997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-763.98019999999997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-759.20759999999996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-754.4348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4763.2656999999999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4016.0133000000001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3624.1966000000002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2931.857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1677.1142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962.36760000000004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615.59580000000005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428.39499999999998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241.0385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136.36529999999999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31.6922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43.886200000000002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56.080100000000002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79.936999999999998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103.7938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107.78019999999999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111.7666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2.2551000000000001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28.1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222.18709999999999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359.23910000000001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453.65429999999998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518.30589999999995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583.39800000000002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633.14580000000001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686.60029999999995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651.89639999999997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617.19259999999997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535.77210000000002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454.35160000000002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385.8732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317.3947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273.18740000000003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228.98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3.1556000000000002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2.4068999999999998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2.4481000000000002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2.5032999999999999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2.4790999999999999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2.4420999999999999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2.3822000000000001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2.2241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2.0213999999999999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1.9329000000000001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1.8444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1.7986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1.7527999999999999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1.7170000000000001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1.6812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1.6240000000000001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1.5668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10.713200000000001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10.853400000000001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10.2234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11.127000000000001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11.372400000000001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11.764099999999999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12.0474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11.0679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11.1067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10.730499999999999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10.3543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10.6343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10.914199999999999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11.0967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11.2791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11.3492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11.4192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0.27579999999999999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0.59219999999999995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1.3099000000000001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2.2401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2.9199000000000002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3.0966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2.7957000000000001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3.3832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3.5375000000000001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3.6069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3.6762999999999999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3.7768999999999999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3.8776000000000002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3.9706000000000001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4.0636999999999999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4.1673999999999998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4.2709999999999999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0.1113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0.36149999999999999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0.69179999999999997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1.1755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1.6427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1.9278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2.0628000000000002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2.0626000000000002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2.1608999999999998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2.3683999999999998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2.5758000000000001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2.9552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3.3346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3.6743000000000001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4.0138999999999996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4.0907999999999998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4.1677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3.0137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1.0017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6.1999999999999998E-3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8.9999999999999998E-4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6.9999999999999999E-4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7.1176000000000004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6.8620999999999999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3.4638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1.2662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1.5800000000000002E-2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1.2E-2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9.5999999999999992E-3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6.3E-3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3.2000000000000002E-3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1.6000000000000001E-3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0.128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7.9000000000000001E-2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2.7E-2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81.473500000000001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66.071299999999994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77.290700000000001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83.291899999999998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97.4709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86.171800000000005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112.0051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126.84829999999999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182.8852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231.55410000000001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280.22289999999998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269.89879999999999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259.57470000000001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275.77269999999999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291.97070000000002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328.72519999999997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365.47969999999998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4048.3285999999998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3001.2529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1298.8796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228.94659999999999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-587.61410000000001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-923.09990000000005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-1159.9570000000001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-1314.0652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-1422.4513999999999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-1426.8013000000001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-1431.1511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-1371.6618000000001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-1312.1724999999999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-1247.0288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-1181.8851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-1138.1346000000001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-1094.3841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4763.2656999999999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3710.6293999999998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2036.6043999999999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996.65890000000002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207.65770000000001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-104.21810000000001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-322.89949999999999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-469.96339999999998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-569.31809999999996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-564.54269999999997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-559.76729999999998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-494.54899999999998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-429.33069999999998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-364.86079999999998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-300.39080000000001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-258.10270000000003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-215.81450000000001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2.2551000000000001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28.1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146.77529999999999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398.17970000000003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617.05399999999997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642.0204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604.94640000000004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580.17759999999998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541.28060000000005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480.69510000000002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420.1096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301.81009999999998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183.51060000000001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97.454800000000006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11.3992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5.6996000000000002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3.1556000000000002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3.1936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3.5022000000000002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4.2374000000000001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4.5650000000000004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4.8985000000000003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4.7751000000000001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4.3613999999999997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3.8089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3.6838000000000002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3.5587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3.4487000000000001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3.3386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3.1406000000000001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2.9426999999999999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2.8247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2.7067999999999999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10.713200000000001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10.6218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10.698700000000001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11.8278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12.4602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13.075200000000001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12.7362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11.8545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11.629200000000001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11.761200000000001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11.8931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12.1355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12.3779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12.3451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12.3123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12.4885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12.6648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0.27579999999999999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0.69310000000000005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1.4098999999999999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2.2951000000000001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2.9761000000000002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3.2953999999999999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3.5116999999999998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3.6953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3.8698000000000001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3.9943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4.1188000000000002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4.2267000000000001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4.3346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4.4414999999999996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4.5483000000000002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4.6524000000000001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4.7565999999999997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0.1113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0.46650000000000003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0.87390000000000001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1.5133000000000001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2.4645000000000001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4.1074999999999999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6.5046999999999997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8.9382000000000001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12.0504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12.7461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13.441700000000001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14.318300000000001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15.194900000000001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16.052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16.909099999999999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16.107199999999999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15.305300000000001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3.0137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1.0922000000000001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6.1999999999999998E-3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8.9999999999999998E-4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6.9999999999999999E-4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4.0000000000000002E-4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2.0000000000000001E-4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1E-4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7.1176000000000004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7.1867000000000001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4.2561999999999998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2.1377999999999999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0.50660000000000005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9.9199999999999997E-2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8.8999999999999996E-2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7.3300000000000004E-2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4.9700000000000001E-2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2.7199999999999998E-2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4.7999999999999996E-3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2.3999999999999998E-3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0.128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7.9000000000000001E-2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2.7E-2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81.473500000000001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93.927800000000005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90.916200000000003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94.506200000000007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102.90689999999999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108.2009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123.93989999999999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135.8202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192.56720000000001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215.49709999999999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238.4271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262.52940000000001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286.6318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270.14569999999998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253.65950000000001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281.42169999999999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309.18389999999999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4048.3285999999998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3183.1986000000002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1986.2470000000001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907.03049999999996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32.2239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-431.61219999999997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-722.92550000000006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-853.20899999999995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-935.13319999999999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-950.10080000000005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-965.06830000000002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-891.67229999999995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-818.27629999999999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-733.05190000000005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-647.82749999999999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-644.27059999999994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-640.71370000000002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4763.2656999999999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3888.1632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2708.1055000000001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1646.5214000000001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788.73919999999998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341.69979999999998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66.681899999999999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-58.356099999999998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-140.4058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-156.13419999999999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-171.86259999999999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-101.4676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-31.072600000000001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50.534799999999997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132.14230000000001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136.26419999999999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140.3861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2.2551000000000001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28.1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405.41770000000002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721.57460000000003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814.88919999999996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773.40740000000005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736.0874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707.74609999999996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646.63900000000001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547.85429999999997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449.06959999999998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303.93270000000001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158.79589999999999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117.9507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77.1053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82.533299999999997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87.961200000000005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3.1556000000000002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3.1858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3.7355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4.1459000000000001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4.9307999999999996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5.1817000000000002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4.8341000000000003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4.5884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4.1966999999999999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4.1108000000000002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4.0247999999999999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3.8521999999999998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3.6796000000000002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3.5666000000000002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3.4535999999999998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3.234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3.0143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10.713200000000001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10.538500000000001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10.9284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12.0707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13.414199999999999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13.828900000000001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13.508599999999999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12.760999999999999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13.0274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12.971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12.9147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13.013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13.1114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13.378299999999999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13.645200000000001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13.611000000000001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13.5769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0.27579999999999999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0.64370000000000005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1.5155000000000001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2.6855000000000002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3.6597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4.0838000000000001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4.2834000000000003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4.4714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4.6687000000000003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4.7971000000000004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4.9255000000000004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5.0541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5.1826999999999996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5.2991999999999999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5.4157000000000002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5.5202999999999998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5.6249000000000002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0.1113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0.43409999999999999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1.1012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2.4845999999999999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4.2301000000000002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6.1639999999999997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8.0913000000000004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9.5396999999999998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11.1045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11.530099999999999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11.9556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12.733599999999999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13.5115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13.3848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13.258100000000001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12.9543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12.650499999999999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3.0137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1.0028999999999999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8.0000000000000004E-4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5.9999999999999995E-4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4.0000000000000002E-4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2.0000000000000001E-4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7.1176000000000004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6.9039000000000001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3.4455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0.41749999999999998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5.3E-3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3.0999999999999999E-3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1.1999999999999999E-3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4.0000000000000002E-4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2.0000000000000001E-4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0.128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7.9000000000000001E-2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2.7E-2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81.473500000000001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91.633300000000006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90.807900000000004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96.271699999999996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111.6061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107.27290000000001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128.29810000000001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135.01589999999999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234.04230000000001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310.30160000000001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386.56079999999997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410.73489999999998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434.90890000000002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450.16379999999998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465.4187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490.53489999999999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515.65120000000002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4048.3285999999998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3081.6779000000001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1482.9042999999999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73.836699999999993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-863.50109999999995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-1237.2927999999999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-1445.0069000000001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-1530.4576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-1508.3767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-1436.8955000000001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-1365.4142999999999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-1206.7254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-1048.0365999999999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-1004.3878999999999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-960.73919999999998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-972.69370000000004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-984.64819999999997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4763.2656999999999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3793.1853999999998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2221.1927999999998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853.23180000000002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-33.339599999999997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-356.4187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-528.5009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-610.6644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-607.67370000000005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-545.33870000000002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-483.00369999999998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-329.03460000000001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-175.06559999999999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-129.23509999999999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-83.404700000000005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-90.302800000000005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-97.200999999999993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2.2551000000000001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28.1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95.3262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300.61599999999999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465.8673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527.47080000000005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499.8963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3.1556000000000002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3.2189000000000001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3.6375999999999999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4.0423999999999998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4.5073999999999996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4.6212999999999997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4.7426000000000004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10.713200000000001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10.6867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11.111000000000001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11.618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12.3649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12.577999999999999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12.902699999999999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0.27579999999999999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0.62019999999999997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1.4706999999999999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2.6076000000000001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3.6017999999999999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4.0293999999999999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4.2926000000000002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0.1113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0.46760000000000002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0.83979999999999999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1.1991000000000001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1.6958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2.4992000000000001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4.0358999999999998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3.0137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1.2032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6.4999999999999997E-3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1.1000000000000001E-3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8.9999999999999998E-4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5.0000000000000001E-4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2.0000000000000001E-4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7.1176000000000004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7.2470999999999997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5.8121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2.7783000000000002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1.5029999999999999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0.1452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0.1333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0.128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7.9000000000000001E-2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2.7E-2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81.473500000000001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100.0288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94.7089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85.653199999999998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91.5381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99.497900000000001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116.8961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4048.3285999999998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3275.6950000000002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2344.4492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1292.1994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399.7312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-239.15299999999999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-583.15269999999998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4763.2656999999999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3982.2804999999998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3066.7521000000002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2035.9311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1160.6441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539.25070000000005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211.76949999999999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2.2551000000000001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21.061299999999999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41.474899999999998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42.3461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42.073799999999999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41.365600000000001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39.882599999999996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3.1556000000000002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3.1654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3.6345000000000001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3.9087000000000001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4.0640000000000001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4.1616999999999997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4.2251000000000003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10.713200000000001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10.5908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11.272399999999999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11.6013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11.561400000000001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11.350899999999999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11.331799999999999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0.27579999999999999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0.68579999999999997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1.4021999999999999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2.2614000000000001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2.923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3.2431000000000001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3.4910999999999999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0.1113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0.49490000000000001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0.84919999999999995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1.127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1.3048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1.4319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1.6989000000000001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3.0137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1.2363999999999999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1.0377000000000001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0.79279999999999995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0.16889999999999999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7.1999999999999998E-3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8.8999999999999999E-3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7.1176000000000004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7.3855000000000004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6.8080999999999996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5.4237000000000002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4.05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2.3302999999999998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1.4214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0.128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7.9000000000000001E-2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2.7E-2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81.473500000000001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96.287800000000004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96.318799999999996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79.684200000000004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101.03270000000001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104.5532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113.2666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4048.3285999999998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3322.5681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2923.2521999999999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2380.7057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1803.8507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1408.9347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1221.8385000000001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4763.2656999999999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4027.3022000000001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3640.5994999999998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3111.5962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2547.902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2166.8980000000001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1994.2181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2.2551000000000001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21.061299999999999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41.474899999999998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56.145600000000002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294.45269999999999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607.71489999999994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719.6105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3.1556000000000002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3.1654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3.6345000000000001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4.0457000000000001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5.0983000000000001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5.2164999999999999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4.9558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10.713200000000001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10.5908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11.272399999999999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11.794700000000001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11.9947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13.367599999999999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13.8916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0.27579999999999999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0.68579999999999997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1.4021999999999999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2.3332000000000002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2.9962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3.3593999999999999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3.6459000000000001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0.1113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0.49490000000000001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0.84919999999999995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1.1879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2.0771999999999999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4.2325999999999997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7.6985000000000001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3.0137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1.2363999999999999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1.0377000000000001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0.67320000000000002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1.1000000000000001E-3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2.0000000000000001E-4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7.1176000000000004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7.3855000000000004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6.8080999999999996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4.8364000000000003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1.8084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4.6600000000000003E-2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3.32E-2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0.128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7.9000000000000001E-2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2.7E-2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81.473500000000001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96.287800000000004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96.318799999999996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56.442900000000002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109.12139999999999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130.19380000000001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136.8897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4048.3285999999998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3322.5681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2923.2521999999999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2097.0378000000001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207.9375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-883.76170000000002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-1246.3113000000001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4763.2656999999999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4027.3022000000001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3640.5994999999998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2867.2415999999998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1034.9375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-13.834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-355.36439999999999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2.2551000000000001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21.061299999999999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41.474899999999998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49.363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87.842299999999994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106.72920000000001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105.07980000000001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3.1556000000000002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3.1654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3.6345000000000001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3.9016999999999999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4.1003999999999996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4.3922999999999996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4.4503000000000004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10.713200000000001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10.5908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11.272399999999999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11.919600000000001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12.0037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12.5092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12.332800000000001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0.27579999999999999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0.68579999999999997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1.4021999999999999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2.3186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2.9941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3.3426999999999998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3.5668000000000002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0.1113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0.49490000000000001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0.84919999999999995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1.1262000000000001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1.4741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2.9866000000000001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6.0290999999999997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3.0137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1.2363999999999999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1.0377000000000001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0.71519999999999995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1.4E-3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6.9999999999999999E-4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4.0000000000000002E-4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7.1176000000000004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7.3855000000000004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6.8080999999999996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5.2579000000000002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2.1999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0.40529999999999999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0.2225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0.128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7.9000000000000001E-2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2.7E-2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81.473500000000001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96.287800000000004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96.318799999999996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64.061899999999994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103.79040000000001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118.5767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133.4127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4048.3285999999998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3322.5681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2923.2521999999999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2206.0320999999999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889.01880000000006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96.445099999999996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-325.8836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4763.2656999999999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4027.3022000000001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3640.5994999999998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2955.3968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1665.1729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894.6558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486.19839999999999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2.2551000000000001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28.1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235.27760000000001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390.74900000000002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496.9554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567.75360000000001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631.35339999999997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3.1556000000000002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2.4135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2.4581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2.5009000000000001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2.5114000000000001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2.4651000000000001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2.3944000000000001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10.713200000000001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10.869400000000001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10.2315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11.1312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11.501300000000001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11.882300000000001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12.167999999999999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0.27579999999999999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0.59260000000000002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1.3091999999999999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2.246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2.9367999999999999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3.1202999999999999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2.8186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0.1113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0.36199999999999999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0.72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1.2616000000000001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1.7679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2.0476000000000001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2.1579000000000002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3.0137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1.0499000000000001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6.1999999999999998E-3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8.9999999999999998E-4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6.9999999999999999E-4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7.1176000000000004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6.8305999999999996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3.4314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1.1539999999999999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9.7999999999999997E-3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6.7999999999999996E-3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5.0000000000000001E-3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0.128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7.9000000000000001E-2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2.7E-2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81.473500000000001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65.284199999999998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77.5989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84.583100000000002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100.7944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86.818399999999997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113.788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4048.3285999999998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2995.7791000000002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1260.1415999999999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162.529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-656.1902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-988.11659999999995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-1202.4735000000001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4763.2656999999999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3720.3928999999998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2017.5029999999999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940.21900000000005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132.97800000000001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-182.4102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-376.4171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2.2551000000000001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28.1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146.88939999999999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396.66250000000002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610.93060000000003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659.34789999999998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608.67190000000005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3.1556000000000002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3.1989000000000001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3.5078999999999998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4.2422000000000004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4.5918000000000001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4.9286000000000003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4.8208000000000002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10.713200000000001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10.6364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10.7201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11.843299999999999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12.491400000000001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13.052300000000001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12.8368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0.27579999999999999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0.69350000000000001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1.4104000000000001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2.2984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2.9878999999999998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3.3178999999999998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3.5468999999999999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0.1113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0.46560000000000001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0.87409999999999999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1.5017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2.4308999999999998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4.0659999999999998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6.4874999999999998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3.0137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1.1422000000000001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6.1999999999999998E-3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8.9999999999999998E-4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6.9999999999999999E-4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4.0000000000000002E-4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2.0000000000000001E-4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7.1176000000000004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7.1794000000000002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4.4288999999999996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2.2959999999999998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0.6502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0.1002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0.09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0.128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7.9000000000000001E-2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2.7E-2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81.473500000000001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92.713099999999997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92.357699999999994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94.112700000000004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101.3014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110.8283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128.3501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4048.3285999999998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3195.3809000000001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1993.2474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903.76049999999998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38.0503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-471.03399999999999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-778.13520000000005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4763.2656999999999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3901.0612999999998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2716.0131000000001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1643.9544000000001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794.72500000000002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301.87830000000002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9.359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2.2551000000000001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28.1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409.72750000000002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733.52499999999998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831.18700000000001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789.0652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756.26790000000005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3.1556000000000002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3.1938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3.7389999999999999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4.1603000000000003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4.9630000000000001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5.2343999999999999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4.8895999999999997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10.713200000000001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10.551600000000001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10.928100000000001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12.1099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13.4895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13.943199999999999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13.6488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0.27579999999999999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0.64429999999999998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1.5179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2.6949000000000001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3.6798000000000002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4.1100000000000003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4.3170999999999999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0.1113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0.43430000000000002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1.1103000000000001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2.5289999999999999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4.2759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6.1340000000000003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8.0000999999999998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3.0137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1.0508999999999999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6.1999999999999998E-3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8.9999999999999998E-4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6.9999999999999999E-4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4.0000000000000002E-4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2.0000000000000001E-4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7.1176000000000004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6.8837000000000002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3.4211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0.39429999999999998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8.5000000000000006E-3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4.7999999999999996E-3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2.7000000000000001E-3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0.128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7.9000000000000001E-2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2.7E-2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81.473500000000001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91.212199999999996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91.621600000000001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97.105400000000003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112.27370000000001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108.9372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120.9217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4048.3285999999998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3099.7781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1447.9817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30.887499999999999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-891.54859999999996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-1251.7242000000001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-1446.3670999999999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4763.2656999999999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3808.1507000000001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2183.6635999999999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802.15970000000004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-81.720399999999998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-406.84120000000001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-576.75229999999999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2025-09-13T03:30:28Z</dcterms:modified>
</cp:coreProperties>
</file>