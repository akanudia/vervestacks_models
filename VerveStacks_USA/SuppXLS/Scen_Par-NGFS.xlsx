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\SuppXLS\"/>
    </mc:Choice>
  </mc:AlternateContent>
  <xr:revisionPtr revIDLastSave="0" documentId="8_{3ABCBDB6-66D3-49CF-967F-79BE8C23FBB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<sst xmlns="http://schemas.openxmlformats.org/spreadsheetml/2006/main" count="58771" uniqueCount="92">
  <si>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</si>
  <si>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</si>
  <si>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</si>
  <si>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</si>
  <si>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</si>
  <si>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</si>
  <si>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</si>
  <si>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</si>
  <si>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</si>
  <si>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</si>
  <si>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</si>
  <si>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</si>
  <si>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</si>
  <si>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</si>
  <si>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</si>
  <si>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</si>
  <si>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</si>
  <si>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</si>
  <si>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</si>
  <si>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</si>
  <si>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</si>
  <si>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</si>
  <si>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</si>
  <si>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</si>
  <si>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</si>
  <si>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</si>
  <si>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</si>
  <si>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</si>
  <si>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</si>
  <si>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</si>
  <si>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</si>
  <si>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</si>
  <si>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</si>
  <si>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</si>
  <si>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</si>
  <si>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</si>
  <si>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</si>
  <si>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</si>
  <si>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</si>
  <si>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</si>
  <si>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</si>
  <si>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</si>
  <si>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</si>
  <si>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</si>
  <si>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</si>
  <si>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</si>
  <si>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</si>
  <si>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</si>
  <si>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</si>
  <si>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</si>
  <si>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</si>
  <si>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</si>
  <si>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</si>
  <si>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</si>
  <si>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</si>
  <si>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</si>
  <si>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</si>
  <si>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</si>
  <si>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</si>
  <si>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</si>
  <si>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</si>
  <si>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</si>
  <si>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</si>
  <si>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</si>
  <si>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</si>
  <si>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</si>
  <si>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</si>
  <si>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</si>
  <si>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</si>
  <si>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</si>
  <si>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</si>
  <si>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</si>
  <si>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</si>
  <si>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</si>
  <si>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</si>
  <si>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</si>
  <si>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</si>
  <si>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</si>
  <si>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</si>
  <si>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</si>
  <si>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</si>
  <si>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</si>
  <si>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</si>
  <si>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</si>
  <si>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USA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</si>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</sst>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4318.4900000000007</c:v>
                </c:pt>
                <c:pt idx="1">
                  <c:v>4410.2967632170594</c:v>
                </c:pt>
                <c:pt idx="2">
                  <c:v>4974.6625823282384</c:v>
                </c:pt>
                <c:pt idx="3">
                  <c:v>5426.5368753093053</c:v>
                </c:pt>
                <c:pt idx="4">
                  <c:v>5644.4825285267889</c:v>
                </c:pt>
                <c:pt idx="5">
                  <c:v>5689.4547141665362</c:v>
                </c:pt>
                <c:pt idx="6">
                  <c:v>5754.7452905349037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1565.52</c:v>
                </c:pt>
                <c:pt idx="1">
                  <c:v>1700.5993977579203</c:v>
                </c:pt>
                <c:pt idx="2">
                  <c:v>1771.2761728210251</c:v>
                </c:pt>
                <c:pt idx="3">
                  <c:v>1667.9513909202376</c:v>
                </c:pt>
                <c:pt idx="4">
                  <c:v>1406.3824188955655</c:v>
                </c:pt>
                <c:pt idx="5">
                  <c:v>1542.9298190192892</c:v>
                </c:pt>
                <c:pt idx="6">
                  <c:v>1670.3753067489245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4318.4900000000007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4318.4900000000007</v>
      </c>
      <c r="S12" s="8">
        <f t="shared" ref="S12:X12" si="0">SUM(S17:S20)</f>
        <v>4410.2967632170594</v>
      </c>
      <c r="T12" s="8">
        <f t="shared" si="0"/>
        <v>4974.6625823282384</v>
      </c>
      <c r="U12" s="8">
        <f t="shared" si="0"/>
        <v>5426.5368753093053</v>
      </c>
      <c r="V12" s="8">
        <f t="shared" si="0"/>
        <v>5644.4825285267889</v>
      </c>
      <c r="W12" s="8">
        <f t="shared" si="0"/>
        <v>5689.4547141665362</v>
      </c>
      <c r="X12" s="8">
        <f t="shared" si="0"/>
        <v>5754.7452905349037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0.1113</v>
      </c>
      <c r="H16" s="10">
        <f>SUMIFS(ngfs_median!$J$2:$J$17119,ngfs_median!$B$2:$B$17119,Veda!$C$5,ngfs_median!$H$2:$H$17119,Veda!$Q16,ngfs_median!$I$2:$I$17119,Veda!H$15)</f>
        <v>0.49419999999999997</v>
      </c>
      <c r="I16" s="10">
        <f>SUMIFS(ngfs_median!$J$2:$J$17119,ngfs_median!$B$2:$B$17119,Veda!$C$5,ngfs_median!$H$2:$H$17119,Veda!$Q16,ngfs_median!$I$2:$I$17119,Veda!I$15)</f>
        <v>0.84894999999999998</v>
      </c>
      <c r="J16" s="10">
        <f>SUMIFS(ngfs_median!$J$2:$J$17119,ngfs_median!$B$2:$B$17119,Veda!$C$5,ngfs_median!$H$2:$H$17119,Veda!$Q16,ngfs_median!$I$2:$I$17119,Veda!J$15)</f>
        <v>1.1212</v>
      </c>
      <c r="K16" s="10">
        <f>SUMIFS(ngfs_median!$J$2:$J$17119,ngfs_median!$B$2:$B$17119,Veda!$C$5,ngfs_median!$H$2:$H$17119,Veda!$Q16,ngfs_median!$I$2:$I$17119,Veda!K$15)</f>
        <v>1.2922500000000001</v>
      </c>
      <c r="L16" s="10">
        <f>SUMIFS(ngfs_median!$J$2:$J$17119,ngfs_median!$B$2:$B$17119,Veda!$C$5,ngfs_median!$H$2:$H$17119,Veda!$Q16,ngfs_median!$I$2:$I$17119,Veda!L$15)</f>
        <v>1.4058999999999999</v>
      </c>
      <c r="M16" s="10">
        <f>SUMIFS(ngfs_median!$J$2:$J$17119,ngfs_median!$B$2:$B$17119,Veda!$C$5,ngfs_median!$H$2:$H$17119,Veda!$Q16,ngfs_median!$I$2:$I$17119,Veda!M$15)</f>
        <v>1.63395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98.541666666666671</v>
      </c>
      <c r="U16" s="6">
        <f t="shared" si="2"/>
        <v>174.16666666666666</v>
      </c>
      <c r="V16" s="6">
        <f t="shared" si="2"/>
        <v>221.6805555555556</v>
      </c>
      <c r="W16" s="6">
        <f t="shared" si="2"/>
        <v>253.24999999999997</v>
      </c>
      <c r="X16" s="6">
        <f t="shared" si="2"/>
        <v>316.59722222222223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0.27579999999999999</v>
      </c>
      <c r="H17" s="10">
        <f>SUMIFS(ngfs_median!$J$2:$J$17119,ngfs_median!$B$2:$B$17119,Veda!$C$5,ngfs_median!$H$2:$H$17119,Veda!$Q17,ngfs_median!$I$2:$I$17119,Veda!H$15)</f>
        <v>0.68564999999999998</v>
      </c>
      <c r="I17" s="10">
        <f>SUMIFS(ngfs_median!$J$2:$J$17119,ngfs_median!$B$2:$B$17119,Veda!$C$5,ngfs_median!$H$2:$H$17119,Veda!$Q17,ngfs_median!$I$2:$I$17119,Veda!I$15)</f>
        <v>1.4014</v>
      </c>
      <c r="J17" s="10">
        <f>SUMIFS(ngfs_median!$J$2:$J$17119,ngfs_median!$B$2:$B$17119,Veda!$C$5,ngfs_median!$H$2:$H$17119,Veda!$Q17,ngfs_median!$I$2:$I$17119,Veda!J$15)</f>
        <v>2.2556000000000003</v>
      </c>
      <c r="K17" s="10">
        <f>SUMIFS(ngfs_median!$J$2:$J$17119,ngfs_median!$B$2:$B$17119,Veda!$C$5,ngfs_median!$H$2:$H$17119,Veda!$Q17,ngfs_median!$I$2:$I$17119,Veda!K$15)</f>
        <v>2.9039000000000001</v>
      </c>
      <c r="L17" s="10">
        <f>SUMIFS(ngfs_median!$J$2:$J$17119,ngfs_median!$B$2:$B$17119,Veda!$C$5,ngfs_median!$H$2:$H$17119,Veda!$Q17,ngfs_median!$I$2:$I$17119,Veda!L$15)</f>
        <v>3.20465</v>
      </c>
      <c r="M17" s="10">
        <f>SUMIFS(ngfs_median!$J$2:$J$17119,ngfs_median!$B$2:$B$17119,Veda!$C$5,ngfs_median!$H$2:$H$17119,Veda!$Q17,ngfs_median!$I$2:$I$17119,Veda!M$15)</f>
        <v>3.4223499999999998</v>
      </c>
      <c r="Q17" s="12" t="s">
        <v>10</v>
      </c>
      <c r="R17" s="6">
        <f>$Q$10*G17/SUM($G$17:$G$19)</f>
        <v>84.204540389972152</v>
      </c>
      <c r="S17" s="6">
        <f>R17</f>
        <v>84.204540389972152</v>
      </c>
      <c r="T17" s="6">
        <f t="shared" ref="T17:X17" si="3">S17</f>
        <v>84.204540389972152</v>
      </c>
      <c r="U17" s="6">
        <f t="shared" si="3"/>
        <v>84.204540389972152</v>
      </c>
      <c r="V17" s="6">
        <f t="shared" si="3"/>
        <v>84.204540389972152</v>
      </c>
      <c r="W17" s="6">
        <f t="shared" si="3"/>
        <v>84.204540389972152</v>
      </c>
      <c r="X17" s="6">
        <f t="shared" si="3"/>
        <v>84.204540389972152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10.713200000000001</v>
      </c>
      <c r="H18" s="10">
        <f>SUMIFS(ngfs_median!$J$2:$J$17119,ngfs_median!$B$2:$B$17119,Veda!$C$5,ngfs_median!$H$2:$H$17119,Veda!$Q18,ngfs_median!$I$2:$I$17119,Veda!H$15)</f>
        <v>10.597850000000001</v>
      </c>
      <c r="I18" s="10">
        <f>SUMIFS(ngfs_median!$J$2:$J$17119,ngfs_median!$B$2:$B$17119,Veda!$C$5,ngfs_median!$H$2:$H$17119,Veda!$Q18,ngfs_median!$I$2:$I$17119,Veda!I$15)</f>
        <v>11.264849999999999</v>
      </c>
      <c r="J18" s="10">
        <f>SUMIFS(ngfs_median!$J$2:$J$17119,ngfs_median!$B$2:$B$17119,Veda!$C$5,ngfs_median!$H$2:$H$17119,Veda!$Q18,ngfs_median!$I$2:$I$17119,Veda!J$15)</f>
        <v>11.6105</v>
      </c>
      <c r="K18" s="10">
        <f>SUMIFS(ngfs_median!$J$2:$J$17119,ngfs_median!$B$2:$B$17119,Veda!$C$5,ngfs_median!$H$2:$H$17119,Veda!$Q18,ngfs_median!$I$2:$I$17119,Veda!K$15)</f>
        <v>11.545850000000002</v>
      </c>
      <c r="L18" s="10">
        <f>SUMIFS(ngfs_median!$J$2:$J$17119,ngfs_median!$B$2:$B$17119,Veda!$C$5,ngfs_median!$H$2:$H$17119,Veda!$Q18,ngfs_median!$I$2:$I$17119,Veda!L$15)</f>
        <v>11.321149999999999</v>
      </c>
      <c r="M18" s="10">
        <f>SUMIFS(ngfs_median!$J$2:$J$17119,ngfs_median!$B$2:$B$17119,Veda!$C$5,ngfs_median!$H$2:$H$17119,Veda!$Q18,ngfs_median!$I$2:$I$17119,Veda!M$15)</f>
        <v>11.282</v>
      </c>
      <c r="Q18" s="12" t="s">
        <v>12</v>
      </c>
      <c r="R18" s="6">
        <f>$Q$10*G18/SUM($G$17:$G$19)</f>
        <v>3270.8487385998901</v>
      </c>
      <c r="S18" s="6">
        <f t="shared" ref="S18:X19" si="4">R18*H18/G18</f>
        <v>3235.6312123707994</v>
      </c>
      <c r="T18" s="6">
        <f t="shared" si="4"/>
        <v>3439.273084887519</v>
      </c>
      <c r="U18" s="6">
        <f t="shared" si="4"/>
        <v>3544.8035395133129</v>
      </c>
      <c r="V18" s="6">
        <f t="shared" si="4"/>
        <v>3525.0652380767228</v>
      </c>
      <c r="W18" s="6">
        <f t="shared" si="4"/>
        <v>3456.4620465407293</v>
      </c>
      <c r="X18" s="6">
        <f t="shared" si="4"/>
        <v>3444.5091540234434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3.1556000000000002</v>
      </c>
      <c r="H19" s="10">
        <f>SUMIFS(ngfs_median!$J$2:$J$17119,ngfs_median!$B$2:$B$17119,Veda!$C$5,ngfs_median!$H$2:$H$17119,Veda!$Q19,ngfs_median!$I$2:$I$17119,Veda!H$15)</f>
        <v>3.1617999999999999</v>
      </c>
      <c r="I19" s="10">
        <f>SUMIFS(ngfs_median!$J$2:$J$17119,ngfs_median!$B$2:$B$17119,Veda!$C$5,ngfs_median!$H$2:$H$17119,Veda!$Q19,ngfs_median!$I$2:$I$17119,Veda!I$15)</f>
        <v>3.6275500000000003</v>
      </c>
      <c r="J19" s="10">
        <f>SUMIFS(ngfs_median!$J$2:$J$17119,ngfs_median!$B$2:$B$17119,Veda!$C$5,ngfs_median!$H$2:$H$17119,Veda!$Q19,ngfs_median!$I$2:$I$17119,Veda!J$15)</f>
        <v>3.9077500000000001</v>
      </c>
      <c r="K19" s="10">
        <f>SUMIFS(ngfs_median!$J$2:$J$17119,ngfs_median!$B$2:$B$17119,Veda!$C$5,ngfs_median!$H$2:$H$17119,Veda!$Q19,ngfs_median!$I$2:$I$17119,Veda!K$15)</f>
        <v>4.0379500000000004</v>
      </c>
      <c r="L19" s="10">
        <f>SUMIFS(ngfs_median!$J$2:$J$17119,ngfs_median!$B$2:$B$17119,Veda!$C$5,ngfs_median!$H$2:$H$17119,Veda!$Q19,ngfs_median!$I$2:$I$17119,Veda!L$15)</f>
        <v>4.1091999999999995</v>
      </c>
      <c r="M19" s="10">
        <f>SUMIFS(ngfs_median!$J$2:$J$17119,ngfs_median!$B$2:$B$17119,Veda!$C$5,ngfs_median!$H$2:$H$17119,Veda!$Q19,ngfs_median!$I$2:$I$17119,Veda!M$15)</f>
        <v>4.1444999999999999</v>
      </c>
      <c r="Q19" s="12" t="s">
        <v>13</v>
      </c>
      <c r="R19" s="6">
        <f>$Q$10*G19/SUM($G$17:$G$19)</f>
        <v>963.4367210101384</v>
      </c>
      <c r="S19" s="6">
        <f t="shared" si="4"/>
        <v>965.32964396306738</v>
      </c>
      <c r="T19" s="6">
        <f t="shared" si="4"/>
        <v>1107.5278480480185</v>
      </c>
      <c r="U19" s="6">
        <f t="shared" si="4"/>
        <v>1193.0757531142629</v>
      </c>
      <c r="V19" s="6">
        <f t="shared" si="4"/>
        <v>1232.8271351257727</v>
      </c>
      <c r="W19" s="6">
        <f t="shared" si="4"/>
        <v>1254.5804835767713</v>
      </c>
      <c r="X19" s="6">
        <f t="shared" si="4"/>
        <v>1265.3579320023189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125.13136649322004</v>
      </c>
      <c r="T20" s="6">
        <f t="shared" si="5"/>
        <v>343.65710900272904</v>
      </c>
      <c r="U20" s="6">
        <f t="shared" si="5"/>
        <v>604.45304229175804</v>
      </c>
      <c r="V20" s="6">
        <f t="shared" si="5"/>
        <v>802.38561493432132</v>
      </c>
      <c r="W20" s="6">
        <f t="shared" si="5"/>
        <v>894.20764365906427</v>
      </c>
      <c r="X20" s="6">
        <f t="shared" si="5"/>
        <v>960.67366411916919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1565.52</v>
      </c>
      <c r="D22" s="12" t="s">
        <v>79</v>
      </c>
      <c r="G22" s="8">
        <f>G35/$G$35*$B22</f>
        <v>1565.52</v>
      </c>
      <c r="H22" s="8">
        <f t="shared" ref="H22:M22" si="6">H35/$G$35*$B22</f>
        <v>1700.5993977579203</v>
      </c>
      <c r="I22" s="8">
        <f t="shared" si="6"/>
        <v>1771.2761728210251</v>
      </c>
      <c r="J22" s="8">
        <f t="shared" si="6"/>
        <v>1667.9513909202376</v>
      </c>
      <c r="K22" s="8">
        <f t="shared" si="6"/>
        <v>1406.3824188955655</v>
      </c>
      <c r="L22" s="8">
        <f t="shared" si="6"/>
        <v>1542.9298190192892</v>
      </c>
      <c r="M22" s="8">
        <f t="shared" si="6"/>
        <v>1670.3753067489245</v>
      </c>
      <c r="Q22" t="s">
        <v>64</v>
      </c>
      <c r="T22" s="8">
        <f>I35*1000</f>
        <v>832908.7</v>
      </c>
      <c r="U22" s="8">
        <f>J35*1000</f>
        <v>784322.20000000007</v>
      </c>
      <c r="V22" s="8">
        <f>K35*1000</f>
        <v>661324.40000000014</v>
      </c>
      <c r="W22" s="8">
        <f>L35*1000</f>
        <v>725533.20000000007</v>
      </c>
      <c r="X22" s="8">
        <f>M35*1000</f>
        <v>785462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57</v>
      </c>
      <c r="S26" s="3">
        <f>AVERAGEIFS(historical_data_long!$D$3:$D$9999,historical_data_long!$B$3:$B$9999,"&gt;2017",historical_data_long!$A$3:$A$9999,$O26)</f>
        <v>54.65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15.8</v>
      </c>
      <c r="S27" s="3">
        <f>AVERAGEIFS(historical_data_long!$D$3:$D$9999,historical_data_long!$B$3:$B$9999,"&gt;2017",historical_data_long!$A$3:$A$9999,$O27)</f>
        <v>16.25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736.1558</v>
      </c>
      <c r="H35" s="11">
        <f>SUMIFS(ngfs_median!$J$2:$J$17119,ngfs_median!$B$2:$B$17119,Veda!$C$5,ngfs_median!$D$2:$D$17119,Veda!$D22,ngfs_median!$I$2:$I$17119,Veda!H$15)</f>
        <v>799.67430000000002</v>
      </c>
      <c r="I35" s="11">
        <f>SUMIFS(ngfs_median!$J$2:$J$17119,ngfs_median!$B$2:$B$17119,Veda!$C$5,ngfs_median!$D$2:$D$17119,Veda!$D22,ngfs_median!$I$2:$I$17119,Veda!I$15)</f>
        <v>832.90869999999995</v>
      </c>
      <c r="J35" s="11">
        <f>SUMIFS(ngfs_median!$J$2:$J$17119,ngfs_median!$B$2:$B$17119,Veda!$C$5,ngfs_median!$D$2:$D$17119,Veda!$D22,ngfs_median!$I$2:$I$17119,Veda!J$15)</f>
        <v>784.32220000000007</v>
      </c>
      <c r="K35" s="11">
        <f>SUMIFS(ngfs_median!$J$2:$J$17119,ngfs_median!$B$2:$B$17119,Veda!$C$5,ngfs_median!$D$2:$D$17119,Veda!$D22,ngfs_median!$I$2:$I$17119,Veda!K$15)</f>
        <v>661.32440000000008</v>
      </c>
      <c r="L35" s="11">
        <f>SUMIFS(ngfs_median!$J$2:$J$17119,ngfs_median!$B$2:$B$17119,Veda!$C$5,ngfs_median!$D$2:$D$17119,Veda!$D22,ngfs_median!$I$2:$I$17119,Veda!L$15)</f>
        <v>725.53320000000008</v>
      </c>
      <c r="M35" s="11">
        <f>SUMIFS(ngfs_median!$J$2:$J$17119,ngfs_median!$B$2:$B$17119,Veda!$C$5,ngfs_median!$D$2:$D$17119,Veda!$D22,ngfs_median!$I$2:$I$17119,Veda!M$15)</f>
        <v>785.46199999999999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60.73</v>
      </c>
    </row>
    <row r="3" spans="1:4" x14ac:dyDescent="0.45">
      <c r="A3" t="s">
        <v>34</v>
      </c>
      <c r="B3">
        <v>2000</v>
      </c>
      <c r="C3" t="s">
        <v>74</v>
      </c>
      <c r="D3">
        <v>1966.27</v>
      </c>
    </row>
    <row r="4" spans="1:4" x14ac:dyDescent="0.45">
      <c r="A4" t="s">
        <v>36</v>
      </c>
      <c r="B4">
        <v>2000</v>
      </c>
      <c r="C4" t="s">
        <v>74</v>
      </c>
      <c r="D4">
        <v>614.99</v>
      </c>
    </row>
    <row r="5" spans="1:4" x14ac:dyDescent="0.45">
      <c r="A5" t="s">
        <v>56</v>
      </c>
      <c r="B5">
        <v>2000</v>
      </c>
      <c r="C5" t="s">
        <v>74</v>
      </c>
      <c r="D5">
        <v>270.02999999999997</v>
      </c>
    </row>
    <row r="6" spans="1:4" x14ac:dyDescent="0.45">
      <c r="A6" t="s">
        <v>57</v>
      </c>
      <c r="B6">
        <v>2000</v>
      </c>
      <c r="C6" t="s">
        <v>74</v>
      </c>
      <c r="D6">
        <v>753.89</v>
      </c>
    </row>
    <row r="7" spans="1:4" x14ac:dyDescent="0.45">
      <c r="A7" t="s">
        <v>38</v>
      </c>
      <c r="B7">
        <v>2000</v>
      </c>
      <c r="C7" t="s">
        <v>74</v>
      </c>
      <c r="D7">
        <v>116.02</v>
      </c>
    </row>
    <row r="8" spans="1:4" x14ac:dyDescent="0.45">
      <c r="A8" t="s">
        <v>32</v>
      </c>
      <c r="B8">
        <v>2000</v>
      </c>
      <c r="C8" t="s">
        <v>74</v>
      </c>
      <c r="D8">
        <v>14.09</v>
      </c>
    </row>
    <row r="9" spans="1:4" x14ac:dyDescent="0.45">
      <c r="A9" t="s">
        <v>58</v>
      </c>
      <c r="B9">
        <v>2000</v>
      </c>
      <c r="C9" t="s">
        <v>74</v>
      </c>
      <c r="D9">
        <v>0.49</v>
      </c>
    </row>
    <row r="10" spans="1:4" x14ac:dyDescent="0.45">
      <c r="A10" t="s">
        <v>91</v>
      </c>
      <c r="B10">
        <v>2000</v>
      </c>
      <c r="C10" t="s">
        <v>74</v>
      </c>
      <c r="D10">
        <v>5.59</v>
      </c>
    </row>
    <row r="11" spans="1:4" x14ac:dyDescent="0.45">
      <c r="A11" t="s">
        <v>32</v>
      </c>
      <c r="B11">
        <v>2001</v>
      </c>
      <c r="C11" t="s">
        <v>74</v>
      </c>
      <c r="D11">
        <v>49.75</v>
      </c>
    </row>
    <row r="12" spans="1:4" x14ac:dyDescent="0.45">
      <c r="A12" t="s">
        <v>34</v>
      </c>
      <c r="B12">
        <v>2001</v>
      </c>
      <c r="C12" t="s">
        <v>74</v>
      </c>
      <c r="D12">
        <v>1903.96</v>
      </c>
    </row>
    <row r="13" spans="1:4" x14ac:dyDescent="0.45">
      <c r="A13" t="s">
        <v>36</v>
      </c>
      <c r="B13">
        <v>2001</v>
      </c>
      <c r="C13" t="s">
        <v>74</v>
      </c>
      <c r="D13">
        <v>639.13</v>
      </c>
    </row>
    <row r="14" spans="1:4" x14ac:dyDescent="0.45">
      <c r="A14" t="s">
        <v>56</v>
      </c>
      <c r="B14">
        <v>2001</v>
      </c>
      <c r="C14" t="s">
        <v>74</v>
      </c>
      <c r="D14">
        <v>208.14</v>
      </c>
    </row>
    <row r="15" spans="1:4" x14ac:dyDescent="0.45">
      <c r="A15" t="s">
        <v>57</v>
      </c>
      <c r="B15">
        <v>2001</v>
      </c>
      <c r="C15" t="s">
        <v>74</v>
      </c>
      <c r="D15">
        <v>768.83</v>
      </c>
    </row>
    <row r="16" spans="1:4" x14ac:dyDescent="0.45">
      <c r="A16" t="s">
        <v>38</v>
      </c>
      <c r="B16">
        <v>2001</v>
      </c>
      <c r="C16" t="s">
        <v>74</v>
      </c>
      <c r="D16">
        <v>135.59</v>
      </c>
    </row>
    <row r="17" spans="1:4" x14ac:dyDescent="0.45">
      <c r="A17" t="s">
        <v>32</v>
      </c>
      <c r="B17">
        <v>2001</v>
      </c>
      <c r="C17" t="s">
        <v>74</v>
      </c>
      <c r="D17">
        <v>14.89</v>
      </c>
    </row>
    <row r="18" spans="1:4" x14ac:dyDescent="0.45">
      <c r="A18" t="s">
        <v>58</v>
      </c>
      <c r="B18">
        <v>2001</v>
      </c>
      <c r="C18" t="s">
        <v>74</v>
      </c>
      <c r="D18">
        <v>0.54</v>
      </c>
    </row>
    <row r="19" spans="1:4" x14ac:dyDescent="0.45">
      <c r="A19" t="s">
        <v>91</v>
      </c>
      <c r="B19">
        <v>2001</v>
      </c>
      <c r="C19" t="s">
        <v>74</v>
      </c>
      <c r="D19">
        <v>6.74</v>
      </c>
    </row>
    <row r="20" spans="1:4" x14ac:dyDescent="0.45">
      <c r="A20" t="s">
        <v>32</v>
      </c>
      <c r="B20">
        <v>2002</v>
      </c>
      <c r="C20" t="s">
        <v>74</v>
      </c>
      <c r="D20">
        <v>53.71</v>
      </c>
    </row>
    <row r="21" spans="1:4" x14ac:dyDescent="0.45">
      <c r="A21" t="s">
        <v>34</v>
      </c>
      <c r="B21">
        <v>2002</v>
      </c>
      <c r="C21" t="s">
        <v>74</v>
      </c>
      <c r="D21">
        <v>1933.13</v>
      </c>
    </row>
    <row r="22" spans="1:4" x14ac:dyDescent="0.45">
      <c r="A22" t="s">
        <v>36</v>
      </c>
      <c r="B22">
        <v>2002</v>
      </c>
      <c r="C22" t="s">
        <v>74</v>
      </c>
      <c r="D22">
        <v>691.01</v>
      </c>
    </row>
    <row r="23" spans="1:4" x14ac:dyDescent="0.45">
      <c r="A23" t="s">
        <v>56</v>
      </c>
      <c r="B23">
        <v>2002</v>
      </c>
      <c r="C23" t="s">
        <v>74</v>
      </c>
      <c r="D23">
        <v>255.59</v>
      </c>
    </row>
    <row r="24" spans="1:4" x14ac:dyDescent="0.45">
      <c r="A24" t="s">
        <v>57</v>
      </c>
      <c r="B24">
        <v>2002</v>
      </c>
      <c r="C24" t="s">
        <v>74</v>
      </c>
      <c r="D24">
        <v>780.06</v>
      </c>
    </row>
    <row r="25" spans="1:4" x14ac:dyDescent="0.45">
      <c r="A25" t="s">
        <v>38</v>
      </c>
      <c r="B25">
        <v>2002</v>
      </c>
      <c r="C25" t="s">
        <v>74</v>
      </c>
      <c r="D25">
        <v>103.69</v>
      </c>
    </row>
    <row r="26" spans="1:4" x14ac:dyDescent="0.45">
      <c r="A26" t="s">
        <v>32</v>
      </c>
      <c r="B26">
        <v>2002</v>
      </c>
      <c r="C26" t="s">
        <v>74</v>
      </c>
      <c r="D26">
        <v>16.14</v>
      </c>
    </row>
    <row r="27" spans="1:4" x14ac:dyDescent="0.45">
      <c r="A27" t="s">
        <v>58</v>
      </c>
      <c r="B27">
        <v>2002</v>
      </c>
      <c r="C27" t="s">
        <v>74</v>
      </c>
      <c r="D27">
        <v>0.55000000000000004</v>
      </c>
    </row>
    <row r="28" spans="1:4" x14ac:dyDescent="0.45">
      <c r="A28" t="s">
        <v>91</v>
      </c>
      <c r="B28">
        <v>2002</v>
      </c>
      <c r="C28" t="s">
        <v>74</v>
      </c>
      <c r="D28">
        <v>10.35</v>
      </c>
    </row>
    <row r="29" spans="1:4" x14ac:dyDescent="0.45">
      <c r="A29" t="s">
        <v>32</v>
      </c>
      <c r="B29">
        <v>2003</v>
      </c>
      <c r="C29" t="s">
        <v>74</v>
      </c>
      <c r="D29">
        <v>53.34</v>
      </c>
    </row>
    <row r="30" spans="1:4" x14ac:dyDescent="0.45">
      <c r="A30" t="s">
        <v>34</v>
      </c>
      <c r="B30">
        <v>2003</v>
      </c>
      <c r="C30" t="s">
        <v>74</v>
      </c>
      <c r="D30">
        <v>1973.74</v>
      </c>
    </row>
    <row r="31" spans="1:4" x14ac:dyDescent="0.45">
      <c r="A31" t="s">
        <v>36</v>
      </c>
      <c r="B31">
        <v>2003</v>
      </c>
      <c r="C31" t="s">
        <v>74</v>
      </c>
      <c r="D31">
        <v>649.91</v>
      </c>
    </row>
    <row r="32" spans="1:4" x14ac:dyDescent="0.45">
      <c r="A32" t="s">
        <v>56</v>
      </c>
      <c r="B32">
        <v>2003</v>
      </c>
      <c r="C32" t="s">
        <v>74</v>
      </c>
      <c r="D32">
        <v>267.27</v>
      </c>
    </row>
    <row r="33" spans="1:4" x14ac:dyDescent="0.45">
      <c r="A33" t="s">
        <v>57</v>
      </c>
      <c r="B33">
        <v>2003</v>
      </c>
      <c r="C33" t="s">
        <v>74</v>
      </c>
      <c r="D33">
        <v>763.73</v>
      </c>
    </row>
    <row r="34" spans="1:4" x14ac:dyDescent="0.45">
      <c r="A34" t="s">
        <v>38</v>
      </c>
      <c r="B34">
        <v>2003</v>
      </c>
      <c r="C34" t="s">
        <v>74</v>
      </c>
      <c r="D34">
        <v>132.38</v>
      </c>
    </row>
    <row r="35" spans="1:4" x14ac:dyDescent="0.45">
      <c r="A35" t="s">
        <v>32</v>
      </c>
      <c r="B35">
        <v>2003</v>
      </c>
      <c r="C35" t="s">
        <v>74</v>
      </c>
      <c r="D35">
        <v>16.850000000000001</v>
      </c>
    </row>
    <row r="36" spans="1:4" x14ac:dyDescent="0.45">
      <c r="A36" t="s">
        <v>58</v>
      </c>
      <c r="B36">
        <v>2003</v>
      </c>
      <c r="C36" t="s">
        <v>74</v>
      </c>
      <c r="D36">
        <v>0.53</v>
      </c>
    </row>
    <row r="37" spans="1:4" x14ac:dyDescent="0.45">
      <c r="A37" t="s">
        <v>91</v>
      </c>
      <c r="B37">
        <v>2003</v>
      </c>
      <c r="C37" t="s">
        <v>74</v>
      </c>
      <c r="D37">
        <v>11.19</v>
      </c>
    </row>
    <row r="38" spans="1:4" x14ac:dyDescent="0.45">
      <c r="A38" t="s">
        <v>32</v>
      </c>
      <c r="B38">
        <v>2004</v>
      </c>
      <c r="C38" t="s">
        <v>74</v>
      </c>
      <c r="D38">
        <v>53.54</v>
      </c>
    </row>
    <row r="39" spans="1:4" x14ac:dyDescent="0.45">
      <c r="A39" t="s">
        <v>34</v>
      </c>
      <c r="B39">
        <v>2004</v>
      </c>
      <c r="C39" t="s">
        <v>74</v>
      </c>
      <c r="D39">
        <v>1978.3</v>
      </c>
    </row>
    <row r="40" spans="1:4" x14ac:dyDescent="0.45">
      <c r="A40" t="s">
        <v>36</v>
      </c>
      <c r="B40">
        <v>2004</v>
      </c>
      <c r="C40" t="s">
        <v>74</v>
      </c>
      <c r="D40">
        <v>710.1</v>
      </c>
    </row>
    <row r="41" spans="1:4" x14ac:dyDescent="0.45">
      <c r="A41" t="s">
        <v>56</v>
      </c>
      <c r="B41">
        <v>2004</v>
      </c>
      <c r="C41" t="s">
        <v>74</v>
      </c>
      <c r="D41">
        <v>259.93</v>
      </c>
    </row>
    <row r="42" spans="1:4" x14ac:dyDescent="0.45">
      <c r="A42" t="s">
        <v>57</v>
      </c>
      <c r="B42">
        <v>2004</v>
      </c>
      <c r="C42" t="s">
        <v>74</v>
      </c>
      <c r="D42">
        <v>788.53</v>
      </c>
    </row>
    <row r="43" spans="1:4" x14ac:dyDescent="0.45">
      <c r="A43" t="s">
        <v>38</v>
      </c>
      <c r="B43">
        <v>2004</v>
      </c>
      <c r="C43" t="s">
        <v>74</v>
      </c>
      <c r="D43">
        <v>129.88</v>
      </c>
    </row>
    <row r="44" spans="1:4" x14ac:dyDescent="0.45">
      <c r="A44" t="s">
        <v>32</v>
      </c>
      <c r="B44">
        <v>2004</v>
      </c>
      <c r="C44" t="s">
        <v>74</v>
      </c>
      <c r="D44">
        <v>16.95</v>
      </c>
    </row>
    <row r="45" spans="1:4" x14ac:dyDescent="0.45">
      <c r="A45" t="s">
        <v>58</v>
      </c>
      <c r="B45">
        <v>2004</v>
      </c>
      <c r="C45" t="s">
        <v>74</v>
      </c>
      <c r="D45">
        <v>0.57999999999999996</v>
      </c>
    </row>
    <row r="46" spans="1:4" x14ac:dyDescent="0.45">
      <c r="A46" t="s">
        <v>91</v>
      </c>
      <c r="B46">
        <v>2004</v>
      </c>
      <c r="C46" t="s">
        <v>74</v>
      </c>
      <c r="D46">
        <v>14.14</v>
      </c>
    </row>
    <row r="47" spans="1:4" x14ac:dyDescent="0.45">
      <c r="A47" t="s">
        <v>32</v>
      </c>
      <c r="B47">
        <v>2005</v>
      </c>
      <c r="C47" t="s">
        <v>74</v>
      </c>
      <c r="D47">
        <v>54.28</v>
      </c>
    </row>
    <row r="48" spans="1:4" x14ac:dyDescent="0.45">
      <c r="A48" t="s">
        <v>34</v>
      </c>
      <c r="B48">
        <v>2005</v>
      </c>
      <c r="C48" t="s">
        <v>74</v>
      </c>
      <c r="D48">
        <v>2012.87</v>
      </c>
    </row>
    <row r="49" spans="1:4" x14ac:dyDescent="0.45">
      <c r="A49" t="s">
        <v>36</v>
      </c>
      <c r="B49">
        <v>2005</v>
      </c>
      <c r="C49" t="s">
        <v>74</v>
      </c>
      <c r="D49">
        <v>760.96</v>
      </c>
    </row>
    <row r="50" spans="1:4" x14ac:dyDescent="0.45">
      <c r="A50" t="s">
        <v>56</v>
      </c>
      <c r="B50">
        <v>2005</v>
      </c>
      <c r="C50" t="s">
        <v>74</v>
      </c>
      <c r="D50">
        <v>263.76</v>
      </c>
    </row>
    <row r="51" spans="1:4" x14ac:dyDescent="0.45">
      <c r="A51" t="s">
        <v>57</v>
      </c>
      <c r="B51">
        <v>2005</v>
      </c>
      <c r="C51" t="s">
        <v>74</v>
      </c>
      <c r="D51">
        <v>781.99</v>
      </c>
    </row>
    <row r="52" spans="1:4" x14ac:dyDescent="0.45">
      <c r="A52" t="s">
        <v>38</v>
      </c>
      <c r="B52">
        <v>2005</v>
      </c>
      <c r="C52" t="s">
        <v>74</v>
      </c>
      <c r="D52">
        <v>126.13</v>
      </c>
    </row>
    <row r="53" spans="1:4" x14ac:dyDescent="0.45">
      <c r="A53" t="s">
        <v>32</v>
      </c>
      <c r="B53">
        <v>2005</v>
      </c>
      <c r="C53" t="s">
        <v>74</v>
      </c>
      <c r="D53">
        <v>16.64</v>
      </c>
    </row>
    <row r="54" spans="1:4" x14ac:dyDescent="0.45">
      <c r="A54" t="s">
        <v>58</v>
      </c>
      <c r="B54">
        <v>2005</v>
      </c>
      <c r="C54" t="s">
        <v>74</v>
      </c>
      <c r="D54">
        <v>0.55000000000000004</v>
      </c>
    </row>
    <row r="55" spans="1:4" x14ac:dyDescent="0.45">
      <c r="A55" t="s">
        <v>91</v>
      </c>
      <c r="B55">
        <v>2005</v>
      </c>
      <c r="C55" t="s">
        <v>74</v>
      </c>
      <c r="D55">
        <v>17.809999999999999</v>
      </c>
    </row>
    <row r="56" spans="1:4" x14ac:dyDescent="0.45">
      <c r="A56" t="s">
        <v>32</v>
      </c>
      <c r="B56">
        <v>2006</v>
      </c>
      <c r="C56" t="s">
        <v>74</v>
      </c>
      <c r="D56">
        <v>54.86</v>
      </c>
    </row>
    <row r="57" spans="1:4" x14ac:dyDescent="0.45">
      <c r="A57" t="s">
        <v>34</v>
      </c>
      <c r="B57">
        <v>2006</v>
      </c>
      <c r="C57" t="s">
        <v>74</v>
      </c>
      <c r="D57">
        <v>1990.51</v>
      </c>
    </row>
    <row r="58" spans="1:4" x14ac:dyDescent="0.45">
      <c r="A58" t="s">
        <v>36</v>
      </c>
      <c r="B58">
        <v>2006</v>
      </c>
      <c r="C58" t="s">
        <v>74</v>
      </c>
      <c r="D58">
        <v>816.44</v>
      </c>
    </row>
    <row r="59" spans="1:4" x14ac:dyDescent="0.45">
      <c r="A59" t="s">
        <v>56</v>
      </c>
      <c r="B59">
        <v>2006</v>
      </c>
      <c r="C59" t="s">
        <v>74</v>
      </c>
      <c r="D59">
        <v>282.69</v>
      </c>
    </row>
    <row r="60" spans="1:4" x14ac:dyDescent="0.45">
      <c r="A60" t="s">
        <v>57</v>
      </c>
      <c r="B60">
        <v>2006</v>
      </c>
      <c r="C60" t="s">
        <v>74</v>
      </c>
      <c r="D60">
        <v>787.22</v>
      </c>
    </row>
    <row r="61" spans="1:4" x14ac:dyDescent="0.45">
      <c r="A61" t="s">
        <v>38</v>
      </c>
      <c r="B61">
        <v>2006</v>
      </c>
      <c r="C61" t="s">
        <v>74</v>
      </c>
      <c r="D61">
        <v>71.61</v>
      </c>
    </row>
    <row r="62" spans="1:4" x14ac:dyDescent="0.45">
      <c r="A62" t="s">
        <v>32</v>
      </c>
      <c r="B62">
        <v>2006</v>
      </c>
      <c r="C62" t="s">
        <v>74</v>
      </c>
      <c r="D62">
        <v>16.510000000000002</v>
      </c>
    </row>
    <row r="63" spans="1:4" x14ac:dyDescent="0.45">
      <c r="A63" t="s">
        <v>58</v>
      </c>
      <c r="B63">
        <v>2006</v>
      </c>
      <c r="C63" t="s">
        <v>74</v>
      </c>
      <c r="D63">
        <v>0.51</v>
      </c>
    </row>
    <row r="64" spans="1:4" x14ac:dyDescent="0.45">
      <c r="A64" t="s">
        <v>91</v>
      </c>
      <c r="B64">
        <v>2006</v>
      </c>
      <c r="C64" t="s">
        <v>74</v>
      </c>
      <c r="D64">
        <v>26.59</v>
      </c>
    </row>
    <row r="65" spans="1:4" x14ac:dyDescent="0.45">
      <c r="A65" t="s">
        <v>32</v>
      </c>
      <c r="B65">
        <v>2007</v>
      </c>
      <c r="C65" t="s">
        <v>74</v>
      </c>
      <c r="D65">
        <v>55.54</v>
      </c>
    </row>
    <row r="66" spans="1:4" x14ac:dyDescent="0.45">
      <c r="A66" t="s">
        <v>34</v>
      </c>
      <c r="B66">
        <v>2007</v>
      </c>
      <c r="C66" t="s">
        <v>74</v>
      </c>
      <c r="D66">
        <v>2016.46</v>
      </c>
    </row>
    <row r="67" spans="1:4" x14ac:dyDescent="0.45">
      <c r="A67" t="s">
        <v>36</v>
      </c>
      <c r="B67">
        <v>2007</v>
      </c>
      <c r="C67" t="s">
        <v>74</v>
      </c>
      <c r="D67">
        <v>896.59</v>
      </c>
    </row>
    <row r="68" spans="1:4" x14ac:dyDescent="0.45">
      <c r="A68" t="s">
        <v>56</v>
      </c>
      <c r="B68">
        <v>2007</v>
      </c>
      <c r="C68" t="s">
        <v>74</v>
      </c>
      <c r="D68">
        <v>240.61</v>
      </c>
    </row>
    <row r="69" spans="1:4" x14ac:dyDescent="0.45">
      <c r="A69" t="s">
        <v>57</v>
      </c>
      <c r="B69">
        <v>2007</v>
      </c>
      <c r="C69" t="s">
        <v>74</v>
      </c>
      <c r="D69">
        <v>806.42</v>
      </c>
    </row>
    <row r="70" spans="1:4" x14ac:dyDescent="0.45">
      <c r="A70" t="s">
        <v>38</v>
      </c>
      <c r="B70">
        <v>2007</v>
      </c>
      <c r="C70" t="s">
        <v>74</v>
      </c>
      <c r="D70">
        <v>75.19</v>
      </c>
    </row>
    <row r="71" spans="1:4" x14ac:dyDescent="0.45">
      <c r="A71" t="s">
        <v>32</v>
      </c>
      <c r="B71">
        <v>2007</v>
      </c>
      <c r="C71" t="s">
        <v>74</v>
      </c>
      <c r="D71">
        <v>16.7</v>
      </c>
    </row>
    <row r="72" spans="1:4" x14ac:dyDescent="0.45">
      <c r="A72" t="s">
        <v>58</v>
      </c>
      <c r="B72">
        <v>2007</v>
      </c>
      <c r="C72" t="s">
        <v>74</v>
      </c>
      <c r="D72">
        <v>0.61</v>
      </c>
    </row>
    <row r="73" spans="1:4" x14ac:dyDescent="0.45">
      <c r="A73" t="s">
        <v>91</v>
      </c>
      <c r="B73">
        <v>2007</v>
      </c>
      <c r="C73" t="s">
        <v>74</v>
      </c>
      <c r="D73">
        <v>34.450000000000003</v>
      </c>
    </row>
    <row r="74" spans="1:4" x14ac:dyDescent="0.45">
      <c r="A74" t="s">
        <v>32</v>
      </c>
      <c r="B74">
        <v>2008</v>
      </c>
      <c r="C74" t="s">
        <v>74</v>
      </c>
      <c r="D74">
        <v>55.03</v>
      </c>
    </row>
    <row r="75" spans="1:4" x14ac:dyDescent="0.45">
      <c r="A75" t="s">
        <v>34</v>
      </c>
      <c r="B75">
        <v>2008</v>
      </c>
      <c r="C75" t="s">
        <v>74</v>
      </c>
      <c r="D75">
        <v>1985.8</v>
      </c>
    </row>
    <row r="76" spans="1:4" x14ac:dyDescent="0.45">
      <c r="A76" t="s">
        <v>36</v>
      </c>
      <c r="B76">
        <v>2008</v>
      </c>
      <c r="C76" t="s">
        <v>74</v>
      </c>
      <c r="D76">
        <v>882.98</v>
      </c>
    </row>
    <row r="77" spans="1:4" x14ac:dyDescent="0.45">
      <c r="A77" t="s">
        <v>56</v>
      </c>
      <c r="B77">
        <v>2008</v>
      </c>
      <c r="C77" t="s">
        <v>74</v>
      </c>
      <c r="D77">
        <v>248.54</v>
      </c>
    </row>
    <row r="78" spans="1:4" x14ac:dyDescent="0.45">
      <c r="A78" t="s">
        <v>57</v>
      </c>
      <c r="B78">
        <v>2008</v>
      </c>
      <c r="C78" t="s">
        <v>74</v>
      </c>
      <c r="D78">
        <v>806.21</v>
      </c>
    </row>
    <row r="79" spans="1:4" x14ac:dyDescent="0.45">
      <c r="A79" t="s">
        <v>38</v>
      </c>
      <c r="B79">
        <v>2008</v>
      </c>
      <c r="C79" t="s">
        <v>74</v>
      </c>
      <c r="D79">
        <v>55.43</v>
      </c>
    </row>
    <row r="80" spans="1:4" x14ac:dyDescent="0.45">
      <c r="A80" t="s">
        <v>32</v>
      </c>
      <c r="B80">
        <v>2008</v>
      </c>
      <c r="C80" t="s">
        <v>74</v>
      </c>
      <c r="D80">
        <v>17.32</v>
      </c>
    </row>
    <row r="81" spans="1:4" x14ac:dyDescent="0.45">
      <c r="A81" t="s">
        <v>58</v>
      </c>
      <c r="B81">
        <v>2008</v>
      </c>
      <c r="C81" t="s">
        <v>74</v>
      </c>
      <c r="D81">
        <v>0.86</v>
      </c>
    </row>
    <row r="82" spans="1:4" x14ac:dyDescent="0.45">
      <c r="A82" t="s">
        <v>91</v>
      </c>
      <c r="B82">
        <v>2008</v>
      </c>
      <c r="C82" t="s">
        <v>74</v>
      </c>
      <c r="D82">
        <v>55.36</v>
      </c>
    </row>
    <row r="83" spans="1:4" x14ac:dyDescent="0.45">
      <c r="A83" t="s">
        <v>32</v>
      </c>
      <c r="B83">
        <v>2009</v>
      </c>
      <c r="C83" t="s">
        <v>74</v>
      </c>
      <c r="D83">
        <v>54.49</v>
      </c>
    </row>
    <row r="84" spans="1:4" x14ac:dyDescent="0.45">
      <c r="A84" t="s">
        <v>34</v>
      </c>
      <c r="B84">
        <v>2009</v>
      </c>
      <c r="C84" t="s">
        <v>74</v>
      </c>
      <c r="D84">
        <v>1755.9</v>
      </c>
    </row>
    <row r="85" spans="1:4" x14ac:dyDescent="0.45">
      <c r="A85" t="s">
        <v>36</v>
      </c>
      <c r="B85">
        <v>2009</v>
      </c>
      <c r="C85" t="s">
        <v>74</v>
      </c>
      <c r="D85">
        <v>920.98</v>
      </c>
    </row>
    <row r="86" spans="1:4" x14ac:dyDescent="0.45">
      <c r="A86" t="s">
        <v>56</v>
      </c>
      <c r="B86">
        <v>2009</v>
      </c>
      <c r="C86" t="s">
        <v>74</v>
      </c>
      <c r="D86">
        <v>268.82</v>
      </c>
    </row>
    <row r="87" spans="1:4" x14ac:dyDescent="0.45">
      <c r="A87" t="s">
        <v>57</v>
      </c>
      <c r="B87">
        <v>2009</v>
      </c>
      <c r="C87" t="s">
        <v>74</v>
      </c>
      <c r="D87">
        <v>798.85</v>
      </c>
    </row>
    <row r="88" spans="1:4" x14ac:dyDescent="0.45">
      <c r="A88" t="s">
        <v>38</v>
      </c>
      <c r="B88">
        <v>2009</v>
      </c>
      <c r="C88" t="s">
        <v>74</v>
      </c>
      <c r="D88">
        <v>48.53</v>
      </c>
    </row>
    <row r="89" spans="1:4" x14ac:dyDescent="0.45">
      <c r="A89" t="s">
        <v>32</v>
      </c>
      <c r="B89">
        <v>2009</v>
      </c>
      <c r="C89" t="s">
        <v>74</v>
      </c>
      <c r="D89">
        <v>17.47</v>
      </c>
    </row>
    <row r="90" spans="1:4" x14ac:dyDescent="0.45">
      <c r="A90" t="s">
        <v>58</v>
      </c>
      <c r="B90">
        <v>2009</v>
      </c>
      <c r="C90" t="s">
        <v>74</v>
      </c>
      <c r="D90">
        <v>0.89</v>
      </c>
    </row>
    <row r="91" spans="1:4" x14ac:dyDescent="0.45">
      <c r="A91" t="s">
        <v>91</v>
      </c>
      <c r="B91">
        <v>2009</v>
      </c>
      <c r="C91" t="s">
        <v>74</v>
      </c>
      <c r="D91">
        <v>73.89</v>
      </c>
    </row>
    <row r="92" spans="1:4" x14ac:dyDescent="0.45">
      <c r="A92" t="s">
        <v>32</v>
      </c>
      <c r="B92">
        <v>2010</v>
      </c>
      <c r="C92" t="s">
        <v>74</v>
      </c>
      <c r="D92">
        <v>56.09</v>
      </c>
    </row>
    <row r="93" spans="1:4" x14ac:dyDescent="0.45">
      <c r="A93" t="s">
        <v>34</v>
      </c>
      <c r="B93">
        <v>2010</v>
      </c>
      <c r="C93" t="s">
        <v>74</v>
      </c>
      <c r="D93">
        <v>1847.29</v>
      </c>
    </row>
    <row r="94" spans="1:4" x14ac:dyDescent="0.45">
      <c r="A94" t="s">
        <v>36</v>
      </c>
      <c r="B94">
        <v>2010</v>
      </c>
      <c r="C94" t="s">
        <v>74</v>
      </c>
      <c r="D94">
        <v>987.7</v>
      </c>
    </row>
    <row r="95" spans="1:4" x14ac:dyDescent="0.45">
      <c r="A95" t="s">
        <v>56</v>
      </c>
      <c r="B95">
        <v>2010</v>
      </c>
      <c r="C95" t="s">
        <v>74</v>
      </c>
      <c r="D95">
        <v>254.7</v>
      </c>
    </row>
    <row r="96" spans="1:4" x14ac:dyDescent="0.45">
      <c r="A96" t="s">
        <v>57</v>
      </c>
      <c r="B96">
        <v>2010</v>
      </c>
      <c r="C96" t="s">
        <v>74</v>
      </c>
      <c r="D96">
        <v>806.97</v>
      </c>
    </row>
    <row r="97" spans="1:4" x14ac:dyDescent="0.45">
      <c r="A97" t="s">
        <v>38</v>
      </c>
      <c r="B97">
        <v>2010</v>
      </c>
      <c r="C97" t="s">
        <v>74</v>
      </c>
      <c r="D97">
        <v>47.5</v>
      </c>
    </row>
    <row r="98" spans="1:4" x14ac:dyDescent="0.45">
      <c r="A98" t="s">
        <v>32</v>
      </c>
      <c r="B98">
        <v>2010</v>
      </c>
      <c r="C98" t="s">
        <v>74</v>
      </c>
      <c r="D98">
        <v>17.829999999999998</v>
      </c>
    </row>
    <row r="99" spans="1:4" x14ac:dyDescent="0.45">
      <c r="A99" t="s">
        <v>58</v>
      </c>
      <c r="B99">
        <v>2010</v>
      </c>
      <c r="C99" t="s">
        <v>74</v>
      </c>
      <c r="D99">
        <v>1.21</v>
      </c>
    </row>
    <row r="100" spans="1:4" x14ac:dyDescent="0.45">
      <c r="A100" t="s">
        <v>91</v>
      </c>
      <c r="B100">
        <v>2010</v>
      </c>
      <c r="C100" t="s">
        <v>74</v>
      </c>
      <c r="D100">
        <v>94.65</v>
      </c>
    </row>
    <row r="101" spans="1:4" x14ac:dyDescent="0.45">
      <c r="A101" t="s">
        <v>32</v>
      </c>
      <c r="B101">
        <v>2011</v>
      </c>
      <c r="C101" t="s">
        <v>74</v>
      </c>
      <c r="D101">
        <v>56.67</v>
      </c>
    </row>
    <row r="102" spans="1:4" x14ac:dyDescent="0.45">
      <c r="A102" t="s">
        <v>34</v>
      </c>
      <c r="B102">
        <v>2011</v>
      </c>
      <c r="C102" t="s">
        <v>74</v>
      </c>
      <c r="D102">
        <v>1733.43</v>
      </c>
    </row>
    <row r="103" spans="1:4" x14ac:dyDescent="0.45">
      <c r="A103" t="s">
        <v>36</v>
      </c>
      <c r="B103">
        <v>2011</v>
      </c>
      <c r="C103" t="s">
        <v>74</v>
      </c>
      <c r="D103">
        <v>1013.69</v>
      </c>
    </row>
    <row r="104" spans="1:4" x14ac:dyDescent="0.45">
      <c r="A104" t="s">
        <v>56</v>
      </c>
      <c r="B104">
        <v>2011</v>
      </c>
      <c r="C104" t="s">
        <v>74</v>
      </c>
      <c r="D104">
        <v>312.93</v>
      </c>
    </row>
    <row r="105" spans="1:4" x14ac:dyDescent="0.45">
      <c r="A105" t="s">
        <v>57</v>
      </c>
      <c r="B105">
        <v>2011</v>
      </c>
      <c r="C105" t="s">
        <v>74</v>
      </c>
      <c r="D105">
        <v>790.2</v>
      </c>
    </row>
    <row r="106" spans="1:4" x14ac:dyDescent="0.45">
      <c r="A106" t="s">
        <v>38</v>
      </c>
      <c r="B106">
        <v>2011</v>
      </c>
      <c r="C106" t="s">
        <v>74</v>
      </c>
      <c r="D106">
        <v>41.81</v>
      </c>
    </row>
    <row r="107" spans="1:4" x14ac:dyDescent="0.45">
      <c r="A107" t="s">
        <v>32</v>
      </c>
      <c r="B107">
        <v>2011</v>
      </c>
      <c r="C107" t="s">
        <v>74</v>
      </c>
      <c r="D107">
        <v>18.14</v>
      </c>
    </row>
    <row r="108" spans="1:4" x14ac:dyDescent="0.45">
      <c r="A108" t="s">
        <v>58</v>
      </c>
      <c r="B108">
        <v>2011</v>
      </c>
      <c r="C108" t="s">
        <v>74</v>
      </c>
      <c r="D108">
        <v>1.82</v>
      </c>
    </row>
    <row r="109" spans="1:4" x14ac:dyDescent="0.45">
      <c r="A109" t="s">
        <v>91</v>
      </c>
      <c r="B109">
        <v>2011</v>
      </c>
      <c r="C109" t="s">
        <v>74</v>
      </c>
      <c r="D109">
        <v>120.18</v>
      </c>
    </row>
    <row r="110" spans="1:4" x14ac:dyDescent="0.45">
      <c r="A110" t="s">
        <v>32</v>
      </c>
      <c r="B110">
        <v>2012</v>
      </c>
      <c r="C110" t="s">
        <v>74</v>
      </c>
      <c r="D110">
        <v>57.62</v>
      </c>
    </row>
    <row r="111" spans="1:4" x14ac:dyDescent="0.45">
      <c r="A111" t="s">
        <v>34</v>
      </c>
      <c r="B111">
        <v>2012</v>
      </c>
      <c r="C111" t="s">
        <v>74</v>
      </c>
      <c r="D111">
        <v>1514.04</v>
      </c>
    </row>
    <row r="112" spans="1:4" x14ac:dyDescent="0.45">
      <c r="A112" t="s">
        <v>36</v>
      </c>
      <c r="B112">
        <v>2012</v>
      </c>
      <c r="C112" t="s">
        <v>74</v>
      </c>
      <c r="D112">
        <v>1225.8900000000001</v>
      </c>
    </row>
    <row r="113" spans="1:4" x14ac:dyDescent="0.45">
      <c r="A113" t="s">
        <v>56</v>
      </c>
      <c r="B113">
        <v>2012</v>
      </c>
      <c r="C113" t="s">
        <v>74</v>
      </c>
      <c r="D113">
        <v>271.29000000000002</v>
      </c>
    </row>
    <row r="114" spans="1:4" x14ac:dyDescent="0.45">
      <c r="A114" t="s">
        <v>57</v>
      </c>
      <c r="B114">
        <v>2012</v>
      </c>
      <c r="C114" t="s">
        <v>74</v>
      </c>
      <c r="D114">
        <v>769.33</v>
      </c>
    </row>
    <row r="115" spans="1:4" x14ac:dyDescent="0.45">
      <c r="A115" t="s">
        <v>38</v>
      </c>
      <c r="B115">
        <v>2012</v>
      </c>
      <c r="C115" t="s">
        <v>74</v>
      </c>
      <c r="D115">
        <v>39.090000000000003</v>
      </c>
    </row>
    <row r="116" spans="1:4" x14ac:dyDescent="0.45">
      <c r="A116" t="s">
        <v>32</v>
      </c>
      <c r="B116">
        <v>2012</v>
      </c>
      <c r="C116" t="s">
        <v>74</v>
      </c>
      <c r="D116">
        <v>18.260000000000002</v>
      </c>
    </row>
    <row r="117" spans="1:4" x14ac:dyDescent="0.45">
      <c r="A117" t="s">
        <v>58</v>
      </c>
      <c r="B117">
        <v>2012</v>
      </c>
      <c r="C117" t="s">
        <v>74</v>
      </c>
      <c r="D117">
        <v>4.33</v>
      </c>
    </row>
    <row r="118" spans="1:4" x14ac:dyDescent="0.45">
      <c r="A118" t="s">
        <v>91</v>
      </c>
      <c r="B118">
        <v>2012</v>
      </c>
      <c r="C118" t="s">
        <v>74</v>
      </c>
      <c r="D118">
        <v>140.82</v>
      </c>
    </row>
    <row r="119" spans="1:4" x14ac:dyDescent="0.45">
      <c r="A119" t="s">
        <v>32</v>
      </c>
      <c r="B119">
        <v>2013</v>
      </c>
      <c r="C119" t="s">
        <v>74</v>
      </c>
      <c r="D119">
        <v>60.86</v>
      </c>
    </row>
    <row r="120" spans="1:4" x14ac:dyDescent="0.45">
      <c r="A120" t="s">
        <v>34</v>
      </c>
      <c r="B120">
        <v>2013</v>
      </c>
      <c r="C120" t="s">
        <v>74</v>
      </c>
      <c r="D120">
        <v>1581.11</v>
      </c>
    </row>
    <row r="121" spans="1:4" x14ac:dyDescent="0.45">
      <c r="A121" t="s">
        <v>36</v>
      </c>
      <c r="B121">
        <v>2013</v>
      </c>
      <c r="C121" t="s">
        <v>74</v>
      </c>
      <c r="D121">
        <v>1124.8399999999999</v>
      </c>
    </row>
    <row r="122" spans="1:4" x14ac:dyDescent="0.45">
      <c r="A122" t="s">
        <v>56</v>
      </c>
      <c r="B122">
        <v>2013</v>
      </c>
      <c r="C122" t="s">
        <v>74</v>
      </c>
      <c r="D122">
        <v>263.88</v>
      </c>
    </row>
    <row r="123" spans="1:4" x14ac:dyDescent="0.45">
      <c r="A123" t="s">
        <v>57</v>
      </c>
      <c r="B123">
        <v>2013</v>
      </c>
      <c r="C123" t="s">
        <v>74</v>
      </c>
      <c r="D123">
        <v>789.02</v>
      </c>
    </row>
    <row r="124" spans="1:4" x14ac:dyDescent="0.45">
      <c r="A124" t="s">
        <v>38</v>
      </c>
      <c r="B124">
        <v>2013</v>
      </c>
      <c r="C124" t="s">
        <v>74</v>
      </c>
      <c r="D124">
        <v>40.26</v>
      </c>
    </row>
    <row r="125" spans="1:4" x14ac:dyDescent="0.45">
      <c r="A125" t="s">
        <v>32</v>
      </c>
      <c r="B125">
        <v>2013</v>
      </c>
      <c r="C125" t="s">
        <v>74</v>
      </c>
      <c r="D125">
        <v>18.760000000000002</v>
      </c>
    </row>
    <row r="126" spans="1:4" x14ac:dyDescent="0.45">
      <c r="A126" t="s">
        <v>58</v>
      </c>
      <c r="B126">
        <v>2013</v>
      </c>
      <c r="C126" t="s">
        <v>74</v>
      </c>
      <c r="D126">
        <v>9.0399999999999991</v>
      </c>
    </row>
    <row r="127" spans="1:4" x14ac:dyDescent="0.45">
      <c r="A127" t="s">
        <v>91</v>
      </c>
      <c r="B127">
        <v>2013</v>
      </c>
      <c r="C127" t="s">
        <v>74</v>
      </c>
      <c r="D127">
        <v>167.84</v>
      </c>
    </row>
    <row r="128" spans="1:4" x14ac:dyDescent="0.45">
      <c r="A128" t="s">
        <v>32</v>
      </c>
      <c r="B128">
        <v>2014</v>
      </c>
      <c r="C128" t="s">
        <v>74</v>
      </c>
      <c r="D128">
        <v>63.99</v>
      </c>
    </row>
    <row r="129" spans="1:4" x14ac:dyDescent="0.45">
      <c r="A129" t="s">
        <v>34</v>
      </c>
      <c r="B129">
        <v>2014</v>
      </c>
      <c r="C129" t="s">
        <v>74</v>
      </c>
      <c r="D129">
        <v>1581.71</v>
      </c>
    </row>
    <row r="130" spans="1:4" x14ac:dyDescent="0.45">
      <c r="A130" t="s">
        <v>36</v>
      </c>
      <c r="B130">
        <v>2014</v>
      </c>
      <c r="C130" t="s">
        <v>74</v>
      </c>
      <c r="D130">
        <v>1126.6099999999999</v>
      </c>
    </row>
    <row r="131" spans="1:4" x14ac:dyDescent="0.45">
      <c r="A131" t="s">
        <v>56</v>
      </c>
      <c r="B131">
        <v>2014</v>
      </c>
      <c r="C131" t="s">
        <v>74</v>
      </c>
      <c r="D131">
        <v>253.19</v>
      </c>
    </row>
    <row r="132" spans="1:4" x14ac:dyDescent="0.45">
      <c r="A132" t="s">
        <v>57</v>
      </c>
      <c r="B132">
        <v>2014</v>
      </c>
      <c r="C132" t="s">
        <v>74</v>
      </c>
      <c r="D132">
        <v>797.17</v>
      </c>
    </row>
    <row r="133" spans="1:4" x14ac:dyDescent="0.45">
      <c r="A133" t="s">
        <v>38</v>
      </c>
      <c r="B133">
        <v>2014</v>
      </c>
      <c r="C133" t="s">
        <v>74</v>
      </c>
      <c r="D133">
        <v>43.69</v>
      </c>
    </row>
    <row r="134" spans="1:4" x14ac:dyDescent="0.45">
      <c r="A134" t="s">
        <v>32</v>
      </c>
      <c r="B134">
        <v>2014</v>
      </c>
      <c r="C134" t="s">
        <v>74</v>
      </c>
      <c r="D134">
        <v>19.079999999999998</v>
      </c>
    </row>
    <row r="135" spans="1:4" x14ac:dyDescent="0.45">
      <c r="A135" t="s">
        <v>58</v>
      </c>
      <c r="B135">
        <v>2014</v>
      </c>
      <c r="C135" t="s">
        <v>74</v>
      </c>
      <c r="D135">
        <v>28.92</v>
      </c>
    </row>
    <row r="136" spans="1:4" x14ac:dyDescent="0.45">
      <c r="A136" t="s">
        <v>91</v>
      </c>
      <c r="B136">
        <v>2014</v>
      </c>
      <c r="C136" t="s">
        <v>74</v>
      </c>
      <c r="D136">
        <v>181.65</v>
      </c>
    </row>
    <row r="137" spans="1:4" x14ac:dyDescent="0.45">
      <c r="A137" t="s">
        <v>32</v>
      </c>
      <c r="B137">
        <v>2015</v>
      </c>
      <c r="C137" t="s">
        <v>74</v>
      </c>
      <c r="D137">
        <v>63.63</v>
      </c>
    </row>
    <row r="138" spans="1:4" x14ac:dyDescent="0.45">
      <c r="A138" t="s">
        <v>34</v>
      </c>
      <c r="B138">
        <v>2015</v>
      </c>
      <c r="C138" t="s">
        <v>74</v>
      </c>
      <c r="D138">
        <v>1352.4</v>
      </c>
    </row>
    <row r="139" spans="1:4" x14ac:dyDescent="0.45">
      <c r="A139" t="s">
        <v>36</v>
      </c>
      <c r="B139">
        <v>2015</v>
      </c>
      <c r="C139" t="s">
        <v>74</v>
      </c>
      <c r="D139">
        <v>1333.48</v>
      </c>
    </row>
    <row r="140" spans="1:4" x14ac:dyDescent="0.45">
      <c r="A140" t="s">
        <v>56</v>
      </c>
      <c r="B140">
        <v>2015</v>
      </c>
      <c r="C140" t="s">
        <v>74</v>
      </c>
      <c r="D140">
        <v>243.99</v>
      </c>
    </row>
    <row r="141" spans="1:4" x14ac:dyDescent="0.45">
      <c r="A141" t="s">
        <v>57</v>
      </c>
      <c r="B141">
        <v>2015</v>
      </c>
      <c r="C141" t="s">
        <v>74</v>
      </c>
      <c r="D141">
        <v>797.18</v>
      </c>
    </row>
    <row r="142" spans="1:4" x14ac:dyDescent="0.45">
      <c r="A142" t="s">
        <v>38</v>
      </c>
      <c r="B142">
        <v>2015</v>
      </c>
      <c r="C142" t="s">
        <v>74</v>
      </c>
      <c r="D142">
        <v>44.44</v>
      </c>
    </row>
    <row r="143" spans="1:4" x14ac:dyDescent="0.45">
      <c r="A143" t="s">
        <v>32</v>
      </c>
      <c r="B143">
        <v>2015</v>
      </c>
      <c r="C143" t="s">
        <v>74</v>
      </c>
      <c r="D143">
        <v>19.12</v>
      </c>
    </row>
    <row r="144" spans="1:4" x14ac:dyDescent="0.45">
      <c r="A144" t="s">
        <v>58</v>
      </c>
      <c r="B144">
        <v>2015</v>
      </c>
      <c r="C144" t="s">
        <v>74</v>
      </c>
      <c r="D144">
        <v>39.03</v>
      </c>
    </row>
    <row r="145" spans="1:4" x14ac:dyDescent="0.45">
      <c r="A145" t="s">
        <v>91</v>
      </c>
      <c r="B145">
        <v>2015</v>
      </c>
      <c r="C145" t="s">
        <v>74</v>
      </c>
      <c r="D145">
        <v>190.72</v>
      </c>
    </row>
    <row r="146" spans="1:4" x14ac:dyDescent="0.45">
      <c r="A146" t="s">
        <v>32</v>
      </c>
      <c r="B146">
        <v>2016</v>
      </c>
      <c r="C146" t="s">
        <v>74</v>
      </c>
      <c r="D146">
        <v>62.76</v>
      </c>
    </row>
    <row r="147" spans="1:4" x14ac:dyDescent="0.45">
      <c r="A147" t="s">
        <v>34</v>
      </c>
      <c r="B147">
        <v>2016</v>
      </c>
      <c r="C147" t="s">
        <v>74</v>
      </c>
      <c r="D147">
        <v>1239.1500000000001</v>
      </c>
    </row>
    <row r="148" spans="1:4" x14ac:dyDescent="0.45">
      <c r="A148" t="s">
        <v>36</v>
      </c>
      <c r="B148">
        <v>2016</v>
      </c>
      <c r="C148" t="s">
        <v>74</v>
      </c>
      <c r="D148">
        <v>1378.31</v>
      </c>
    </row>
    <row r="149" spans="1:4" x14ac:dyDescent="0.45">
      <c r="A149" t="s">
        <v>56</v>
      </c>
      <c r="B149">
        <v>2016</v>
      </c>
      <c r="C149" t="s">
        <v>74</v>
      </c>
      <c r="D149">
        <v>261.13</v>
      </c>
    </row>
    <row r="150" spans="1:4" x14ac:dyDescent="0.45">
      <c r="A150" t="s">
        <v>57</v>
      </c>
      <c r="B150">
        <v>2016</v>
      </c>
      <c r="C150" t="s">
        <v>74</v>
      </c>
      <c r="D150">
        <v>805.69</v>
      </c>
    </row>
    <row r="151" spans="1:4" x14ac:dyDescent="0.45">
      <c r="A151" t="s">
        <v>38</v>
      </c>
      <c r="B151">
        <v>2016</v>
      </c>
      <c r="C151" t="s">
        <v>74</v>
      </c>
      <c r="D151">
        <v>39.5</v>
      </c>
    </row>
    <row r="152" spans="1:4" x14ac:dyDescent="0.45">
      <c r="A152" t="s">
        <v>32</v>
      </c>
      <c r="B152">
        <v>2016</v>
      </c>
      <c r="C152" t="s">
        <v>74</v>
      </c>
      <c r="D152">
        <v>19.16</v>
      </c>
    </row>
    <row r="153" spans="1:4" x14ac:dyDescent="0.45">
      <c r="A153" t="s">
        <v>58</v>
      </c>
      <c r="B153">
        <v>2016</v>
      </c>
      <c r="C153" t="s">
        <v>74</v>
      </c>
      <c r="D153">
        <v>54.87</v>
      </c>
    </row>
    <row r="154" spans="1:4" x14ac:dyDescent="0.45">
      <c r="A154" t="s">
        <v>91</v>
      </c>
      <c r="B154">
        <v>2016</v>
      </c>
      <c r="C154" t="s">
        <v>74</v>
      </c>
      <c r="D154">
        <v>226.99</v>
      </c>
    </row>
    <row r="155" spans="1:4" x14ac:dyDescent="0.45">
      <c r="A155" t="s">
        <v>32</v>
      </c>
      <c r="B155">
        <v>2017</v>
      </c>
      <c r="C155" t="s">
        <v>74</v>
      </c>
      <c r="D155">
        <v>62.73</v>
      </c>
    </row>
    <row r="156" spans="1:4" x14ac:dyDescent="0.45">
      <c r="A156" t="s">
        <v>34</v>
      </c>
      <c r="B156">
        <v>2017</v>
      </c>
      <c r="C156" t="s">
        <v>74</v>
      </c>
      <c r="D156">
        <v>1205.8399999999999</v>
      </c>
    </row>
    <row r="157" spans="1:4" x14ac:dyDescent="0.45">
      <c r="A157" t="s">
        <v>36</v>
      </c>
      <c r="B157">
        <v>2017</v>
      </c>
      <c r="C157" t="s">
        <v>74</v>
      </c>
      <c r="D157">
        <v>1296.44</v>
      </c>
    </row>
    <row r="158" spans="1:4" x14ac:dyDescent="0.45">
      <c r="A158" t="s">
        <v>56</v>
      </c>
      <c r="B158">
        <v>2017</v>
      </c>
      <c r="C158" t="s">
        <v>74</v>
      </c>
      <c r="D158">
        <v>293.83999999999997</v>
      </c>
    </row>
    <row r="159" spans="1:4" x14ac:dyDescent="0.45">
      <c r="A159" t="s">
        <v>57</v>
      </c>
      <c r="B159">
        <v>2017</v>
      </c>
      <c r="C159" t="s">
        <v>74</v>
      </c>
      <c r="D159">
        <v>804.95</v>
      </c>
    </row>
    <row r="160" spans="1:4" x14ac:dyDescent="0.45">
      <c r="A160" t="s">
        <v>38</v>
      </c>
      <c r="B160">
        <v>2017</v>
      </c>
      <c r="C160" t="s">
        <v>74</v>
      </c>
      <c r="D160">
        <v>37.89</v>
      </c>
    </row>
    <row r="161" spans="1:4" x14ac:dyDescent="0.45">
      <c r="A161" t="s">
        <v>32</v>
      </c>
      <c r="B161">
        <v>2017</v>
      </c>
      <c r="C161" t="s">
        <v>74</v>
      </c>
      <c r="D161">
        <v>19.04</v>
      </c>
    </row>
    <row r="162" spans="1:4" x14ac:dyDescent="0.45">
      <c r="A162" t="s">
        <v>58</v>
      </c>
      <c r="B162">
        <v>2017</v>
      </c>
      <c r="C162" t="s">
        <v>74</v>
      </c>
      <c r="D162">
        <v>77.28</v>
      </c>
    </row>
    <row r="163" spans="1:4" x14ac:dyDescent="0.45">
      <c r="A163" t="s">
        <v>91</v>
      </c>
      <c r="B163">
        <v>2017</v>
      </c>
      <c r="C163" t="s">
        <v>74</v>
      </c>
      <c r="D163">
        <v>254.3</v>
      </c>
    </row>
    <row r="164" spans="1:4" x14ac:dyDescent="0.45">
      <c r="A164" t="s">
        <v>32</v>
      </c>
      <c r="B164">
        <v>2018</v>
      </c>
      <c r="C164" t="s">
        <v>74</v>
      </c>
      <c r="D164">
        <v>61.83</v>
      </c>
    </row>
    <row r="165" spans="1:4" x14ac:dyDescent="0.45">
      <c r="A165" t="s">
        <v>34</v>
      </c>
      <c r="B165">
        <v>2018</v>
      </c>
      <c r="C165" t="s">
        <v>74</v>
      </c>
      <c r="D165">
        <v>1149.49</v>
      </c>
    </row>
    <row r="166" spans="1:4" x14ac:dyDescent="0.45">
      <c r="A166" t="s">
        <v>36</v>
      </c>
      <c r="B166">
        <v>2018</v>
      </c>
      <c r="C166" t="s">
        <v>74</v>
      </c>
      <c r="D166">
        <v>1469.13</v>
      </c>
    </row>
    <row r="167" spans="1:4" x14ac:dyDescent="0.45">
      <c r="A167" t="s">
        <v>56</v>
      </c>
      <c r="B167">
        <v>2018</v>
      </c>
      <c r="C167" t="s">
        <v>74</v>
      </c>
      <c r="D167">
        <v>286.62</v>
      </c>
    </row>
    <row r="168" spans="1:4" x14ac:dyDescent="0.45">
      <c r="A168" t="s">
        <v>57</v>
      </c>
      <c r="B168">
        <v>2018</v>
      </c>
      <c r="C168" t="s">
        <v>74</v>
      </c>
      <c r="D168">
        <v>807.08</v>
      </c>
    </row>
    <row r="169" spans="1:4" x14ac:dyDescent="0.45">
      <c r="A169" t="s">
        <v>38</v>
      </c>
      <c r="B169">
        <v>2018</v>
      </c>
      <c r="C169" t="s">
        <v>74</v>
      </c>
      <c r="D169">
        <v>42.68</v>
      </c>
    </row>
    <row r="170" spans="1:4" x14ac:dyDescent="0.45">
      <c r="A170" t="s">
        <v>32</v>
      </c>
      <c r="B170">
        <v>2018</v>
      </c>
      <c r="C170" t="s">
        <v>74</v>
      </c>
      <c r="D170">
        <v>18.690000000000001</v>
      </c>
    </row>
    <row r="171" spans="1:4" x14ac:dyDescent="0.45">
      <c r="A171" t="s">
        <v>58</v>
      </c>
      <c r="B171">
        <v>2018</v>
      </c>
      <c r="C171" t="s">
        <v>74</v>
      </c>
      <c r="D171">
        <v>93.36</v>
      </c>
    </row>
    <row r="172" spans="1:4" x14ac:dyDescent="0.45">
      <c r="A172" t="s">
        <v>91</v>
      </c>
      <c r="B172">
        <v>2018</v>
      </c>
      <c r="C172" t="s">
        <v>74</v>
      </c>
      <c r="D172">
        <v>272.67</v>
      </c>
    </row>
    <row r="173" spans="1:4" x14ac:dyDescent="0.45">
      <c r="A173" t="s">
        <v>32</v>
      </c>
      <c r="B173">
        <v>2019</v>
      </c>
      <c r="C173" t="s">
        <v>74</v>
      </c>
      <c r="D173">
        <v>57.51</v>
      </c>
    </row>
    <row r="174" spans="1:4" x14ac:dyDescent="0.45">
      <c r="A174" t="s">
        <v>34</v>
      </c>
      <c r="B174">
        <v>2019</v>
      </c>
      <c r="C174" t="s">
        <v>74</v>
      </c>
      <c r="D174">
        <v>964.96</v>
      </c>
    </row>
    <row r="175" spans="1:4" x14ac:dyDescent="0.45">
      <c r="A175" t="s">
        <v>36</v>
      </c>
      <c r="B175">
        <v>2019</v>
      </c>
      <c r="C175" t="s">
        <v>74</v>
      </c>
      <c r="D175">
        <v>1585.81</v>
      </c>
    </row>
    <row r="176" spans="1:4" x14ac:dyDescent="0.45">
      <c r="A176" t="s">
        <v>56</v>
      </c>
      <c r="B176">
        <v>2019</v>
      </c>
      <c r="C176" t="s">
        <v>74</v>
      </c>
      <c r="D176">
        <v>282.61</v>
      </c>
    </row>
    <row r="177" spans="1:4" x14ac:dyDescent="0.45">
      <c r="A177" t="s">
        <v>57</v>
      </c>
      <c r="B177">
        <v>2019</v>
      </c>
      <c r="C177" t="s">
        <v>74</v>
      </c>
      <c r="D177">
        <v>809.41</v>
      </c>
    </row>
    <row r="178" spans="1:4" x14ac:dyDescent="0.45">
      <c r="A178" t="s">
        <v>38</v>
      </c>
      <c r="B178">
        <v>2019</v>
      </c>
      <c r="C178" t="s">
        <v>74</v>
      </c>
      <c r="D178">
        <v>37.44</v>
      </c>
    </row>
    <row r="179" spans="1:4" x14ac:dyDescent="0.45">
      <c r="A179" t="s">
        <v>32</v>
      </c>
      <c r="B179">
        <v>2019</v>
      </c>
      <c r="C179" t="s">
        <v>74</v>
      </c>
      <c r="D179">
        <v>17.87</v>
      </c>
    </row>
    <row r="180" spans="1:4" x14ac:dyDescent="0.45">
      <c r="A180" t="s">
        <v>58</v>
      </c>
      <c r="B180">
        <v>2019</v>
      </c>
      <c r="C180" t="s">
        <v>74</v>
      </c>
      <c r="D180">
        <v>106.89</v>
      </c>
    </row>
    <row r="181" spans="1:4" x14ac:dyDescent="0.45">
      <c r="A181" t="s">
        <v>91</v>
      </c>
      <c r="B181">
        <v>2019</v>
      </c>
      <c r="C181" t="s">
        <v>74</v>
      </c>
      <c r="D181">
        <v>295.88</v>
      </c>
    </row>
    <row r="182" spans="1:4" x14ac:dyDescent="0.45">
      <c r="A182" t="s">
        <v>32</v>
      </c>
      <c r="B182">
        <v>2020</v>
      </c>
      <c r="C182" t="s">
        <v>74</v>
      </c>
      <c r="D182">
        <v>54.7</v>
      </c>
    </row>
    <row r="183" spans="1:4" x14ac:dyDescent="0.45">
      <c r="A183" t="s">
        <v>34</v>
      </c>
      <c r="B183">
        <v>2020</v>
      </c>
      <c r="C183" t="s">
        <v>74</v>
      </c>
      <c r="D183">
        <v>773.39</v>
      </c>
    </row>
    <row r="184" spans="1:4" x14ac:dyDescent="0.45">
      <c r="A184" t="s">
        <v>36</v>
      </c>
      <c r="B184">
        <v>2020</v>
      </c>
      <c r="C184" t="s">
        <v>74</v>
      </c>
      <c r="D184">
        <v>1624.17</v>
      </c>
    </row>
    <row r="185" spans="1:4" x14ac:dyDescent="0.45">
      <c r="A185" t="s">
        <v>56</v>
      </c>
      <c r="B185">
        <v>2020</v>
      </c>
      <c r="C185" t="s">
        <v>74</v>
      </c>
      <c r="D185">
        <v>279.95</v>
      </c>
    </row>
    <row r="186" spans="1:4" x14ac:dyDescent="0.45">
      <c r="A186" t="s">
        <v>57</v>
      </c>
      <c r="B186">
        <v>2020</v>
      </c>
      <c r="C186" t="s">
        <v>74</v>
      </c>
      <c r="D186">
        <v>789.88</v>
      </c>
    </row>
    <row r="187" spans="1:4" x14ac:dyDescent="0.45">
      <c r="A187" t="s">
        <v>38</v>
      </c>
      <c r="B187">
        <v>2020</v>
      </c>
      <c r="C187" t="s">
        <v>74</v>
      </c>
      <c r="D187">
        <v>34.340000000000003</v>
      </c>
    </row>
    <row r="188" spans="1:4" x14ac:dyDescent="0.45">
      <c r="A188" t="s">
        <v>32</v>
      </c>
      <c r="B188">
        <v>2020</v>
      </c>
      <c r="C188" t="s">
        <v>74</v>
      </c>
      <c r="D188">
        <v>18.09</v>
      </c>
    </row>
    <row r="189" spans="1:4" x14ac:dyDescent="0.45">
      <c r="A189" t="s">
        <v>58</v>
      </c>
      <c r="B189">
        <v>2020</v>
      </c>
      <c r="C189" t="s">
        <v>74</v>
      </c>
      <c r="D189">
        <v>130.72</v>
      </c>
    </row>
    <row r="190" spans="1:4" x14ac:dyDescent="0.45">
      <c r="A190" t="s">
        <v>91</v>
      </c>
      <c r="B190">
        <v>2020</v>
      </c>
      <c r="C190" t="s">
        <v>74</v>
      </c>
      <c r="D190">
        <v>337.94</v>
      </c>
    </row>
    <row r="191" spans="1:4" x14ac:dyDescent="0.45">
      <c r="A191" t="s">
        <v>32</v>
      </c>
      <c r="B191">
        <v>2021</v>
      </c>
      <c r="C191" t="s">
        <v>74</v>
      </c>
      <c r="D191">
        <v>54.25</v>
      </c>
    </row>
    <row r="192" spans="1:4" x14ac:dyDescent="0.45">
      <c r="A192" t="s">
        <v>34</v>
      </c>
      <c r="B192">
        <v>2021</v>
      </c>
      <c r="C192" t="s">
        <v>74</v>
      </c>
      <c r="D192">
        <v>898</v>
      </c>
    </row>
    <row r="193" spans="1:4" x14ac:dyDescent="0.45">
      <c r="A193" t="s">
        <v>36</v>
      </c>
      <c r="B193">
        <v>2021</v>
      </c>
      <c r="C193" t="s">
        <v>74</v>
      </c>
      <c r="D193">
        <v>1579.19</v>
      </c>
    </row>
    <row r="194" spans="1:4" x14ac:dyDescent="0.45">
      <c r="A194" t="s">
        <v>56</v>
      </c>
      <c r="B194">
        <v>2021</v>
      </c>
      <c r="C194" t="s">
        <v>74</v>
      </c>
      <c r="D194">
        <v>246.47</v>
      </c>
    </row>
    <row r="195" spans="1:4" x14ac:dyDescent="0.45">
      <c r="A195" t="s">
        <v>57</v>
      </c>
      <c r="B195">
        <v>2021</v>
      </c>
      <c r="C195" t="s">
        <v>74</v>
      </c>
      <c r="D195">
        <v>779.65</v>
      </c>
    </row>
    <row r="196" spans="1:4" x14ac:dyDescent="0.45">
      <c r="A196" t="s">
        <v>38</v>
      </c>
      <c r="B196">
        <v>2021</v>
      </c>
      <c r="C196" t="s">
        <v>74</v>
      </c>
      <c r="D196">
        <v>35.200000000000003</v>
      </c>
    </row>
    <row r="197" spans="1:4" x14ac:dyDescent="0.45">
      <c r="A197" t="s">
        <v>32</v>
      </c>
      <c r="B197">
        <v>2021</v>
      </c>
      <c r="C197" t="s">
        <v>74</v>
      </c>
      <c r="D197">
        <v>18.239999999999998</v>
      </c>
    </row>
    <row r="198" spans="1:4" x14ac:dyDescent="0.45">
      <c r="A198" t="s">
        <v>58</v>
      </c>
      <c r="B198">
        <v>2021</v>
      </c>
      <c r="C198" t="s">
        <v>74</v>
      </c>
      <c r="D198">
        <v>164.42</v>
      </c>
    </row>
    <row r="199" spans="1:4" x14ac:dyDescent="0.45">
      <c r="A199" t="s">
        <v>91</v>
      </c>
      <c r="B199">
        <v>2021</v>
      </c>
      <c r="C199" t="s">
        <v>74</v>
      </c>
      <c r="D199">
        <v>378.2</v>
      </c>
    </row>
    <row r="200" spans="1:4" x14ac:dyDescent="0.45">
      <c r="A200" t="s">
        <v>32</v>
      </c>
      <c r="B200">
        <v>2022</v>
      </c>
      <c r="C200" t="s">
        <v>74</v>
      </c>
      <c r="D200">
        <v>51.85</v>
      </c>
    </row>
    <row r="201" spans="1:4" x14ac:dyDescent="0.45">
      <c r="A201" t="s">
        <v>34</v>
      </c>
      <c r="B201">
        <v>2022</v>
      </c>
      <c r="C201" t="s">
        <v>74</v>
      </c>
      <c r="D201">
        <v>831.51</v>
      </c>
    </row>
    <row r="202" spans="1:4" x14ac:dyDescent="0.45">
      <c r="A202" t="s">
        <v>36</v>
      </c>
      <c r="B202">
        <v>2022</v>
      </c>
      <c r="C202" t="s">
        <v>74</v>
      </c>
      <c r="D202">
        <v>1687.06</v>
      </c>
    </row>
    <row r="203" spans="1:4" x14ac:dyDescent="0.45">
      <c r="A203" t="s">
        <v>56</v>
      </c>
      <c r="B203">
        <v>2022</v>
      </c>
      <c r="C203" t="s">
        <v>74</v>
      </c>
      <c r="D203">
        <v>248.76</v>
      </c>
    </row>
    <row r="204" spans="1:4" x14ac:dyDescent="0.45">
      <c r="A204" t="s">
        <v>57</v>
      </c>
      <c r="B204">
        <v>2022</v>
      </c>
      <c r="C204" t="s">
        <v>74</v>
      </c>
      <c r="D204">
        <v>771.54</v>
      </c>
    </row>
    <row r="205" spans="1:4" x14ac:dyDescent="0.45">
      <c r="A205" t="s">
        <v>38</v>
      </c>
      <c r="B205">
        <v>2022</v>
      </c>
      <c r="C205" t="s">
        <v>74</v>
      </c>
      <c r="D205">
        <v>38.64</v>
      </c>
    </row>
    <row r="206" spans="1:4" x14ac:dyDescent="0.45">
      <c r="A206" t="s">
        <v>32</v>
      </c>
      <c r="B206">
        <v>2022</v>
      </c>
      <c r="C206" t="s">
        <v>74</v>
      </c>
      <c r="D206">
        <v>18.16</v>
      </c>
    </row>
    <row r="207" spans="1:4" x14ac:dyDescent="0.45">
      <c r="A207" t="s">
        <v>58</v>
      </c>
      <c r="B207">
        <v>2022</v>
      </c>
      <c r="C207" t="s">
        <v>74</v>
      </c>
      <c r="D207">
        <v>205.07</v>
      </c>
    </row>
    <row r="208" spans="1:4" x14ac:dyDescent="0.45">
      <c r="A208" t="s">
        <v>91</v>
      </c>
      <c r="B208">
        <v>2022</v>
      </c>
      <c r="C208" t="s">
        <v>74</v>
      </c>
      <c r="D208">
        <v>434.3</v>
      </c>
    </row>
    <row r="209" spans="1:4" x14ac:dyDescent="0.45">
      <c r="A209" t="s">
        <v>32</v>
      </c>
      <c r="B209">
        <v>2023</v>
      </c>
      <c r="C209" t="s">
        <v>74</v>
      </c>
      <c r="D209">
        <v>47.2</v>
      </c>
    </row>
    <row r="210" spans="1:4" x14ac:dyDescent="0.45">
      <c r="A210" t="s">
        <v>34</v>
      </c>
      <c r="B210">
        <v>2023</v>
      </c>
      <c r="C210" t="s">
        <v>74</v>
      </c>
      <c r="D210">
        <v>675.11</v>
      </c>
    </row>
    <row r="211" spans="1:4" x14ac:dyDescent="0.45">
      <c r="A211" t="s">
        <v>36</v>
      </c>
      <c r="B211">
        <v>2023</v>
      </c>
      <c r="C211" t="s">
        <v>74</v>
      </c>
      <c r="D211">
        <v>1806.06</v>
      </c>
    </row>
    <row r="212" spans="1:4" x14ac:dyDescent="0.45">
      <c r="A212" t="s">
        <v>56</v>
      </c>
      <c r="B212">
        <v>2023</v>
      </c>
      <c r="C212" t="s">
        <v>74</v>
      </c>
      <c r="D212">
        <v>239.01</v>
      </c>
    </row>
    <row r="213" spans="1:4" x14ac:dyDescent="0.45">
      <c r="A213" t="s">
        <v>57</v>
      </c>
      <c r="B213">
        <v>2023</v>
      </c>
      <c r="C213" t="s">
        <v>74</v>
      </c>
      <c r="D213">
        <v>774.87</v>
      </c>
    </row>
    <row r="214" spans="1:4" x14ac:dyDescent="0.45">
      <c r="A214" t="s">
        <v>38</v>
      </c>
      <c r="B214">
        <v>2023</v>
      </c>
      <c r="C214" t="s">
        <v>74</v>
      </c>
      <c r="D214">
        <v>33.130000000000003</v>
      </c>
    </row>
    <row r="215" spans="1:4" x14ac:dyDescent="0.45">
      <c r="A215" t="s">
        <v>32</v>
      </c>
      <c r="B215">
        <v>2023</v>
      </c>
      <c r="C215" t="s">
        <v>74</v>
      </c>
      <c r="D215">
        <v>18.45</v>
      </c>
    </row>
    <row r="216" spans="1:4" x14ac:dyDescent="0.45">
      <c r="A216" t="s">
        <v>58</v>
      </c>
      <c r="B216">
        <v>2023</v>
      </c>
      <c r="C216" t="s">
        <v>74</v>
      </c>
      <c r="D216">
        <v>238.94</v>
      </c>
    </row>
    <row r="217" spans="1:4" x14ac:dyDescent="0.45">
      <c r="A217" t="s">
        <v>91</v>
      </c>
      <c r="B217">
        <v>2023</v>
      </c>
      <c r="C217" t="s">
        <v>74</v>
      </c>
      <c r="D217">
        <v>421.14</v>
      </c>
    </row>
    <row r="218" spans="1:4" x14ac:dyDescent="0.45">
      <c r="A218" t="s">
        <v>32</v>
      </c>
      <c r="B218">
        <v>2000</v>
      </c>
      <c r="C218" t="s">
        <v>75</v>
      </c>
      <c r="D218">
        <v>5.63</v>
      </c>
    </row>
    <row r="219" spans="1:4" x14ac:dyDescent="0.45">
      <c r="A219" t="s">
        <v>34</v>
      </c>
      <c r="B219">
        <v>2000</v>
      </c>
      <c r="C219" t="s">
        <v>75</v>
      </c>
      <c r="D219">
        <v>334.24</v>
      </c>
    </row>
    <row r="220" spans="1:4" x14ac:dyDescent="0.45">
      <c r="A220" t="s">
        <v>36</v>
      </c>
      <c r="B220">
        <v>2000</v>
      </c>
      <c r="C220" t="s">
        <v>75</v>
      </c>
      <c r="D220">
        <v>161.54</v>
      </c>
    </row>
    <row r="221" spans="1:4" x14ac:dyDescent="0.45">
      <c r="A221" t="s">
        <v>56</v>
      </c>
      <c r="B221">
        <v>2000</v>
      </c>
      <c r="C221" t="s">
        <v>75</v>
      </c>
      <c r="D221">
        <v>79.36</v>
      </c>
    </row>
    <row r="222" spans="1:4" x14ac:dyDescent="0.45">
      <c r="A222" t="s">
        <v>57</v>
      </c>
      <c r="B222">
        <v>2000</v>
      </c>
      <c r="C222" t="s">
        <v>75</v>
      </c>
      <c r="D222">
        <v>97.86</v>
      </c>
    </row>
    <row r="223" spans="1:4" x14ac:dyDescent="0.45">
      <c r="A223" t="s">
        <v>38</v>
      </c>
      <c r="B223">
        <v>2000</v>
      </c>
      <c r="C223" t="s">
        <v>75</v>
      </c>
      <c r="D223">
        <v>86.09</v>
      </c>
    </row>
    <row r="224" spans="1:4" x14ac:dyDescent="0.45">
      <c r="A224" t="s">
        <v>32</v>
      </c>
      <c r="B224">
        <v>2000</v>
      </c>
      <c r="C224" t="s">
        <v>75</v>
      </c>
      <c r="D224">
        <v>3.96</v>
      </c>
    </row>
    <row r="225" spans="1:4" x14ac:dyDescent="0.45">
      <c r="A225" t="s">
        <v>58</v>
      </c>
      <c r="B225">
        <v>2000</v>
      </c>
      <c r="C225" t="s">
        <v>75</v>
      </c>
      <c r="D225">
        <v>0.59</v>
      </c>
    </row>
    <row r="226" spans="1:4" x14ac:dyDescent="0.45">
      <c r="A226" t="s">
        <v>91</v>
      </c>
      <c r="B226">
        <v>2000</v>
      </c>
      <c r="C226" t="s">
        <v>75</v>
      </c>
      <c r="D226">
        <v>2.38</v>
      </c>
    </row>
    <row r="227" spans="1:4" x14ac:dyDescent="0.45">
      <c r="A227" t="s">
        <v>32</v>
      </c>
      <c r="B227">
        <v>2001</v>
      </c>
      <c r="C227" t="s">
        <v>75</v>
      </c>
      <c r="D227">
        <v>7.13</v>
      </c>
    </row>
    <row r="228" spans="1:4" x14ac:dyDescent="0.45">
      <c r="A228" t="s">
        <v>34</v>
      </c>
      <c r="B228">
        <v>2001</v>
      </c>
      <c r="C228" t="s">
        <v>75</v>
      </c>
      <c r="D228">
        <v>335.32</v>
      </c>
    </row>
    <row r="229" spans="1:4" x14ac:dyDescent="0.45">
      <c r="A229" t="s">
        <v>36</v>
      </c>
      <c r="B229">
        <v>2001</v>
      </c>
      <c r="C229" t="s">
        <v>75</v>
      </c>
      <c r="D229">
        <v>199.67</v>
      </c>
    </row>
    <row r="230" spans="1:4" x14ac:dyDescent="0.45">
      <c r="A230" t="s">
        <v>56</v>
      </c>
      <c r="B230">
        <v>2001</v>
      </c>
      <c r="C230" t="s">
        <v>75</v>
      </c>
      <c r="D230">
        <v>78.92</v>
      </c>
    </row>
    <row r="231" spans="1:4" x14ac:dyDescent="0.45">
      <c r="A231" t="s">
        <v>57</v>
      </c>
      <c r="B231">
        <v>2001</v>
      </c>
      <c r="C231" t="s">
        <v>75</v>
      </c>
      <c r="D231">
        <v>98.16</v>
      </c>
    </row>
    <row r="232" spans="1:4" x14ac:dyDescent="0.45">
      <c r="A232" t="s">
        <v>38</v>
      </c>
      <c r="B232">
        <v>2001</v>
      </c>
      <c r="C232" t="s">
        <v>75</v>
      </c>
      <c r="D232">
        <v>87.75</v>
      </c>
    </row>
    <row r="233" spans="1:4" x14ac:dyDescent="0.45">
      <c r="A233" t="s">
        <v>32</v>
      </c>
      <c r="B233">
        <v>2001</v>
      </c>
      <c r="C233" t="s">
        <v>75</v>
      </c>
      <c r="D233">
        <v>3.46</v>
      </c>
    </row>
    <row r="234" spans="1:4" x14ac:dyDescent="0.45">
      <c r="A234" t="s">
        <v>58</v>
      </c>
      <c r="B234">
        <v>2001</v>
      </c>
      <c r="C234" t="s">
        <v>75</v>
      </c>
      <c r="D234">
        <v>0.6</v>
      </c>
    </row>
    <row r="235" spans="1:4" x14ac:dyDescent="0.45">
      <c r="A235" t="s">
        <v>91</v>
      </c>
      <c r="B235">
        <v>2001</v>
      </c>
      <c r="C235" t="s">
        <v>75</v>
      </c>
      <c r="D235">
        <v>3.86</v>
      </c>
    </row>
    <row r="236" spans="1:4" x14ac:dyDescent="0.45">
      <c r="A236" t="s">
        <v>32</v>
      </c>
      <c r="B236">
        <v>2002</v>
      </c>
      <c r="C236" t="s">
        <v>75</v>
      </c>
      <c r="D236">
        <v>7.16</v>
      </c>
    </row>
    <row r="237" spans="1:4" x14ac:dyDescent="0.45">
      <c r="A237" t="s">
        <v>34</v>
      </c>
      <c r="B237">
        <v>2002</v>
      </c>
      <c r="C237" t="s">
        <v>75</v>
      </c>
      <c r="D237">
        <v>335.8</v>
      </c>
    </row>
    <row r="238" spans="1:4" x14ac:dyDescent="0.45">
      <c r="A238" t="s">
        <v>36</v>
      </c>
      <c r="B238">
        <v>2002</v>
      </c>
      <c r="C238" t="s">
        <v>75</v>
      </c>
      <c r="D238">
        <v>264.55</v>
      </c>
    </row>
    <row r="239" spans="1:4" x14ac:dyDescent="0.45">
      <c r="A239" t="s">
        <v>56</v>
      </c>
      <c r="B239">
        <v>2002</v>
      </c>
      <c r="C239" t="s">
        <v>75</v>
      </c>
      <c r="D239">
        <v>79.36</v>
      </c>
    </row>
    <row r="240" spans="1:4" x14ac:dyDescent="0.45">
      <c r="A240" t="s">
        <v>57</v>
      </c>
      <c r="B240">
        <v>2002</v>
      </c>
      <c r="C240" t="s">
        <v>75</v>
      </c>
      <c r="D240">
        <v>98.66</v>
      </c>
    </row>
    <row r="241" spans="1:4" x14ac:dyDescent="0.45">
      <c r="A241" t="s">
        <v>38</v>
      </c>
      <c r="B241">
        <v>2002</v>
      </c>
      <c r="C241" t="s">
        <v>75</v>
      </c>
      <c r="D241">
        <v>61.52</v>
      </c>
    </row>
    <row r="242" spans="1:4" x14ac:dyDescent="0.45">
      <c r="A242" t="s">
        <v>32</v>
      </c>
      <c r="B242">
        <v>2002</v>
      </c>
      <c r="C242" t="s">
        <v>75</v>
      </c>
      <c r="D242">
        <v>3.5</v>
      </c>
    </row>
    <row r="243" spans="1:4" x14ac:dyDescent="0.45">
      <c r="A243" t="s">
        <v>58</v>
      </c>
      <c r="B243">
        <v>2002</v>
      </c>
      <c r="C243" t="s">
        <v>75</v>
      </c>
      <c r="D243">
        <v>0.64</v>
      </c>
    </row>
    <row r="244" spans="1:4" x14ac:dyDescent="0.45">
      <c r="A244" t="s">
        <v>91</v>
      </c>
      <c r="B244">
        <v>2002</v>
      </c>
      <c r="C244" t="s">
        <v>75</v>
      </c>
      <c r="D244">
        <v>4.42</v>
      </c>
    </row>
    <row r="245" spans="1:4" x14ac:dyDescent="0.45">
      <c r="A245" t="s">
        <v>32</v>
      </c>
      <c r="B245">
        <v>2003</v>
      </c>
      <c r="C245" t="s">
        <v>75</v>
      </c>
      <c r="D245">
        <v>7.19</v>
      </c>
    </row>
    <row r="246" spans="1:4" x14ac:dyDescent="0.45">
      <c r="A246" t="s">
        <v>34</v>
      </c>
      <c r="B246">
        <v>2003</v>
      </c>
      <c r="C246" t="s">
        <v>75</v>
      </c>
      <c r="D246">
        <v>334.47</v>
      </c>
    </row>
    <row r="247" spans="1:4" x14ac:dyDescent="0.45">
      <c r="A247" t="s">
        <v>36</v>
      </c>
      <c r="B247">
        <v>2003</v>
      </c>
      <c r="C247" t="s">
        <v>75</v>
      </c>
      <c r="D247">
        <v>319.04000000000002</v>
      </c>
    </row>
    <row r="248" spans="1:4" x14ac:dyDescent="0.45">
      <c r="A248" t="s">
        <v>56</v>
      </c>
      <c r="B248">
        <v>2003</v>
      </c>
      <c r="C248" t="s">
        <v>75</v>
      </c>
      <c r="D248">
        <v>78.69</v>
      </c>
    </row>
    <row r="249" spans="1:4" x14ac:dyDescent="0.45">
      <c r="A249" t="s">
        <v>57</v>
      </c>
      <c r="B249">
        <v>2003</v>
      </c>
      <c r="C249" t="s">
        <v>75</v>
      </c>
      <c r="D249">
        <v>99.21</v>
      </c>
    </row>
    <row r="250" spans="1:4" x14ac:dyDescent="0.45">
      <c r="A250" t="s">
        <v>38</v>
      </c>
      <c r="B250">
        <v>2003</v>
      </c>
      <c r="C250" t="s">
        <v>75</v>
      </c>
      <c r="D250">
        <v>62.58</v>
      </c>
    </row>
    <row r="251" spans="1:4" x14ac:dyDescent="0.45">
      <c r="A251" t="s">
        <v>32</v>
      </c>
      <c r="B251">
        <v>2003</v>
      </c>
      <c r="C251" t="s">
        <v>75</v>
      </c>
      <c r="D251">
        <v>3.35</v>
      </c>
    </row>
    <row r="252" spans="1:4" x14ac:dyDescent="0.45">
      <c r="A252" t="s">
        <v>58</v>
      </c>
      <c r="B252">
        <v>2003</v>
      </c>
      <c r="C252" t="s">
        <v>75</v>
      </c>
      <c r="D252">
        <v>0.68</v>
      </c>
    </row>
    <row r="253" spans="1:4" x14ac:dyDescent="0.45">
      <c r="A253" t="s">
        <v>91</v>
      </c>
      <c r="B253">
        <v>2003</v>
      </c>
      <c r="C253" t="s">
        <v>75</v>
      </c>
      <c r="D253">
        <v>6</v>
      </c>
    </row>
    <row r="254" spans="1:4" x14ac:dyDescent="0.45">
      <c r="A254" t="s">
        <v>32</v>
      </c>
      <c r="B254">
        <v>2004</v>
      </c>
      <c r="C254" t="s">
        <v>75</v>
      </c>
      <c r="D254">
        <v>7.51</v>
      </c>
    </row>
    <row r="255" spans="1:4" x14ac:dyDescent="0.45">
      <c r="A255" t="s">
        <v>34</v>
      </c>
      <c r="B255">
        <v>2004</v>
      </c>
      <c r="C255" t="s">
        <v>75</v>
      </c>
      <c r="D255">
        <v>334.48</v>
      </c>
    </row>
    <row r="256" spans="1:4" x14ac:dyDescent="0.45">
      <c r="A256" t="s">
        <v>36</v>
      </c>
      <c r="B256">
        <v>2004</v>
      </c>
      <c r="C256" t="s">
        <v>75</v>
      </c>
      <c r="D256">
        <v>343.88</v>
      </c>
    </row>
    <row r="257" spans="1:4" x14ac:dyDescent="0.45">
      <c r="A257" t="s">
        <v>56</v>
      </c>
      <c r="B257">
        <v>2004</v>
      </c>
      <c r="C257" t="s">
        <v>75</v>
      </c>
      <c r="D257">
        <v>77.64</v>
      </c>
    </row>
    <row r="258" spans="1:4" x14ac:dyDescent="0.45">
      <c r="A258" t="s">
        <v>57</v>
      </c>
      <c r="B258">
        <v>2004</v>
      </c>
      <c r="C258" t="s">
        <v>75</v>
      </c>
      <c r="D258">
        <v>99.63</v>
      </c>
    </row>
    <row r="259" spans="1:4" x14ac:dyDescent="0.45">
      <c r="A259" t="s">
        <v>38</v>
      </c>
      <c r="B259">
        <v>2004</v>
      </c>
      <c r="C259" t="s">
        <v>75</v>
      </c>
      <c r="D259">
        <v>61.16</v>
      </c>
    </row>
    <row r="260" spans="1:4" x14ac:dyDescent="0.45">
      <c r="A260" t="s">
        <v>32</v>
      </c>
      <c r="B260">
        <v>2004</v>
      </c>
      <c r="C260" t="s">
        <v>75</v>
      </c>
      <c r="D260">
        <v>3.25</v>
      </c>
    </row>
    <row r="261" spans="1:4" x14ac:dyDescent="0.45">
      <c r="A261" t="s">
        <v>58</v>
      </c>
      <c r="B261">
        <v>2004</v>
      </c>
      <c r="C261" t="s">
        <v>75</v>
      </c>
      <c r="D261">
        <v>0.75</v>
      </c>
    </row>
    <row r="262" spans="1:4" x14ac:dyDescent="0.45">
      <c r="A262" t="s">
        <v>91</v>
      </c>
      <c r="B262">
        <v>2004</v>
      </c>
      <c r="C262" t="s">
        <v>75</v>
      </c>
      <c r="D262">
        <v>6.46</v>
      </c>
    </row>
    <row r="263" spans="1:4" x14ac:dyDescent="0.45">
      <c r="A263" t="s">
        <v>32</v>
      </c>
      <c r="B263">
        <v>2005</v>
      </c>
      <c r="C263" t="s">
        <v>75</v>
      </c>
      <c r="D263">
        <v>7.63</v>
      </c>
    </row>
    <row r="264" spans="1:4" x14ac:dyDescent="0.45">
      <c r="A264" t="s">
        <v>34</v>
      </c>
      <c r="B264">
        <v>2005</v>
      </c>
      <c r="C264" t="s">
        <v>75</v>
      </c>
      <c r="D264">
        <v>334.63</v>
      </c>
    </row>
    <row r="265" spans="1:4" x14ac:dyDescent="0.45">
      <c r="A265" t="s">
        <v>36</v>
      </c>
      <c r="B265">
        <v>2005</v>
      </c>
      <c r="C265" t="s">
        <v>75</v>
      </c>
      <c r="D265">
        <v>359.84</v>
      </c>
    </row>
    <row r="266" spans="1:4" x14ac:dyDescent="0.45">
      <c r="A266" t="s">
        <v>56</v>
      </c>
      <c r="B266">
        <v>2005</v>
      </c>
      <c r="C266" t="s">
        <v>75</v>
      </c>
      <c r="D266">
        <v>77.540000000000006</v>
      </c>
    </row>
    <row r="267" spans="1:4" x14ac:dyDescent="0.45">
      <c r="A267" t="s">
        <v>57</v>
      </c>
      <c r="B267">
        <v>2005</v>
      </c>
      <c r="C267" t="s">
        <v>75</v>
      </c>
      <c r="D267">
        <v>99.99</v>
      </c>
    </row>
    <row r="268" spans="1:4" x14ac:dyDescent="0.45">
      <c r="A268" t="s">
        <v>38</v>
      </c>
      <c r="B268">
        <v>2005</v>
      </c>
      <c r="C268" t="s">
        <v>75</v>
      </c>
      <c r="D268">
        <v>60.85</v>
      </c>
    </row>
    <row r="269" spans="1:4" x14ac:dyDescent="0.45">
      <c r="A269" t="s">
        <v>32</v>
      </c>
      <c r="B269">
        <v>2005</v>
      </c>
      <c r="C269" t="s">
        <v>75</v>
      </c>
      <c r="D269">
        <v>3.37</v>
      </c>
    </row>
    <row r="270" spans="1:4" x14ac:dyDescent="0.45">
      <c r="A270" t="s">
        <v>58</v>
      </c>
      <c r="B270">
        <v>2005</v>
      </c>
      <c r="C270" t="s">
        <v>75</v>
      </c>
      <c r="D270">
        <v>0.89</v>
      </c>
    </row>
    <row r="271" spans="1:4" x14ac:dyDescent="0.45">
      <c r="A271" t="s">
        <v>91</v>
      </c>
      <c r="B271">
        <v>2005</v>
      </c>
      <c r="C271" t="s">
        <v>75</v>
      </c>
      <c r="D271">
        <v>8.7100000000000009</v>
      </c>
    </row>
    <row r="272" spans="1:4" x14ac:dyDescent="0.45">
      <c r="A272" t="s">
        <v>32</v>
      </c>
      <c r="B272">
        <v>2006</v>
      </c>
      <c r="C272" t="s">
        <v>75</v>
      </c>
      <c r="D272">
        <v>7.91</v>
      </c>
    </row>
    <row r="273" spans="1:4" x14ac:dyDescent="0.45">
      <c r="A273" t="s">
        <v>34</v>
      </c>
      <c r="B273">
        <v>2006</v>
      </c>
      <c r="C273" t="s">
        <v>75</v>
      </c>
      <c r="D273">
        <v>334.94</v>
      </c>
    </row>
    <row r="274" spans="1:4" x14ac:dyDescent="0.45">
      <c r="A274" t="s">
        <v>36</v>
      </c>
      <c r="B274">
        <v>2006</v>
      </c>
      <c r="C274" t="s">
        <v>75</v>
      </c>
      <c r="D274">
        <v>371.13</v>
      </c>
    </row>
    <row r="275" spans="1:4" x14ac:dyDescent="0.45">
      <c r="A275" t="s">
        <v>56</v>
      </c>
      <c r="B275">
        <v>2006</v>
      </c>
      <c r="C275" t="s">
        <v>75</v>
      </c>
      <c r="D275">
        <v>77.819999999999993</v>
      </c>
    </row>
    <row r="276" spans="1:4" x14ac:dyDescent="0.45">
      <c r="A276" t="s">
        <v>57</v>
      </c>
      <c r="B276">
        <v>2006</v>
      </c>
      <c r="C276" t="s">
        <v>75</v>
      </c>
      <c r="D276">
        <v>100.33</v>
      </c>
    </row>
    <row r="277" spans="1:4" x14ac:dyDescent="0.45">
      <c r="A277" t="s">
        <v>38</v>
      </c>
      <c r="B277">
        <v>2006</v>
      </c>
      <c r="C277" t="s">
        <v>75</v>
      </c>
      <c r="D277">
        <v>60.32</v>
      </c>
    </row>
    <row r="278" spans="1:4" x14ac:dyDescent="0.45">
      <c r="A278" t="s">
        <v>32</v>
      </c>
      <c r="B278">
        <v>2006</v>
      </c>
      <c r="C278" t="s">
        <v>75</v>
      </c>
      <c r="D278">
        <v>3.37</v>
      </c>
    </row>
    <row r="279" spans="1:4" x14ac:dyDescent="0.45">
      <c r="A279" t="s">
        <v>58</v>
      </c>
      <c r="B279">
        <v>2006</v>
      </c>
      <c r="C279" t="s">
        <v>75</v>
      </c>
      <c r="D279">
        <v>1.1000000000000001</v>
      </c>
    </row>
    <row r="280" spans="1:4" x14ac:dyDescent="0.45">
      <c r="A280" t="s">
        <v>91</v>
      </c>
      <c r="B280">
        <v>2006</v>
      </c>
      <c r="C280" t="s">
        <v>75</v>
      </c>
      <c r="D280">
        <v>11.33</v>
      </c>
    </row>
    <row r="281" spans="1:4" x14ac:dyDescent="0.45">
      <c r="A281" t="s">
        <v>32</v>
      </c>
      <c r="B281">
        <v>2007</v>
      </c>
      <c r="C281" t="s">
        <v>75</v>
      </c>
      <c r="D281">
        <v>8.6199999999999992</v>
      </c>
    </row>
    <row r="282" spans="1:4" x14ac:dyDescent="0.45">
      <c r="A282" t="s">
        <v>34</v>
      </c>
      <c r="B282">
        <v>2007</v>
      </c>
      <c r="C282" t="s">
        <v>75</v>
      </c>
      <c r="D282">
        <v>333.64</v>
      </c>
    </row>
    <row r="283" spans="1:4" x14ac:dyDescent="0.45">
      <c r="A283" t="s">
        <v>36</v>
      </c>
      <c r="B283">
        <v>2007</v>
      </c>
      <c r="C283" t="s">
        <v>75</v>
      </c>
      <c r="D283">
        <v>378.97</v>
      </c>
    </row>
    <row r="284" spans="1:4" x14ac:dyDescent="0.45">
      <c r="A284" t="s">
        <v>56</v>
      </c>
      <c r="B284">
        <v>2007</v>
      </c>
      <c r="C284" t="s">
        <v>75</v>
      </c>
      <c r="D284">
        <v>77.88</v>
      </c>
    </row>
    <row r="285" spans="1:4" x14ac:dyDescent="0.45">
      <c r="A285" t="s">
        <v>57</v>
      </c>
      <c r="B285">
        <v>2007</v>
      </c>
      <c r="C285" t="s">
        <v>75</v>
      </c>
      <c r="D285">
        <v>100.27</v>
      </c>
    </row>
    <row r="286" spans="1:4" x14ac:dyDescent="0.45">
      <c r="A286" t="s">
        <v>38</v>
      </c>
      <c r="B286">
        <v>2007</v>
      </c>
      <c r="C286" t="s">
        <v>75</v>
      </c>
      <c r="D286">
        <v>58.35</v>
      </c>
    </row>
    <row r="287" spans="1:4" x14ac:dyDescent="0.45">
      <c r="A287" t="s">
        <v>32</v>
      </c>
      <c r="B287">
        <v>2007</v>
      </c>
      <c r="C287" t="s">
        <v>75</v>
      </c>
      <c r="D287">
        <v>3.32</v>
      </c>
    </row>
    <row r="288" spans="1:4" x14ac:dyDescent="0.45">
      <c r="A288" t="s">
        <v>58</v>
      </c>
      <c r="B288">
        <v>2007</v>
      </c>
      <c r="C288" t="s">
        <v>75</v>
      </c>
      <c r="D288">
        <v>1.44</v>
      </c>
    </row>
    <row r="289" spans="1:4" x14ac:dyDescent="0.45">
      <c r="A289" t="s">
        <v>91</v>
      </c>
      <c r="B289">
        <v>2007</v>
      </c>
      <c r="C289" t="s">
        <v>75</v>
      </c>
      <c r="D289">
        <v>16.52</v>
      </c>
    </row>
    <row r="290" spans="1:4" x14ac:dyDescent="0.45">
      <c r="A290" t="s">
        <v>32</v>
      </c>
      <c r="B290">
        <v>2008</v>
      </c>
      <c r="C290" t="s">
        <v>75</v>
      </c>
      <c r="D290">
        <v>8.83</v>
      </c>
    </row>
    <row r="291" spans="1:4" x14ac:dyDescent="0.45">
      <c r="A291" t="s">
        <v>34</v>
      </c>
      <c r="B291">
        <v>2008</v>
      </c>
      <c r="C291" t="s">
        <v>75</v>
      </c>
      <c r="D291">
        <v>334.56</v>
      </c>
    </row>
    <row r="292" spans="1:4" x14ac:dyDescent="0.45">
      <c r="A292" t="s">
        <v>36</v>
      </c>
      <c r="B292">
        <v>2008</v>
      </c>
      <c r="C292" t="s">
        <v>75</v>
      </c>
      <c r="D292">
        <v>388.45</v>
      </c>
    </row>
    <row r="293" spans="1:4" x14ac:dyDescent="0.45">
      <c r="A293" t="s">
        <v>56</v>
      </c>
      <c r="B293">
        <v>2008</v>
      </c>
      <c r="C293" t="s">
        <v>75</v>
      </c>
      <c r="D293">
        <v>77.930000000000007</v>
      </c>
    </row>
    <row r="294" spans="1:4" x14ac:dyDescent="0.45">
      <c r="A294" t="s">
        <v>57</v>
      </c>
      <c r="B294">
        <v>2008</v>
      </c>
      <c r="C294" t="s">
        <v>75</v>
      </c>
      <c r="D294">
        <v>100.75</v>
      </c>
    </row>
    <row r="295" spans="1:4" x14ac:dyDescent="0.45">
      <c r="A295" t="s">
        <v>38</v>
      </c>
      <c r="B295">
        <v>2008</v>
      </c>
      <c r="C295" t="s">
        <v>75</v>
      </c>
      <c r="D295">
        <v>59.77</v>
      </c>
    </row>
    <row r="296" spans="1:4" x14ac:dyDescent="0.45">
      <c r="A296" t="s">
        <v>32</v>
      </c>
      <c r="B296">
        <v>2008</v>
      </c>
      <c r="C296" t="s">
        <v>75</v>
      </c>
      <c r="D296">
        <v>3.34</v>
      </c>
    </row>
    <row r="297" spans="1:4" x14ac:dyDescent="0.45">
      <c r="A297" t="s">
        <v>58</v>
      </c>
      <c r="B297">
        <v>2008</v>
      </c>
      <c r="C297" t="s">
        <v>75</v>
      </c>
      <c r="D297">
        <v>1.62</v>
      </c>
    </row>
    <row r="298" spans="1:4" x14ac:dyDescent="0.45">
      <c r="A298" t="s">
        <v>91</v>
      </c>
      <c r="B298">
        <v>2008</v>
      </c>
      <c r="C298" t="s">
        <v>75</v>
      </c>
      <c r="D298">
        <v>24.65</v>
      </c>
    </row>
    <row r="299" spans="1:4" x14ac:dyDescent="0.45">
      <c r="A299" t="s">
        <v>32</v>
      </c>
      <c r="B299">
        <v>2009</v>
      </c>
      <c r="C299" t="s">
        <v>75</v>
      </c>
      <c r="D299">
        <v>9.0299999999999994</v>
      </c>
    </row>
    <row r="300" spans="1:4" x14ac:dyDescent="0.45">
      <c r="A300" t="s">
        <v>34</v>
      </c>
      <c r="B300">
        <v>2009</v>
      </c>
      <c r="C300" t="s">
        <v>75</v>
      </c>
      <c r="D300">
        <v>335.94</v>
      </c>
    </row>
    <row r="301" spans="1:4" x14ac:dyDescent="0.45">
      <c r="A301" t="s">
        <v>36</v>
      </c>
      <c r="B301">
        <v>2009</v>
      </c>
      <c r="C301" t="s">
        <v>75</v>
      </c>
      <c r="D301">
        <v>399.05</v>
      </c>
    </row>
    <row r="302" spans="1:4" x14ac:dyDescent="0.45">
      <c r="A302" t="s">
        <v>56</v>
      </c>
      <c r="B302">
        <v>2009</v>
      </c>
      <c r="C302" t="s">
        <v>75</v>
      </c>
      <c r="D302">
        <v>78.52</v>
      </c>
    </row>
    <row r="303" spans="1:4" x14ac:dyDescent="0.45">
      <c r="A303" t="s">
        <v>57</v>
      </c>
      <c r="B303">
        <v>2009</v>
      </c>
      <c r="C303" t="s">
        <v>75</v>
      </c>
      <c r="D303">
        <v>101</v>
      </c>
    </row>
    <row r="304" spans="1:4" x14ac:dyDescent="0.45">
      <c r="A304" t="s">
        <v>38</v>
      </c>
      <c r="B304">
        <v>2009</v>
      </c>
      <c r="C304" t="s">
        <v>75</v>
      </c>
      <c r="D304">
        <v>59.12</v>
      </c>
    </row>
    <row r="305" spans="1:4" x14ac:dyDescent="0.45">
      <c r="A305" t="s">
        <v>32</v>
      </c>
      <c r="B305">
        <v>2009</v>
      </c>
      <c r="C305" t="s">
        <v>75</v>
      </c>
      <c r="D305">
        <v>3.5</v>
      </c>
    </row>
    <row r="306" spans="1:4" x14ac:dyDescent="0.45">
      <c r="A306" t="s">
        <v>58</v>
      </c>
      <c r="B306">
        <v>2009</v>
      </c>
      <c r="C306" t="s">
        <v>75</v>
      </c>
      <c r="D306">
        <v>2.09</v>
      </c>
    </row>
    <row r="307" spans="1:4" x14ac:dyDescent="0.45">
      <c r="A307" t="s">
        <v>91</v>
      </c>
      <c r="B307">
        <v>2009</v>
      </c>
      <c r="C307" t="s">
        <v>75</v>
      </c>
      <c r="D307">
        <v>34.299999999999997</v>
      </c>
    </row>
    <row r="308" spans="1:4" x14ac:dyDescent="0.45">
      <c r="A308" t="s">
        <v>32</v>
      </c>
      <c r="B308">
        <v>2010</v>
      </c>
      <c r="C308" t="s">
        <v>75</v>
      </c>
      <c r="D308">
        <v>9.19</v>
      </c>
    </row>
    <row r="309" spans="1:4" x14ac:dyDescent="0.45">
      <c r="A309" t="s">
        <v>34</v>
      </c>
      <c r="B309">
        <v>2010</v>
      </c>
      <c r="C309" t="s">
        <v>75</v>
      </c>
      <c r="D309">
        <v>339.36</v>
      </c>
    </row>
    <row r="310" spans="1:4" x14ac:dyDescent="0.45">
      <c r="A310" t="s">
        <v>36</v>
      </c>
      <c r="B310">
        <v>2010</v>
      </c>
      <c r="C310" t="s">
        <v>75</v>
      </c>
      <c r="D310">
        <v>407.07</v>
      </c>
    </row>
    <row r="311" spans="1:4" x14ac:dyDescent="0.45">
      <c r="A311" t="s">
        <v>56</v>
      </c>
      <c r="B311">
        <v>2010</v>
      </c>
      <c r="C311" t="s">
        <v>75</v>
      </c>
      <c r="D311">
        <v>82.61</v>
      </c>
    </row>
    <row r="312" spans="1:4" x14ac:dyDescent="0.45">
      <c r="A312" t="s">
        <v>57</v>
      </c>
      <c r="B312">
        <v>2010</v>
      </c>
      <c r="C312" t="s">
        <v>75</v>
      </c>
      <c r="D312">
        <v>101.17</v>
      </c>
    </row>
    <row r="313" spans="1:4" x14ac:dyDescent="0.45">
      <c r="A313" t="s">
        <v>38</v>
      </c>
      <c r="B313">
        <v>2010</v>
      </c>
      <c r="C313" t="s">
        <v>75</v>
      </c>
      <c r="D313">
        <v>59.53</v>
      </c>
    </row>
    <row r="314" spans="1:4" x14ac:dyDescent="0.45">
      <c r="A314" t="s">
        <v>32</v>
      </c>
      <c r="B314">
        <v>2010</v>
      </c>
      <c r="C314" t="s">
        <v>75</v>
      </c>
      <c r="D314">
        <v>3.51</v>
      </c>
    </row>
    <row r="315" spans="1:4" x14ac:dyDescent="0.45">
      <c r="A315" t="s">
        <v>58</v>
      </c>
      <c r="B315">
        <v>2010</v>
      </c>
      <c r="C315" t="s">
        <v>75</v>
      </c>
      <c r="D315">
        <v>3.38</v>
      </c>
    </row>
    <row r="316" spans="1:4" x14ac:dyDescent="0.45">
      <c r="A316" t="s">
        <v>91</v>
      </c>
      <c r="B316">
        <v>2010</v>
      </c>
      <c r="C316" t="s">
        <v>75</v>
      </c>
      <c r="D316">
        <v>39.35</v>
      </c>
    </row>
    <row r="317" spans="1:4" x14ac:dyDescent="0.45">
      <c r="A317" t="s">
        <v>32</v>
      </c>
      <c r="B317">
        <v>2011</v>
      </c>
      <c r="C317" t="s">
        <v>75</v>
      </c>
      <c r="D317">
        <v>9.3699999999999992</v>
      </c>
    </row>
    <row r="318" spans="1:4" x14ac:dyDescent="0.45">
      <c r="A318" t="s">
        <v>34</v>
      </c>
      <c r="B318">
        <v>2011</v>
      </c>
      <c r="C318" t="s">
        <v>75</v>
      </c>
      <c r="D318">
        <v>340.2</v>
      </c>
    </row>
    <row r="319" spans="1:4" x14ac:dyDescent="0.45">
      <c r="A319" t="s">
        <v>36</v>
      </c>
      <c r="B319">
        <v>2011</v>
      </c>
      <c r="C319" t="s">
        <v>75</v>
      </c>
      <c r="D319">
        <v>418.3</v>
      </c>
    </row>
    <row r="320" spans="1:4" x14ac:dyDescent="0.45">
      <c r="A320" t="s">
        <v>56</v>
      </c>
      <c r="B320">
        <v>2011</v>
      </c>
      <c r="C320" t="s">
        <v>75</v>
      </c>
      <c r="D320">
        <v>82.45</v>
      </c>
    </row>
    <row r="321" spans="1:4" x14ac:dyDescent="0.45">
      <c r="A321" t="s">
        <v>57</v>
      </c>
      <c r="B321">
        <v>2011</v>
      </c>
      <c r="C321" t="s">
        <v>75</v>
      </c>
      <c r="D321">
        <v>101.42</v>
      </c>
    </row>
    <row r="322" spans="1:4" x14ac:dyDescent="0.45">
      <c r="A322" t="s">
        <v>38</v>
      </c>
      <c r="B322">
        <v>2011</v>
      </c>
      <c r="C322" t="s">
        <v>75</v>
      </c>
      <c r="D322">
        <v>53.93</v>
      </c>
    </row>
    <row r="323" spans="1:4" x14ac:dyDescent="0.45">
      <c r="A323" t="s">
        <v>32</v>
      </c>
      <c r="B323">
        <v>2011</v>
      </c>
      <c r="C323" t="s">
        <v>75</v>
      </c>
      <c r="D323">
        <v>3.53</v>
      </c>
    </row>
    <row r="324" spans="1:4" x14ac:dyDescent="0.45">
      <c r="A324" t="s">
        <v>58</v>
      </c>
      <c r="B324">
        <v>2011</v>
      </c>
      <c r="C324" t="s">
        <v>75</v>
      </c>
      <c r="D324">
        <v>5.64</v>
      </c>
    </row>
    <row r="325" spans="1:4" x14ac:dyDescent="0.45">
      <c r="A325" t="s">
        <v>91</v>
      </c>
      <c r="B325">
        <v>2011</v>
      </c>
      <c r="C325" t="s">
        <v>75</v>
      </c>
      <c r="D325">
        <v>45.79</v>
      </c>
    </row>
    <row r="326" spans="1:4" x14ac:dyDescent="0.45">
      <c r="A326" t="s">
        <v>32</v>
      </c>
      <c r="B326">
        <v>2012</v>
      </c>
      <c r="C326" t="s">
        <v>75</v>
      </c>
      <c r="D326">
        <v>10.119999999999999</v>
      </c>
    </row>
    <row r="327" spans="1:4" x14ac:dyDescent="0.45">
      <c r="A327" t="s">
        <v>34</v>
      </c>
      <c r="B327">
        <v>2012</v>
      </c>
      <c r="C327" t="s">
        <v>75</v>
      </c>
      <c r="D327">
        <v>332.88</v>
      </c>
    </row>
    <row r="328" spans="1:4" x14ac:dyDescent="0.45">
      <c r="A328" t="s">
        <v>36</v>
      </c>
      <c r="B328">
        <v>2012</v>
      </c>
      <c r="C328" t="s">
        <v>75</v>
      </c>
      <c r="D328">
        <v>429.01</v>
      </c>
    </row>
    <row r="329" spans="1:4" x14ac:dyDescent="0.45">
      <c r="A329" t="s">
        <v>56</v>
      </c>
      <c r="B329">
        <v>2012</v>
      </c>
      <c r="C329" t="s">
        <v>75</v>
      </c>
      <c r="D329">
        <v>82.56</v>
      </c>
    </row>
    <row r="330" spans="1:4" x14ac:dyDescent="0.45">
      <c r="A330" t="s">
        <v>57</v>
      </c>
      <c r="B330">
        <v>2012</v>
      </c>
      <c r="C330" t="s">
        <v>75</v>
      </c>
      <c r="D330">
        <v>101.89</v>
      </c>
    </row>
    <row r="331" spans="1:4" x14ac:dyDescent="0.45">
      <c r="A331" t="s">
        <v>38</v>
      </c>
      <c r="B331">
        <v>2012</v>
      </c>
      <c r="C331" t="s">
        <v>75</v>
      </c>
      <c r="D331">
        <v>49.83</v>
      </c>
    </row>
    <row r="332" spans="1:4" x14ac:dyDescent="0.45">
      <c r="A332" t="s">
        <v>32</v>
      </c>
      <c r="B332">
        <v>2012</v>
      </c>
      <c r="C332" t="s">
        <v>75</v>
      </c>
      <c r="D332">
        <v>3.69</v>
      </c>
    </row>
    <row r="333" spans="1:4" x14ac:dyDescent="0.45">
      <c r="A333" t="s">
        <v>58</v>
      </c>
      <c r="B333">
        <v>2012</v>
      </c>
      <c r="C333" t="s">
        <v>75</v>
      </c>
      <c r="D333">
        <v>8.61</v>
      </c>
    </row>
    <row r="334" spans="1:4" x14ac:dyDescent="0.45">
      <c r="A334" t="s">
        <v>91</v>
      </c>
      <c r="B334">
        <v>2012</v>
      </c>
      <c r="C334" t="s">
        <v>75</v>
      </c>
      <c r="D334">
        <v>59.45</v>
      </c>
    </row>
    <row r="335" spans="1:4" x14ac:dyDescent="0.45">
      <c r="A335" t="s">
        <v>32</v>
      </c>
      <c r="B335">
        <v>2013</v>
      </c>
      <c r="C335" t="s">
        <v>75</v>
      </c>
      <c r="D335">
        <v>11.17</v>
      </c>
    </row>
    <row r="336" spans="1:4" x14ac:dyDescent="0.45">
      <c r="A336" t="s">
        <v>34</v>
      </c>
      <c r="B336">
        <v>2013</v>
      </c>
      <c r="C336" t="s">
        <v>75</v>
      </c>
      <c r="D336">
        <v>327.89</v>
      </c>
    </row>
    <row r="337" spans="1:4" x14ac:dyDescent="0.45">
      <c r="A337" t="s">
        <v>36</v>
      </c>
      <c r="B337">
        <v>2013</v>
      </c>
      <c r="C337" t="s">
        <v>75</v>
      </c>
      <c r="D337">
        <v>437.26</v>
      </c>
    </row>
    <row r="338" spans="1:4" x14ac:dyDescent="0.45">
      <c r="A338" t="s">
        <v>56</v>
      </c>
      <c r="B338">
        <v>2013</v>
      </c>
      <c r="C338" t="s">
        <v>75</v>
      </c>
      <c r="D338">
        <v>83.01</v>
      </c>
    </row>
    <row r="339" spans="1:4" x14ac:dyDescent="0.45">
      <c r="A339" t="s">
        <v>57</v>
      </c>
      <c r="B339">
        <v>2013</v>
      </c>
      <c r="C339" t="s">
        <v>75</v>
      </c>
      <c r="D339">
        <v>99.24</v>
      </c>
    </row>
    <row r="340" spans="1:4" x14ac:dyDescent="0.45">
      <c r="A340" t="s">
        <v>38</v>
      </c>
      <c r="B340">
        <v>2013</v>
      </c>
      <c r="C340" t="s">
        <v>75</v>
      </c>
      <c r="D340">
        <v>46.76</v>
      </c>
    </row>
    <row r="341" spans="1:4" x14ac:dyDescent="0.45">
      <c r="A341" t="s">
        <v>32</v>
      </c>
      <c r="B341">
        <v>2013</v>
      </c>
      <c r="C341" t="s">
        <v>75</v>
      </c>
      <c r="D341">
        <v>3.72</v>
      </c>
    </row>
    <row r="342" spans="1:4" x14ac:dyDescent="0.45">
      <c r="A342" t="s">
        <v>58</v>
      </c>
      <c r="B342">
        <v>2013</v>
      </c>
      <c r="C342" t="s">
        <v>75</v>
      </c>
      <c r="D342">
        <v>13.25</v>
      </c>
    </row>
    <row r="343" spans="1:4" x14ac:dyDescent="0.45">
      <c r="A343" t="s">
        <v>91</v>
      </c>
      <c r="B343">
        <v>2013</v>
      </c>
      <c r="C343" t="s">
        <v>75</v>
      </c>
      <c r="D343">
        <v>60.2</v>
      </c>
    </row>
    <row r="344" spans="1:4" x14ac:dyDescent="0.45">
      <c r="A344" t="s">
        <v>32</v>
      </c>
      <c r="B344">
        <v>2014</v>
      </c>
      <c r="C344" t="s">
        <v>75</v>
      </c>
      <c r="D344">
        <v>11.3</v>
      </c>
    </row>
    <row r="345" spans="1:4" x14ac:dyDescent="0.45">
      <c r="A345" t="s">
        <v>34</v>
      </c>
      <c r="B345">
        <v>2014</v>
      </c>
      <c r="C345" t="s">
        <v>75</v>
      </c>
      <c r="D345">
        <v>323.38</v>
      </c>
    </row>
    <row r="346" spans="1:4" x14ac:dyDescent="0.45">
      <c r="A346" t="s">
        <v>36</v>
      </c>
      <c r="B346">
        <v>2014</v>
      </c>
      <c r="C346" t="s">
        <v>75</v>
      </c>
      <c r="D346">
        <v>448.9</v>
      </c>
    </row>
    <row r="347" spans="1:4" x14ac:dyDescent="0.45">
      <c r="A347" t="s">
        <v>56</v>
      </c>
      <c r="B347">
        <v>2014</v>
      </c>
      <c r="C347" t="s">
        <v>75</v>
      </c>
      <c r="D347">
        <v>83.49</v>
      </c>
    </row>
    <row r="348" spans="1:4" x14ac:dyDescent="0.45">
      <c r="A348" t="s">
        <v>57</v>
      </c>
      <c r="B348">
        <v>2014</v>
      </c>
      <c r="C348" t="s">
        <v>75</v>
      </c>
      <c r="D348">
        <v>98.57</v>
      </c>
    </row>
    <row r="349" spans="1:4" x14ac:dyDescent="0.45">
      <c r="A349" t="s">
        <v>38</v>
      </c>
      <c r="B349">
        <v>2014</v>
      </c>
      <c r="C349" t="s">
        <v>75</v>
      </c>
      <c r="D349">
        <v>44.84</v>
      </c>
    </row>
    <row r="350" spans="1:4" x14ac:dyDescent="0.45">
      <c r="A350" t="s">
        <v>32</v>
      </c>
      <c r="B350">
        <v>2014</v>
      </c>
      <c r="C350" t="s">
        <v>75</v>
      </c>
      <c r="D350">
        <v>3.63</v>
      </c>
    </row>
    <row r="351" spans="1:4" x14ac:dyDescent="0.45">
      <c r="A351" t="s">
        <v>58</v>
      </c>
      <c r="B351">
        <v>2014</v>
      </c>
      <c r="C351" t="s">
        <v>75</v>
      </c>
      <c r="D351">
        <v>18.11</v>
      </c>
    </row>
    <row r="352" spans="1:4" x14ac:dyDescent="0.45">
      <c r="A352" t="s">
        <v>91</v>
      </c>
      <c r="B352">
        <v>2014</v>
      </c>
      <c r="C352" t="s">
        <v>75</v>
      </c>
      <c r="D352">
        <v>64.430000000000007</v>
      </c>
    </row>
    <row r="353" spans="1:4" x14ac:dyDescent="0.45">
      <c r="A353" t="s">
        <v>32</v>
      </c>
      <c r="B353">
        <v>2015</v>
      </c>
      <c r="C353" t="s">
        <v>75</v>
      </c>
      <c r="D353">
        <v>11.85</v>
      </c>
    </row>
    <row r="354" spans="1:4" x14ac:dyDescent="0.45">
      <c r="A354" t="s">
        <v>34</v>
      </c>
      <c r="B354">
        <v>2015</v>
      </c>
      <c r="C354" t="s">
        <v>75</v>
      </c>
      <c r="D354">
        <v>301.70999999999998</v>
      </c>
    </row>
    <row r="355" spans="1:4" x14ac:dyDescent="0.45">
      <c r="A355" t="s">
        <v>36</v>
      </c>
      <c r="B355">
        <v>2015</v>
      </c>
      <c r="C355" t="s">
        <v>75</v>
      </c>
      <c r="D355">
        <v>460.37</v>
      </c>
    </row>
    <row r="356" spans="1:4" x14ac:dyDescent="0.45">
      <c r="A356" t="s">
        <v>56</v>
      </c>
      <c r="B356">
        <v>2015</v>
      </c>
      <c r="C356" t="s">
        <v>75</v>
      </c>
      <c r="D356">
        <v>83.5</v>
      </c>
    </row>
    <row r="357" spans="1:4" x14ac:dyDescent="0.45">
      <c r="A357" t="s">
        <v>57</v>
      </c>
      <c r="B357">
        <v>2015</v>
      </c>
      <c r="C357" t="s">
        <v>75</v>
      </c>
      <c r="D357">
        <v>98.67</v>
      </c>
    </row>
    <row r="358" spans="1:4" x14ac:dyDescent="0.45">
      <c r="A358" t="s">
        <v>38</v>
      </c>
      <c r="B358">
        <v>2015</v>
      </c>
      <c r="C358" t="s">
        <v>75</v>
      </c>
      <c r="D358">
        <v>39.42</v>
      </c>
    </row>
    <row r="359" spans="1:4" x14ac:dyDescent="0.45">
      <c r="A359" t="s">
        <v>32</v>
      </c>
      <c r="B359">
        <v>2015</v>
      </c>
      <c r="C359" t="s">
        <v>75</v>
      </c>
      <c r="D359">
        <v>3.67</v>
      </c>
    </row>
    <row r="360" spans="1:4" x14ac:dyDescent="0.45">
      <c r="A360" t="s">
        <v>58</v>
      </c>
      <c r="B360">
        <v>2015</v>
      </c>
      <c r="C360" t="s">
        <v>75</v>
      </c>
      <c r="D360">
        <v>24.24</v>
      </c>
    </row>
    <row r="361" spans="1:4" x14ac:dyDescent="0.45">
      <c r="A361" t="s">
        <v>91</v>
      </c>
      <c r="B361">
        <v>2015</v>
      </c>
      <c r="C361" t="s">
        <v>75</v>
      </c>
      <c r="D361">
        <v>72.77</v>
      </c>
    </row>
    <row r="362" spans="1:4" x14ac:dyDescent="0.45">
      <c r="A362" t="s">
        <v>32</v>
      </c>
      <c r="B362">
        <v>2016</v>
      </c>
      <c r="C362" t="s">
        <v>75</v>
      </c>
      <c r="D362">
        <v>11.78</v>
      </c>
    </row>
    <row r="363" spans="1:4" x14ac:dyDescent="0.45">
      <c r="A363" t="s">
        <v>34</v>
      </c>
      <c r="B363">
        <v>2016</v>
      </c>
      <c r="C363" t="s">
        <v>75</v>
      </c>
      <c r="D363">
        <v>285.75</v>
      </c>
    </row>
    <row r="364" spans="1:4" x14ac:dyDescent="0.45">
      <c r="A364" t="s">
        <v>36</v>
      </c>
      <c r="B364">
        <v>2016</v>
      </c>
      <c r="C364" t="s">
        <v>75</v>
      </c>
      <c r="D364">
        <v>473.01</v>
      </c>
    </row>
    <row r="365" spans="1:4" x14ac:dyDescent="0.45">
      <c r="A365" t="s">
        <v>56</v>
      </c>
      <c r="B365">
        <v>2016</v>
      </c>
      <c r="C365" t="s">
        <v>75</v>
      </c>
      <c r="D365">
        <v>83.82</v>
      </c>
    </row>
    <row r="366" spans="1:4" x14ac:dyDescent="0.45">
      <c r="A366" t="s">
        <v>57</v>
      </c>
      <c r="B366">
        <v>2016</v>
      </c>
      <c r="C366" t="s">
        <v>75</v>
      </c>
      <c r="D366">
        <v>99.56</v>
      </c>
    </row>
    <row r="367" spans="1:4" x14ac:dyDescent="0.45">
      <c r="A367" t="s">
        <v>38</v>
      </c>
      <c r="B367">
        <v>2016</v>
      </c>
      <c r="C367" t="s">
        <v>75</v>
      </c>
      <c r="D367">
        <v>36.92</v>
      </c>
    </row>
    <row r="368" spans="1:4" x14ac:dyDescent="0.45">
      <c r="A368" t="s">
        <v>32</v>
      </c>
      <c r="B368">
        <v>2016</v>
      </c>
      <c r="C368" t="s">
        <v>75</v>
      </c>
      <c r="D368">
        <v>3.64</v>
      </c>
    </row>
    <row r="369" spans="1:4" x14ac:dyDescent="0.45">
      <c r="A369" t="s">
        <v>58</v>
      </c>
      <c r="B369">
        <v>2016</v>
      </c>
      <c r="C369" t="s">
        <v>75</v>
      </c>
      <c r="D369">
        <v>35.43</v>
      </c>
    </row>
    <row r="370" spans="1:4" x14ac:dyDescent="0.45">
      <c r="A370" t="s">
        <v>91</v>
      </c>
      <c r="B370">
        <v>2016</v>
      </c>
      <c r="C370" t="s">
        <v>75</v>
      </c>
      <c r="D370">
        <v>81.5</v>
      </c>
    </row>
    <row r="371" spans="1:4" x14ac:dyDescent="0.45">
      <c r="A371" t="s">
        <v>32</v>
      </c>
      <c r="B371">
        <v>2017</v>
      </c>
      <c r="C371" t="s">
        <v>75</v>
      </c>
      <c r="D371">
        <v>11.72</v>
      </c>
    </row>
    <row r="372" spans="1:4" x14ac:dyDescent="0.45">
      <c r="A372" t="s">
        <v>34</v>
      </c>
      <c r="B372">
        <v>2017</v>
      </c>
      <c r="C372" t="s">
        <v>75</v>
      </c>
      <c r="D372">
        <v>276.88</v>
      </c>
    </row>
    <row r="373" spans="1:4" x14ac:dyDescent="0.45">
      <c r="A373" t="s">
        <v>36</v>
      </c>
      <c r="B373">
        <v>2017</v>
      </c>
      <c r="C373" t="s">
        <v>75</v>
      </c>
      <c r="D373">
        <v>484.89</v>
      </c>
    </row>
    <row r="374" spans="1:4" x14ac:dyDescent="0.45">
      <c r="A374" t="s">
        <v>56</v>
      </c>
      <c r="B374">
        <v>2017</v>
      </c>
      <c r="C374" t="s">
        <v>75</v>
      </c>
      <c r="D374">
        <v>83.79</v>
      </c>
    </row>
    <row r="375" spans="1:4" x14ac:dyDescent="0.45">
      <c r="A375" t="s">
        <v>57</v>
      </c>
      <c r="B375">
        <v>2017</v>
      </c>
      <c r="C375" t="s">
        <v>75</v>
      </c>
      <c r="D375">
        <v>99.63</v>
      </c>
    </row>
    <row r="376" spans="1:4" x14ac:dyDescent="0.45">
      <c r="A376" t="s">
        <v>38</v>
      </c>
      <c r="B376">
        <v>2017</v>
      </c>
      <c r="C376" t="s">
        <v>75</v>
      </c>
      <c r="D376">
        <v>36.6</v>
      </c>
    </row>
    <row r="377" spans="1:4" x14ac:dyDescent="0.45">
      <c r="A377" t="s">
        <v>32</v>
      </c>
      <c r="B377">
        <v>2017</v>
      </c>
      <c r="C377" t="s">
        <v>75</v>
      </c>
      <c r="D377">
        <v>3.61</v>
      </c>
    </row>
    <row r="378" spans="1:4" x14ac:dyDescent="0.45">
      <c r="A378" t="s">
        <v>58</v>
      </c>
      <c r="B378">
        <v>2017</v>
      </c>
      <c r="C378" t="s">
        <v>75</v>
      </c>
      <c r="D378">
        <v>43.77</v>
      </c>
    </row>
    <row r="379" spans="1:4" x14ac:dyDescent="0.45">
      <c r="A379" t="s">
        <v>91</v>
      </c>
      <c r="B379">
        <v>2017</v>
      </c>
      <c r="C379" t="s">
        <v>75</v>
      </c>
      <c r="D379">
        <v>87.83</v>
      </c>
    </row>
    <row r="380" spans="1:4" x14ac:dyDescent="0.45">
      <c r="A380" t="s">
        <v>32</v>
      </c>
      <c r="B380">
        <v>2018</v>
      </c>
      <c r="C380" t="s">
        <v>75</v>
      </c>
      <c r="D380">
        <v>11.5</v>
      </c>
    </row>
    <row r="381" spans="1:4" x14ac:dyDescent="0.45">
      <c r="A381" t="s">
        <v>34</v>
      </c>
      <c r="B381">
        <v>2018</v>
      </c>
      <c r="C381" t="s">
        <v>75</v>
      </c>
      <c r="D381">
        <v>260.95</v>
      </c>
    </row>
    <row r="382" spans="1:4" x14ac:dyDescent="0.45">
      <c r="A382" t="s">
        <v>36</v>
      </c>
      <c r="B382">
        <v>2018</v>
      </c>
      <c r="C382" t="s">
        <v>75</v>
      </c>
      <c r="D382">
        <v>509.07</v>
      </c>
    </row>
    <row r="383" spans="1:4" x14ac:dyDescent="0.45">
      <c r="A383" t="s">
        <v>56</v>
      </c>
      <c r="B383">
        <v>2018</v>
      </c>
      <c r="C383" t="s">
        <v>75</v>
      </c>
      <c r="D383">
        <v>83.88</v>
      </c>
    </row>
    <row r="384" spans="1:4" x14ac:dyDescent="0.45">
      <c r="A384" t="s">
        <v>57</v>
      </c>
      <c r="B384">
        <v>2018</v>
      </c>
      <c r="C384" t="s">
        <v>75</v>
      </c>
      <c r="D384">
        <v>99.43</v>
      </c>
    </row>
    <row r="385" spans="1:4" x14ac:dyDescent="0.45">
      <c r="A385" t="s">
        <v>38</v>
      </c>
      <c r="B385">
        <v>2018</v>
      </c>
      <c r="C385" t="s">
        <v>75</v>
      </c>
      <c r="D385">
        <v>34.78</v>
      </c>
    </row>
    <row r="386" spans="1:4" x14ac:dyDescent="0.45">
      <c r="A386" t="s">
        <v>32</v>
      </c>
      <c r="B386">
        <v>2018</v>
      </c>
      <c r="C386" t="s">
        <v>75</v>
      </c>
      <c r="D386">
        <v>3.56</v>
      </c>
    </row>
    <row r="387" spans="1:4" x14ac:dyDescent="0.45">
      <c r="A387" t="s">
        <v>58</v>
      </c>
      <c r="B387">
        <v>2018</v>
      </c>
      <c r="C387" t="s">
        <v>75</v>
      </c>
      <c r="D387">
        <v>51.99</v>
      </c>
    </row>
    <row r="388" spans="1:4" x14ac:dyDescent="0.45">
      <c r="A388" t="s">
        <v>91</v>
      </c>
      <c r="B388">
        <v>2018</v>
      </c>
      <c r="C388" t="s">
        <v>75</v>
      </c>
      <c r="D388">
        <v>94.67</v>
      </c>
    </row>
    <row r="389" spans="1:4" x14ac:dyDescent="0.45">
      <c r="A389" t="s">
        <v>32</v>
      </c>
      <c r="B389">
        <v>2019</v>
      </c>
      <c r="C389" t="s">
        <v>75</v>
      </c>
      <c r="D389">
        <v>10.99</v>
      </c>
    </row>
    <row r="390" spans="1:4" x14ac:dyDescent="0.45">
      <c r="A390" t="s">
        <v>34</v>
      </c>
      <c r="B390">
        <v>2019</v>
      </c>
      <c r="C390" t="s">
        <v>75</v>
      </c>
      <c r="D390">
        <v>244.7</v>
      </c>
    </row>
    <row r="391" spans="1:4" x14ac:dyDescent="0.45">
      <c r="A391" t="s">
        <v>36</v>
      </c>
      <c r="B391">
        <v>2019</v>
      </c>
      <c r="C391" t="s">
        <v>75</v>
      </c>
      <c r="D391">
        <v>519.28</v>
      </c>
    </row>
    <row r="392" spans="1:4" x14ac:dyDescent="0.45">
      <c r="A392" t="s">
        <v>56</v>
      </c>
      <c r="B392">
        <v>2019</v>
      </c>
      <c r="C392" t="s">
        <v>75</v>
      </c>
      <c r="D392">
        <v>83.79</v>
      </c>
    </row>
    <row r="393" spans="1:4" x14ac:dyDescent="0.45">
      <c r="A393" t="s">
        <v>57</v>
      </c>
      <c r="B393">
        <v>2019</v>
      </c>
      <c r="C393" t="s">
        <v>75</v>
      </c>
      <c r="D393">
        <v>98.12</v>
      </c>
    </row>
    <row r="394" spans="1:4" x14ac:dyDescent="0.45">
      <c r="A394" t="s">
        <v>38</v>
      </c>
      <c r="B394">
        <v>2019</v>
      </c>
      <c r="C394" t="s">
        <v>75</v>
      </c>
      <c r="D394">
        <v>34.01</v>
      </c>
    </row>
    <row r="395" spans="1:4" x14ac:dyDescent="0.45">
      <c r="A395" t="s">
        <v>32</v>
      </c>
      <c r="B395">
        <v>2019</v>
      </c>
      <c r="C395" t="s">
        <v>75</v>
      </c>
      <c r="D395">
        <v>3.62</v>
      </c>
    </row>
    <row r="396" spans="1:4" x14ac:dyDescent="0.45">
      <c r="A396" t="s">
        <v>58</v>
      </c>
      <c r="B396">
        <v>2019</v>
      </c>
      <c r="C396" t="s">
        <v>75</v>
      </c>
      <c r="D396">
        <v>61.59</v>
      </c>
    </row>
    <row r="397" spans="1:4" x14ac:dyDescent="0.45">
      <c r="A397" t="s">
        <v>91</v>
      </c>
      <c r="B397">
        <v>2019</v>
      </c>
      <c r="C397" t="s">
        <v>75</v>
      </c>
      <c r="D397">
        <v>103.84</v>
      </c>
    </row>
    <row r="398" spans="1:4" x14ac:dyDescent="0.45">
      <c r="A398" t="s">
        <v>32</v>
      </c>
      <c r="B398">
        <v>2020</v>
      </c>
      <c r="C398" t="s">
        <v>75</v>
      </c>
      <c r="D398">
        <v>10.83</v>
      </c>
    </row>
    <row r="399" spans="1:4" x14ac:dyDescent="0.45">
      <c r="A399" t="s">
        <v>34</v>
      </c>
      <c r="B399">
        <v>2020</v>
      </c>
      <c r="C399" t="s">
        <v>75</v>
      </c>
      <c r="D399">
        <v>233.04</v>
      </c>
    </row>
    <row r="400" spans="1:4" x14ac:dyDescent="0.45">
      <c r="A400" t="s">
        <v>36</v>
      </c>
      <c r="B400">
        <v>2020</v>
      </c>
      <c r="C400" t="s">
        <v>75</v>
      </c>
      <c r="D400">
        <v>523.75</v>
      </c>
    </row>
    <row r="401" spans="1:4" x14ac:dyDescent="0.45">
      <c r="A401" t="s">
        <v>56</v>
      </c>
      <c r="B401">
        <v>2020</v>
      </c>
      <c r="C401" t="s">
        <v>75</v>
      </c>
      <c r="D401">
        <v>83.83</v>
      </c>
    </row>
    <row r="402" spans="1:4" x14ac:dyDescent="0.45">
      <c r="A402" t="s">
        <v>57</v>
      </c>
      <c r="B402">
        <v>2020</v>
      </c>
      <c r="C402" t="s">
        <v>75</v>
      </c>
      <c r="D402">
        <v>96.5</v>
      </c>
    </row>
    <row r="403" spans="1:4" x14ac:dyDescent="0.45">
      <c r="A403" t="s">
        <v>38</v>
      </c>
      <c r="B403">
        <v>2020</v>
      </c>
      <c r="C403" t="s">
        <v>75</v>
      </c>
      <c r="D403">
        <v>30.15</v>
      </c>
    </row>
    <row r="404" spans="1:4" x14ac:dyDescent="0.45">
      <c r="A404" t="s">
        <v>32</v>
      </c>
      <c r="B404">
        <v>2020</v>
      </c>
      <c r="C404" t="s">
        <v>75</v>
      </c>
      <c r="D404">
        <v>3.63</v>
      </c>
    </row>
    <row r="405" spans="1:4" x14ac:dyDescent="0.45">
      <c r="A405" t="s">
        <v>58</v>
      </c>
      <c r="B405">
        <v>2020</v>
      </c>
      <c r="C405" t="s">
        <v>75</v>
      </c>
      <c r="D405">
        <v>76.44</v>
      </c>
    </row>
    <row r="406" spans="1:4" x14ac:dyDescent="0.45">
      <c r="A406" t="s">
        <v>91</v>
      </c>
      <c r="B406">
        <v>2020</v>
      </c>
      <c r="C406" t="s">
        <v>75</v>
      </c>
      <c r="D406">
        <v>118.66</v>
      </c>
    </row>
    <row r="407" spans="1:4" x14ac:dyDescent="0.45">
      <c r="A407" t="s">
        <v>32</v>
      </c>
      <c r="B407">
        <v>2021</v>
      </c>
      <c r="C407" t="s">
        <v>75</v>
      </c>
      <c r="D407">
        <v>10.28</v>
      </c>
    </row>
    <row r="408" spans="1:4" x14ac:dyDescent="0.45">
      <c r="A408" t="s">
        <v>34</v>
      </c>
      <c r="B408">
        <v>2021</v>
      </c>
      <c r="C408" t="s">
        <v>75</v>
      </c>
      <c r="D408">
        <v>224.59</v>
      </c>
    </row>
    <row r="409" spans="1:4" x14ac:dyDescent="0.45">
      <c r="A409" t="s">
        <v>36</v>
      </c>
      <c r="B409">
        <v>2021</v>
      </c>
      <c r="C409" t="s">
        <v>75</v>
      </c>
      <c r="D409">
        <v>530.26</v>
      </c>
    </row>
    <row r="410" spans="1:4" x14ac:dyDescent="0.45">
      <c r="A410" t="s">
        <v>56</v>
      </c>
      <c r="B410">
        <v>2021</v>
      </c>
      <c r="C410" t="s">
        <v>75</v>
      </c>
      <c r="D410">
        <v>84.29</v>
      </c>
    </row>
    <row r="411" spans="1:4" x14ac:dyDescent="0.45">
      <c r="A411" t="s">
        <v>57</v>
      </c>
      <c r="B411">
        <v>2021</v>
      </c>
      <c r="C411" t="s">
        <v>75</v>
      </c>
      <c r="D411">
        <v>95.55</v>
      </c>
    </row>
    <row r="412" spans="1:4" x14ac:dyDescent="0.45">
      <c r="A412" t="s">
        <v>38</v>
      </c>
      <c r="B412">
        <v>2021</v>
      </c>
      <c r="C412" t="s">
        <v>75</v>
      </c>
      <c r="D412">
        <v>30.78</v>
      </c>
    </row>
    <row r="413" spans="1:4" x14ac:dyDescent="0.45">
      <c r="A413" t="s">
        <v>32</v>
      </c>
      <c r="B413">
        <v>2021</v>
      </c>
      <c r="C413" t="s">
        <v>75</v>
      </c>
      <c r="D413">
        <v>3.66</v>
      </c>
    </row>
    <row r="414" spans="1:4" x14ac:dyDescent="0.45">
      <c r="A414" t="s">
        <v>58</v>
      </c>
      <c r="B414">
        <v>2021</v>
      </c>
      <c r="C414" t="s">
        <v>75</v>
      </c>
      <c r="D414">
        <v>95.39</v>
      </c>
    </row>
    <row r="415" spans="1:4" x14ac:dyDescent="0.45">
      <c r="A415" t="s">
        <v>91</v>
      </c>
      <c r="B415">
        <v>2021</v>
      </c>
      <c r="C415" t="s">
        <v>75</v>
      </c>
      <c r="D415">
        <v>133.02000000000001</v>
      </c>
    </row>
    <row r="416" spans="1:4" x14ac:dyDescent="0.45">
      <c r="A416" t="s">
        <v>32</v>
      </c>
      <c r="B416">
        <v>2022</v>
      </c>
      <c r="C416" t="s">
        <v>75</v>
      </c>
      <c r="D416">
        <v>10.08</v>
      </c>
    </row>
    <row r="417" spans="1:4" x14ac:dyDescent="0.45">
      <c r="A417" t="s">
        <v>34</v>
      </c>
      <c r="B417">
        <v>2022</v>
      </c>
      <c r="C417" t="s">
        <v>75</v>
      </c>
      <c r="D417">
        <v>209.94</v>
      </c>
    </row>
    <row r="418" spans="1:4" x14ac:dyDescent="0.45">
      <c r="A418" t="s">
        <v>36</v>
      </c>
      <c r="B418">
        <v>2022</v>
      </c>
      <c r="C418" t="s">
        <v>75</v>
      </c>
      <c r="D418">
        <v>535.49</v>
      </c>
    </row>
    <row r="419" spans="1:4" x14ac:dyDescent="0.45">
      <c r="A419" t="s">
        <v>56</v>
      </c>
      <c r="B419">
        <v>2022</v>
      </c>
      <c r="C419" t="s">
        <v>75</v>
      </c>
      <c r="D419">
        <v>86.63</v>
      </c>
    </row>
    <row r="420" spans="1:4" x14ac:dyDescent="0.45">
      <c r="A420" t="s">
        <v>57</v>
      </c>
      <c r="B420">
        <v>2022</v>
      </c>
      <c r="C420" t="s">
        <v>75</v>
      </c>
      <c r="D420">
        <v>94.66</v>
      </c>
    </row>
    <row r="421" spans="1:4" x14ac:dyDescent="0.45">
      <c r="A421" t="s">
        <v>38</v>
      </c>
      <c r="B421">
        <v>2022</v>
      </c>
      <c r="C421" t="s">
        <v>75</v>
      </c>
      <c r="D421">
        <v>33.18</v>
      </c>
    </row>
    <row r="422" spans="1:4" x14ac:dyDescent="0.45">
      <c r="A422" t="s">
        <v>32</v>
      </c>
      <c r="B422">
        <v>2022</v>
      </c>
      <c r="C422" t="s">
        <v>75</v>
      </c>
      <c r="D422">
        <v>3.67</v>
      </c>
    </row>
    <row r="423" spans="1:4" x14ac:dyDescent="0.45">
      <c r="A423" t="s">
        <v>58</v>
      </c>
      <c r="B423">
        <v>2022</v>
      </c>
      <c r="C423" t="s">
        <v>75</v>
      </c>
      <c r="D423">
        <v>114.36</v>
      </c>
    </row>
    <row r="424" spans="1:4" x14ac:dyDescent="0.45">
      <c r="A424" t="s">
        <v>91</v>
      </c>
      <c r="B424">
        <v>2022</v>
      </c>
      <c r="C424" t="s">
        <v>75</v>
      </c>
      <c r="D424">
        <v>141.66999999999999</v>
      </c>
    </row>
    <row r="425" spans="1:4" x14ac:dyDescent="0.45">
      <c r="A425" t="s">
        <v>32</v>
      </c>
      <c r="B425">
        <v>2023</v>
      </c>
      <c r="C425" t="s">
        <v>75</v>
      </c>
      <c r="D425">
        <v>9.9600000000000009</v>
      </c>
    </row>
    <row r="426" spans="1:4" x14ac:dyDescent="0.45">
      <c r="A426" t="s">
        <v>34</v>
      </c>
      <c r="B426">
        <v>2023</v>
      </c>
      <c r="C426" t="s">
        <v>75</v>
      </c>
      <c r="D426">
        <v>200.28</v>
      </c>
    </row>
    <row r="427" spans="1:4" x14ac:dyDescent="0.45">
      <c r="A427" t="s">
        <v>36</v>
      </c>
      <c r="B427">
        <v>2023</v>
      </c>
      <c r="C427" t="s">
        <v>75</v>
      </c>
      <c r="D427">
        <v>542.92999999999995</v>
      </c>
    </row>
    <row r="428" spans="1:4" x14ac:dyDescent="0.45">
      <c r="A428" t="s">
        <v>56</v>
      </c>
      <c r="B428">
        <v>2023</v>
      </c>
      <c r="C428" t="s">
        <v>75</v>
      </c>
      <c r="D428">
        <v>86.66</v>
      </c>
    </row>
    <row r="429" spans="1:4" x14ac:dyDescent="0.45">
      <c r="A429" t="s">
        <v>57</v>
      </c>
      <c r="B429">
        <v>2023</v>
      </c>
      <c r="C429" t="s">
        <v>75</v>
      </c>
      <c r="D429">
        <v>95.77</v>
      </c>
    </row>
    <row r="430" spans="1:4" x14ac:dyDescent="0.45">
      <c r="A430" t="s">
        <v>38</v>
      </c>
      <c r="B430">
        <v>2023</v>
      </c>
      <c r="C430" t="s">
        <v>75</v>
      </c>
      <c r="D430">
        <v>32.159999999999997</v>
      </c>
    </row>
    <row r="431" spans="1:4" x14ac:dyDescent="0.45">
      <c r="A431" t="s">
        <v>32</v>
      </c>
      <c r="B431">
        <v>2023</v>
      </c>
      <c r="C431" t="s">
        <v>75</v>
      </c>
      <c r="D431">
        <v>3.7</v>
      </c>
    </row>
    <row r="432" spans="1:4" x14ac:dyDescent="0.45">
      <c r="A432" t="s">
        <v>58</v>
      </c>
      <c r="B432">
        <v>2023</v>
      </c>
      <c r="C432" t="s">
        <v>75</v>
      </c>
      <c r="D432">
        <v>139.21</v>
      </c>
    </row>
    <row r="433" spans="1:4" x14ac:dyDescent="0.45">
      <c r="A433" t="s">
        <v>91</v>
      </c>
      <c r="B433">
        <v>2023</v>
      </c>
      <c r="C433" t="s">
        <v>75</v>
      </c>
      <c r="D433">
        <v>148.02000000000001</v>
      </c>
    </row>
    <row r="434" spans="1:4" x14ac:dyDescent="0.45">
      <c r="A434" t="s">
        <v>32</v>
      </c>
      <c r="B434">
        <v>2000</v>
      </c>
      <c r="C434" t="s">
        <v>76</v>
      </c>
      <c r="D434">
        <v>13.13</v>
      </c>
    </row>
    <row r="435" spans="1:4" x14ac:dyDescent="0.45">
      <c r="A435" t="s">
        <v>34</v>
      </c>
      <c r="B435">
        <v>2000</v>
      </c>
      <c r="C435" t="s">
        <v>76</v>
      </c>
      <c r="D435">
        <v>1760.68</v>
      </c>
    </row>
    <row r="436" spans="1:4" x14ac:dyDescent="0.45">
      <c r="A436" t="s">
        <v>36</v>
      </c>
      <c r="B436">
        <v>2000</v>
      </c>
      <c r="C436" t="s">
        <v>76</v>
      </c>
      <c r="D436">
        <v>310.61</v>
      </c>
    </row>
    <row r="437" spans="1:4" x14ac:dyDescent="0.45">
      <c r="A437" t="s">
        <v>56</v>
      </c>
      <c r="B437">
        <v>2000</v>
      </c>
      <c r="C437" t="s">
        <v>76</v>
      </c>
      <c r="D437">
        <v>6.42</v>
      </c>
    </row>
    <row r="438" spans="1:4" x14ac:dyDescent="0.45">
      <c r="A438" t="s">
        <v>57</v>
      </c>
      <c r="B438">
        <v>2000</v>
      </c>
      <c r="C438" t="s">
        <v>76</v>
      </c>
      <c r="D438">
        <v>3.84</v>
      </c>
    </row>
    <row r="439" spans="1:4" x14ac:dyDescent="0.45">
      <c r="A439" t="s">
        <v>38</v>
      </c>
      <c r="B439">
        <v>2000</v>
      </c>
      <c r="C439" t="s">
        <v>76</v>
      </c>
      <c r="D439">
        <v>76.34</v>
      </c>
    </row>
    <row r="440" spans="1:4" x14ac:dyDescent="0.45">
      <c r="A440" t="s">
        <v>32</v>
      </c>
      <c r="B440">
        <v>2000</v>
      </c>
      <c r="C440" t="s">
        <v>76</v>
      </c>
      <c r="D440">
        <v>0.53</v>
      </c>
    </row>
    <row r="441" spans="1:4" x14ac:dyDescent="0.45">
      <c r="A441" t="s">
        <v>58</v>
      </c>
      <c r="B441">
        <v>2000</v>
      </c>
      <c r="C441" t="s">
        <v>76</v>
      </c>
      <c r="D441">
        <v>0.02</v>
      </c>
    </row>
    <row r="442" spans="1:4" x14ac:dyDescent="0.45">
      <c r="A442" t="s">
        <v>91</v>
      </c>
      <c r="B442">
        <v>2000</v>
      </c>
      <c r="C442" t="s">
        <v>76</v>
      </c>
      <c r="D442">
        <v>0.05</v>
      </c>
    </row>
    <row r="443" spans="1:4" x14ac:dyDescent="0.45">
      <c r="A443" t="s">
        <v>32</v>
      </c>
      <c r="B443">
        <v>2001</v>
      </c>
      <c r="C443" t="s">
        <v>76</v>
      </c>
      <c r="D443">
        <v>10.76</v>
      </c>
    </row>
    <row r="444" spans="1:4" x14ac:dyDescent="0.45">
      <c r="A444" t="s">
        <v>34</v>
      </c>
      <c r="B444">
        <v>2001</v>
      </c>
      <c r="C444" t="s">
        <v>76</v>
      </c>
      <c r="D444">
        <v>1705.02</v>
      </c>
    </row>
    <row r="445" spans="1:4" x14ac:dyDescent="0.45">
      <c r="A445" t="s">
        <v>36</v>
      </c>
      <c r="B445">
        <v>2001</v>
      </c>
      <c r="C445" t="s">
        <v>76</v>
      </c>
      <c r="D445">
        <v>322.8</v>
      </c>
    </row>
    <row r="446" spans="1:4" x14ac:dyDescent="0.45">
      <c r="A446" t="s">
        <v>56</v>
      </c>
      <c r="B446">
        <v>2001</v>
      </c>
      <c r="C446" t="s">
        <v>76</v>
      </c>
      <c r="D446">
        <v>4.95</v>
      </c>
    </row>
    <row r="447" spans="1:4" x14ac:dyDescent="0.45">
      <c r="A447" t="s">
        <v>57</v>
      </c>
      <c r="B447">
        <v>2001</v>
      </c>
      <c r="C447" t="s">
        <v>76</v>
      </c>
      <c r="D447">
        <v>3.91</v>
      </c>
    </row>
    <row r="448" spans="1:4" x14ac:dyDescent="0.45">
      <c r="A448" t="s">
        <v>38</v>
      </c>
      <c r="B448">
        <v>2001</v>
      </c>
      <c r="C448" t="s">
        <v>76</v>
      </c>
      <c r="D448">
        <v>89.22</v>
      </c>
    </row>
    <row r="449" spans="1:4" x14ac:dyDescent="0.45">
      <c r="A449" t="s">
        <v>32</v>
      </c>
      <c r="B449">
        <v>2001</v>
      </c>
      <c r="C449" t="s">
        <v>76</v>
      </c>
      <c r="D449">
        <v>0.56000000000000005</v>
      </c>
    </row>
    <row r="450" spans="1:4" x14ac:dyDescent="0.45">
      <c r="A450" t="s">
        <v>58</v>
      </c>
      <c r="B450">
        <v>2001</v>
      </c>
      <c r="C450" t="s">
        <v>76</v>
      </c>
      <c r="D450">
        <v>0.03</v>
      </c>
    </row>
    <row r="451" spans="1:4" x14ac:dyDescent="0.45">
      <c r="A451" t="s">
        <v>91</v>
      </c>
      <c r="B451">
        <v>2001</v>
      </c>
      <c r="C451" t="s">
        <v>76</v>
      </c>
      <c r="D451">
        <v>0.06</v>
      </c>
    </row>
    <row r="452" spans="1:4" x14ac:dyDescent="0.45">
      <c r="A452" t="s">
        <v>32</v>
      </c>
      <c r="B452">
        <v>2002</v>
      </c>
      <c r="C452" t="s">
        <v>76</v>
      </c>
      <c r="D452">
        <v>11.61</v>
      </c>
    </row>
    <row r="453" spans="1:4" x14ac:dyDescent="0.45">
      <c r="A453" t="s">
        <v>34</v>
      </c>
      <c r="B453">
        <v>2002</v>
      </c>
      <c r="C453" t="s">
        <v>76</v>
      </c>
      <c r="D453">
        <v>1731.28</v>
      </c>
    </row>
    <row r="454" spans="1:4" x14ac:dyDescent="0.45">
      <c r="A454" t="s">
        <v>36</v>
      </c>
      <c r="B454">
        <v>2002</v>
      </c>
      <c r="C454" t="s">
        <v>76</v>
      </c>
      <c r="D454">
        <v>349</v>
      </c>
    </row>
    <row r="455" spans="1:4" x14ac:dyDescent="0.45">
      <c r="A455" t="s">
        <v>56</v>
      </c>
      <c r="B455">
        <v>2002</v>
      </c>
      <c r="C455" t="s">
        <v>76</v>
      </c>
      <c r="D455">
        <v>6.07</v>
      </c>
    </row>
    <row r="456" spans="1:4" x14ac:dyDescent="0.45">
      <c r="A456" t="s">
        <v>57</v>
      </c>
      <c r="B456">
        <v>2002</v>
      </c>
      <c r="C456" t="s">
        <v>76</v>
      </c>
      <c r="D456">
        <v>3.97</v>
      </c>
    </row>
    <row r="457" spans="1:4" x14ac:dyDescent="0.45">
      <c r="A457" t="s">
        <v>38</v>
      </c>
      <c r="B457">
        <v>2002</v>
      </c>
      <c r="C457" t="s">
        <v>76</v>
      </c>
      <c r="D457">
        <v>68.23</v>
      </c>
    </row>
    <row r="458" spans="1:4" x14ac:dyDescent="0.45">
      <c r="A458" t="s">
        <v>32</v>
      </c>
      <c r="B458">
        <v>2002</v>
      </c>
      <c r="C458" t="s">
        <v>76</v>
      </c>
      <c r="D458">
        <v>0.61</v>
      </c>
    </row>
    <row r="459" spans="1:4" x14ac:dyDescent="0.45">
      <c r="A459" t="s">
        <v>58</v>
      </c>
      <c r="B459">
        <v>2002</v>
      </c>
      <c r="C459" t="s">
        <v>76</v>
      </c>
      <c r="D459">
        <v>0.03</v>
      </c>
    </row>
    <row r="460" spans="1:4" x14ac:dyDescent="0.45">
      <c r="A460" t="s">
        <v>91</v>
      </c>
      <c r="B460">
        <v>2002</v>
      </c>
      <c r="C460" t="s">
        <v>76</v>
      </c>
      <c r="D460">
        <v>0.09</v>
      </c>
    </row>
    <row r="461" spans="1:4" x14ac:dyDescent="0.45">
      <c r="A461" t="s">
        <v>32</v>
      </c>
      <c r="B461">
        <v>2003</v>
      </c>
      <c r="C461" t="s">
        <v>76</v>
      </c>
      <c r="D461">
        <v>11.53</v>
      </c>
    </row>
    <row r="462" spans="1:4" x14ac:dyDescent="0.45">
      <c r="A462" t="s">
        <v>34</v>
      </c>
      <c r="B462">
        <v>2003</v>
      </c>
      <c r="C462" t="s">
        <v>76</v>
      </c>
      <c r="D462">
        <v>1767.63</v>
      </c>
    </row>
    <row r="463" spans="1:4" x14ac:dyDescent="0.45">
      <c r="A463" t="s">
        <v>36</v>
      </c>
      <c r="B463">
        <v>2003</v>
      </c>
      <c r="C463" t="s">
        <v>76</v>
      </c>
      <c r="D463">
        <v>328.25</v>
      </c>
    </row>
    <row r="464" spans="1:4" x14ac:dyDescent="0.45">
      <c r="A464" t="s">
        <v>56</v>
      </c>
      <c r="B464">
        <v>2003</v>
      </c>
      <c r="C464" t="s">
        <v>76</v>
      </c>
      <c r="D464">
        <v>6.35</v>
      </c>
    </row>
    <row r="465" spans="1:4" x14ac:dyDescent="0.45">
      <c r="A465" t="s">
        <v>57</v>
      </c>
      <c r="B465">
        <v>2003</v>
      </c>
      <c r="C465" t="s">
        <v>76</v>
      </c>
      <c r="D465">
        <v>3.89</v>
      </c>
    </row>
    <row r="466" spans="1:4" x14ac:dyDescent="0.45">
      <c r="A466" t="s">
        <v>38</v>
      </c>
      <c r="B466">
        <v>2003</v>
      </c>
      <c r="C466" t="s">
        <v>76</v>
      </c>
      <c r="D466">
        <v>87.11</v>
      </c>
    </row>
    <row r="467" spans="1:4" x14ac:dyDescent="0.45">
      <c r="A467" t="s">
        <v>32</v>
      </c>
      <c r="B467">
        <v>2003</v>
      </c>
      <c r="C467" t="s">
        <v>76</v>
      </c>
      <c r="D467">
        <v>0.63</v>
      </c>
    </row>
    <row r="468" spans="1:4" x14ac:dyDescent="0.45">
      <c r="A468" t="s">
        <v>58</v>
      </c>
      <c r="B468">
        <v>2003</v>
      </c>
      <c r="C468" t="s">
        <v>76</v>
      </c>
      <c r="D468">
        <v>0.03</v>
      </c>
    </row>
    <row r="469" spans="1:4" x14ac:dyDescent="0.45">
      <c r="A469" t="s">
        <v>91</v>
      </c>
      <c r="B469">
        <v>2003</v>
      </c>
      <c r="C469" t="s">
        <v>76</v>
      </c>
      <c r="D469">
        <v>0.09</v>
      </c>
    </row>
    <row r="470" spans="1:4" x14ac:dyDescent="0.45">
      <c r="A470" t="s">
        <v>32</v>
      </c>
      <c r="B470">
        <v>2004</v>
      </c>
      <c r="C470" t="s">
        <v>76</v>
      </c>
      <c r="D470">
        <v>11.58</v>
      </c>
    </row>
    <row r="471" spans="1:4" x14ac:dyDescent="0.45">
      <c r="A471" t="s">
        <v>34</v>
      </c>
      <c r="B471">
        <v>2004</v>
      </c>
      <c r="C471" t="s">
        <v>76</v>
      </c>
      <c r="D471">
        <v>1771.68</v>
      </c>
    </row>
    <row r="472" spans="1:4" x14ac:dyDescent="0.45">
      <c r="A472" t="s">
        <v>36</v>
      </c>
      <c r="B472">
        <v>2004</v>
      </c>
      <c r="C472" t="s">
        <v>76</v>
      </c>
      <c r="D472">
        <v>358.65</v>
      </c>
    </row>
    <row r="473" spans="1:4" x14ac:dyDescent="0.45">
      <c r="A473" t="s">
        <v>56</v>
      </c>
      <c r="B473">
        <v>2004</v>
      </c>
      <c r="C473" t="s">
        <v>76</v>
      </c>
      <c r="D473">
        <v>6.18</v>
      </c>
    </row>
    <row r="474" spans="1:4" x14ac:dyDescent="0.45">
      <c r="A474" t="s">
        <v>57</v>
      </c>
      <c r="B474">
        <v>2004</v>
      </c>
      <c r="C474" t="s">
        <v>76</v>
      </c>
      <c r="D474">
        <v>4.01</v>
      </c>
    </row>
    <row r="475" spans="1:4" x14ac:dyDescent="0.45">
      <c r="A475" t="s">
        <v>38</v>
      </c>
      <c r="B475">
        <v>2004</v>
      </c>
      <c r="C475" t="s">
        <v>76</v>
      </c>
      <c r="D475">
        <v>85.46</v>
      </c>
    </row>
    <row r="476" spans="1:4" x14ac:dyDescent="0.45">
      <c r="A476" t="s">
        <v>32</v>
      </c>
      <c r="B476">
        <v>2004</v>
      </c>
      <c r="C476" t="s">
        <v>76</v>
      </c>
      <c r="D476">
        <v>0.64</v>
      </c>
    </row>
    <row r="477" spans="1:4" x14ac:dyDescent="0.45">
      <c r="A477" t="s">
        <v>58</v>
      </c>
      <c r="B477">
        <v>2004</v>
      </c>
      <c r="C477" t="s">
        <v>76</v>
      </c>
      <c r="D477">
        <v>0.03</v>
      </c>
    </row>
    <row r="478" spans="1:4" x14ac:dyDescent="0.45">
      <c r="A478" t="s">
        <v>91</v>
      </c>
      <c r="B478">
        <v>2004</v>
      </c>
      <c r="C478" t="s">
        <v>76</v>
      </c>
      <c r="D478">
        <v>0.12</v>
      </c>
    </row>
    <row r="479" spans="1:4" x14ac:dyDescent="0.45">
      <c r="A479" t="s">
        <v>32</v>
      </c>
      <c r="B479">
        <v>2005</v>
      </c>
      <c r="C479" t="s">
        <v>76</v>
      </c>
      <c r="D479">
        <v>11.74</v>
      </c>
    </row>
    <row r="480" spans="1:4" x14ac:dyDescent="0.45">
      <c r="A480" t="s">
        <v>34</v>
      </c>
      <c r="B480">
        <v>2005</v>
      </c>
      <c r="C480" t="s">
        <v>76</v>
      </c>
      <c r="D480">
        <v>1802.65</v>
      </c>
    </row>
    <row r="481" spans="1:4" x14ac:dyDescent="0.45">
      <c r="A481" t="s">
        <v>36</v>
      </c>
      <c r="B481">
        <v>2005</v>
      </c>
      <c r="C481" t="s">
        <v>76</v>
      </c>
      <c r="D481">
        <v>384.33</v>
      </c>
    </row>
    <row r="482" spans="1:4" x14ac:dyDescent="0.45">
      <c r="A482" t="s">
        <v>56</v>
      </c>
      <c r="B482">
        <v>2005</v>
      </c>
      <c r="C482" t="s">
        <v>76</v>
      </c>
      <c r="D482">
        <v>6.27</v>
      </c>
    </row>
    <row r="483" spans="1:4" x14ac:dyDescent="0.45">
      <c r="A483" t="s">
        <v>57</v>
      </c>
      <c r="B483">
        <v>2005</v>
      </c>
      <c r="C483" t="s">
        <v>76</v>
      </c>
      <c r="D483">
        <v>3.98</v>
      </c>
    </row>
    <row r="484" spans="1:4" x14ac:dyDescent="0.45">
      <c r="A484" t="s">
        <v>38</v>
      </c>
      <c r="B484">
        <v>2005</v>
      </c>
      <c r="C484" t="s">
        <v>76</v>
      </c>
      <c r="D484">
        <v>82.99</v>
      </c>
    </row>
    <row r="485" spans="1:4" x14ac:dyDescent="0.45">
      <c r="A485" t="s">
        <v>32</v>
      </c>
      <c r="B485">
        <v>2005</v>
      </c>
      <c r="C485" t="s">
        <v>76</v>
      </c>
      <c r="D485">
        <v>0.63</v>
      </c>
    </row>
    <row r="486" spans="1:4" x14ac:dyDescent="0.45">
      <c r="A486" t="s">
        <v>58</v>
      </c>
      <c r="B486">
        <v>2005</v>
      </c>
      <c r="C486" t="s">
        <v>76</v>
      </c>
      <c r="D486">
        <v>0.03</v>
      </c>
    </row>
    <row r="487" spans="1:4" x14ac:dyDescent="0.45">
      <c r="A487" t="s">
        <v>91</v>
      </c>
      <c r="B487">
        <v>2005</v>
      </c>
      <c r="C487" t="s">
        <v>76</v>
      </c>
      <c r="D487">
        <v>0.15</v>
      </c>
    </row>
    <row r="488" spans="1:4" x14ac:dyDescent="0.45">
      <c r="A488" t="s">
        <v>32</v>
      </c>
      <c r="B488">
        <v>2006</v>
      </c>
      <c r="C488" t="s">
        <v>76</v>
      </c>
      <c r="D488">
        <v>11.86</v>
      </c>
    </row>
    <row r="489" spans="1:4" x14ac:dyDescent="0.45">
      <c r="A489" t="s">
        <v>34</v>
      </c>
      <c r="B489">
        <v>2006</v>
      </c>
      <c r="C489" t="s">
        <v>76</v>
      </c>
      <c r="D489">
        <v>1782.66</v>
      </c>
    </row>
    <row r="490" spans="1:4" x14ac:dyDescent="0.45">
      <c r="A490" t="s">
        <v>36</v>
      </c>
      <c r="B490">
        <v>2006</v>
      </c>
      <c r="C490" t="s">
        <v>76</v>
      </c>
      <c r="D490">
        <v>412.35</v>
      </c>
    </row>
    <row r="491" spans="1:4" x14ac:dyDescent="0.45">
      <c r="A491" t="s">
        <v>56</v>
      </c>
      <c r="B491">
        <v>2006</v>
      </c>
      <c r="C491" t="s">
        <v>76</v>
      </c>
      <c r="D491">
        <v>6.72</v>
      </c>
    </row>
    <row r="492" spans="1:4" x14ac:dyDescent="0.45">
      <c r="A492" t="s">
        <v>57</v>
      </c>
      <c r="B492">
        <v>2006</v>
      </c>
      <c r="C492" t="s">
        <v>76</v>
      </c>
      <c r="D492">
        <v>4.01</v>
      </c>
    </row>
    <row r="493" spans="1:4" x14ac:dyDescent="0.45">
      <c r="A493" t="s">
        <v>38</v>
      </c>
      <c r="B493">
        <v>2006</v>
      </c>
      <c r="C493" t="s">
        <v>76</v>
      </c>
      <c r="D493">
        <v>47.12</v>
      </c>
    </row>
    <row r="494" spans="1:4" x14ac:dyDescent="0.45">
      <c r="A494" t="s">
        <v>32</v>
      </c>
      <c r="B494">
        <v>2006</v>
      </c>
      <c r="C494" t="s">
        <v>76</v>
      </c>
      <c r="D494">
        <v>0.62</v>
      </c>
    </row>
    <row r="495" spans="1:4" x14ac:dyDescent="0.45">
      <c r="A495" t="s">
        <v>58</v>
      </c>
      <c r="B495">
        <v>2006</v>
      </c>
      <c r="C495" t="s">
        <v>76</v>
      </c>
      <c r="D495">
        <v>0.02</v>
      </c>
    </row>
    <row r="496" spans="1:4" x14ac:dyDescent="0.45">
      <c r="A496" t="s">
        <v>91</v>
      </c>
      <c r="B496">
        <v>2006</v>
      </c>
      <c r="C496" t="s">
        <v>76</v>
      </c>
      <c r="D496">
        <v>0.22</v>
      </c>
    </row>
    <row r="497" spans="1:4" x14ac:dyDescent="0.45">
      <c r="A497" t="s">
        <v>32</v>
      </c>
      <c r="B497">
        <v>2007</v>
      </c>
      <c r="C497" t="s">
        <v>76</v>
      </c>
      <c r="D497">
        <v>12.01</v>
      </c>
    </row>
    <row r="498" spans="1:4" x14ac:dyDescent="0.45">
      <c r="A498" t="s">
        <v>34</v>
      </c>
      <c r="B498">
        <v>2007</v>
      </c>
      <c r="C498" t="s">
        <v>76</v>
      </c>
      <c r="D498">
        <v>1805.74</v>
      </c>
    </row>
    <row r="499" spans="1:4" x14ac:dyDescent="0.45">
      <c r="A499" t="s">
        <v>36</v>
      </c>
      <c r="B499">
        <v>2007</v>
      </c>
      <c r="C499" t="s">
        <v>76</v>
      </c>
      <c r="D499">
        <v>452.84</v>
      </c>
    </row>
    <row r="500" spans="1:4" x14ac:dyDescent="0.45">
      <c r="A500" t="s">
        <v>56</v>
      </c>
      <c r="B500">
        <v>2007</v>
      </c>
      <c r="C500" t="s">
        <v>76</v>
      </c>
      <c r="D500">
        <v>5.72</v>
      </c>
    </row>
    <row r="501" spans="1:4" x14ac:dyDescent="0.45">
      <c r="A501" t="s">
        <v>57</v>
      </c>
      <c r="B501">
        <v>2007</v>
      </c>
      <c r="C501" t="s">
        <v>76</v>
      </c>
      <c r="D501">
        <v>4.0999999999999996</v>
      </c>
    </row>
    <row r="502" spans="1:4" x14ac:dyDescent="0.45">
      <c r="A502" t="s">
        <v>38</v>
      </c>
      <c r="B502">
        <v>2007</v>
      </c>
      <c r="C502" t="s">
        <v>76</v>
      </c>
      <c r="D502">
        <v>49.48</v>
      </c>
    </row>
    <row r="503" spans="1:4" x14ac:dyDescent="0.45">
      <c r="A503" t="s">
        <v>32</v>
      </c>
      <c r="B503">
        <v>2007</v>
      </c>
      <c r="C503" t="s">
        <v>76</v>
      </c>
      <c r="D503">
        <v>0.63</v>
      </c>
    </row>
    <row r="504" spans="1:4" x14ac:dyDescent="0.45">
      <c r="A504" t="s">
        <v>58</v>
      </c>
      <c r="B504">
        <v>2007</v>
      </c>
      <c r="C504" t="s">
        <v>76</v>
      </c>
      <c r="D504">
        <v>0.03</v>
      </c>
    </row>
    <row r="505" spans="1:4" x14ac:dyDescent="0.45">
      <c r="A505" t="s">
        <v>91</v>
      </c>
      <c r="B505">
        <v>2007</v>
      </c>
      <c r="C505" t="s">
        <v>76</v>
      </c>
      <c r="D505">
        <v>0.28999999999999998</v>
      </c>
    </row>
    <row r="506" spans="1:4" x14ac:dyDescent="0.45">
      <c r="A506" t="s">
        <v>32</v>
      </c>
      <c r="B506">
        <v>2008</v>
      </c>
      <c r="C506" t="s">
        <v>76</v>
      </c>
      <c r="D506">
        <v>11.9</v>
      </c>
    </row>
    <row r="507" spans="1:4" x14ac:dyDescent="0.45">
      <c r="A507" t="s">
        <v>34</v>
      </c>
      <c r="B507">
        <v>2008</v>
      </c>
      <c r="C507" t="s">
        <v>76</v>
      </c>
      <c r="D507">
        <v>1778.06</v>
      </c>
    </row>
    <row r="508" spans="1:4" x14ac:dyDescent="0.45">
      <c r="A508" t="s">
        <v>36</v>
      </c>
      <c r="B508">
        <v>2008</v>
      </c>
      <c r="C508" t="s">
        <v>76</v>
      </c>
      <c r="D508">
        <v>445.96</v>
      </c>
    </row>
    <row r="509" spans="1:4" x14ac:dyDescent="0.45">
      <c r="A509" t="s">
        <v>56</v>
      </c>
      <c r="B509">
        <v>2008</v>
      </c>
      <c r="C509" t="s">
        <v>76</v>
      </c>
      <c r="D509">
        <v>5.91</v>
      </c>
    </row>
    <row r="510" spans="1:4" x14ac:dyDescent="0.45">
      <c r="A510" t="s">
        <v>57</v>
      </c>
      <c r="B510">
        <v>2008</v>
      </c>
      <c r="C510" t="s">
        <v>76</v>
      </c>
      <c r="D510">
        <v>4.0999999999999996</v>
      </c>
    </row>
    <row r="511" spans="1:4" x14ac:dyDescent="0.45">
      <c r="A511" t="s">
        <v>38</v>
      </c>
      <c r="B511">
        <v>2008</v>
      </c>
      <c r="C511" t="s">
        <v>76</v>
      </c>
      <c r="D511">
        <v>36.47</v>
      </c>
    </row>
    <row r="512" spans="1:4" x14ac:dyDescent="0.45">
      <c r="A512" t="s">
        <v>32</v>
      </c>
      <c r="B512">
        <v>2008</v>
      </c>
      <c r="C512" t="s">
        <v>76</v>
      </c>
      <c r="D512">
        <v>0.65</v>
      </c>
    </row>
    <row r="513" spans="1:4" x14ac:dyDescent="0.45">
      <c r="A513" t="s">
        <v>58</v>
      </c>
      <c r="B513">
        <v>2008</v>
      </c>
      <c r="C513" t="s">
        <v>76</v>
      </c>
      <c r="D513">
        <v>0.04</v>
      </c>
    </row>
    <row r="514" spans="1:4" x14ac:dyDescent="0.45">
      <c r="A514" t="s">
        <v>91</v>
      </c>
      <c r="B514">
        <v>2008</v>
      </c>
      <c r="C514" t="s">
        <v>76</v>
      </c>
      <c r="D514">
        <v>0.47</v>
      </c>
    </row>
    <row r="515" spans="1:4" x14ac:dyDescent="0.45">
      <c r="A515" t="s">
        <v>32</v>
      </c>
      <c r="B515">
        <v>2009</v>
      </c>
      <c r="C515" t="s">
        <v>76</v>
      </c>
      <c r="D515">
        <v>11.78</v>
      </c>
    </row>
    <row r="516" spans="1:4" x14ac:dyDescent="0.45">
      <c r="A516" t="s">
        <v>34</v>
      </c>
      <c r="B516">
        <v>2009</v>
      </c>
      <c r="C516" t="s">
        <v>76</v>
      </c>
      <c r="D516">
        <v>1572.28</v>
      </c>
    </row>
    <row r="517" spans="1:4" x14ac:dyDescent="0.45">
      <c r="A517" t="s">
        <v>36</v>
      </c>
      <c r="B517">
        <v>2009</v>
      </c>
      <c r="C517" t="s">
        <v>76</v>
      </c>
      <c r="D517">
        <v>465.15</v>
      </c>
    </row>
    <row r="518" spans="1:4" x14ac:dyDescent="0.45">
      <c r="A518" t="s">
        <v>56</v>
      </c>
      <c r="B518">
        <v>2009</v>
      </c>
      <c r="C518" t="s">
        <v>76</v>
      </c>
      <c r="D518">
        <v>6.39</v>
      </c>
    </row>
    <row r="519" spans="1:4" x14ac:dyDescent="0.45">
      <c r="A519" t="s">
        <v>57</v>
      </c>
      <c r="B519">
        <v>2009</v>
      </c>
      <c r="C519" t="s">
        <v>76</v>
      </c>
      <c r="D519">
        <v>4.07</v>
      </c>
    </row>
    <row r="520" spans="1:4" x14ac:dyDescent="0.45">
      <c r="A520" t="s">
        <v>38</v>
      </c>
      <c r="B520">
        <v>2009</v>
      </c>
      <c r="C520" t="s">
        <v>76</v>
      </c>
      <c r="D520">
        <v>31.93</v>
      </c>
    </row>
    <row r="521" spans="1:4" x14ac:dyDescent="0.45">
      <c r="A521" t="s">
        <v>32</v>
      </c>
      <c r="B521">
        <v>2009</v>
      </c>
      <c r="C521" t="s">
        <v>76</v>
      </c>
      <c r="D521">
        <v>0.66</v>
      </c>
    </row>
    <row r="522" spans="1:4" x14ac:dyDescent="0.45">
      <c r="A522" t="s">
        <v>58</v>
      </c>
      <c r="B522">
        <v>2009</v>
      </c>
      <c r="C522" t="s">
        <v>76</v>
      </c>
      <c r="D522">
        <v>0.04</v>
      </c>
    </row>
    <row r="523" spans="1:4" x14ac:dyDescent="0.45">
      <c r="A523" t="s">
        <v>91</v>
      </c>
      <c r="B523">
        <v>2009</v>
      </c>
      <c r="C523" t="s">
        <v>76</v>
      </c>
      <c r="D523">
        <v>0.62</v>
      </c>
    </row>
    <row r="524" spans="1:4" x14ac:dyDescent="0.45">
      <c r="A524" t="s">
        <v>32</v>
      </c>
      <c r="B524">
        <v>2010</v>
      </c>
      <c r="C524" t="s">
        <v>76</v>
      </c>
      <c r="D524">
        <v>12.13</v>
      </c>
    </row>
    <row r="525" spans="1:4" x14ac:dyDescent="0.45">
      <c r="A525" t="s">
        <v>34</v>
      </c>
      <c r="B525">
        <v>2010</v>
      </c>
      <c r="C525" t="s">
        <v>76</v>
      </c>
      <c r="D525">
        <v>1653.85</v>
      </c>
    </row>
    <row r="526" spans="1:4" x14ac:dyDescent="0.45">
      <c r="A526" t="s">
        <v>36</v>
      </c>
      <c r="B526">
        <v>2010</v>
      </c>
      <c r="C526" t="s">
        <v>76</v>
      </c>
      <c r="D526">
        <v>498.85</v>
      </c>
    </row>
    <row r="527" spans="1:4" x14ac:dyDescent="0.45">
      <c r="A527" t="s">
        <v>56</v>
      </c>
      <c r="B527">
        <v>2010</v>
      </c>
      <c r="C527" t="s">
        <v>76</v>
      </c>
      <c r="D527">
        <v>6.05</v>
      </c>
    </row>
    <row r="528" spans="1:4" x14ac:dyDescent="0.45">
      <c r="A528" t="s">
        <v>57</v>
      </c>
      <c r="B528">
        <v>2010</v>
      </c>
      <c r="C528" t="s">
        <v>76</v>
      </c>
      <c r="D528">
        <v>4.1100000000000003</v>
      </c>
    </row>
    <row r="529" spans="1:4" x14ac:dyDescent="0.45">
      <c r="A529" t="s">
        <v>38</v>
      </c>
      <c r="B529">
        <v>2010</v>
      </c>
      <c r="C529" t="s">
        <v>76</v>
      </c>
      <c r="D529">
        <v>31.26</v>
      </c>
    </row>
    <row r="530" spans="1:4" x14ac:dyDescent="0.45">
      <c r="A530" t="s">
        <v>32</v>
      </c>
      <c r="B530">
        <v>2010</v>
      </c>
      <c r="C530" t="s">
        <v>76</v>
      </c>
      <c r="D530">
        <v>0.67</v>
      </c>
    </row>
    <row r="531" spans="1:4" x14ac:dyDescent="0.45">
      <c r="A531" t="s">
        <v>58</v>
      </c>
      <c r="B531">
        <v>2010</v>
      </c>
      <c r="C531" t="s">
        <v>76</v>
      </c>
      <c r="D531">
        <v>0.06</v>
      </c>
    </row>
    <row r="532" spans="1:4" x14ac:dyDescent="0.45">
      <c r="A532" t="s">
        <v>91</v>
      </c>
      <c r="B532">
        <v>2010</v>
      </c>
      <c r="C532" t="s">
        <v>76</v>
      </c>
      <c r="D532">
        <v>0.8</v>
      </c>
    </row>
    <row r="533" spans="1:4" x14ac:dyDescent="0.45">
      <c r="A533" t="s">
        <v>32</v>
      </c>
      <c r="B533">
        <v>2011</v>
      </c>
      <c r="C533" t="s">
        <v>76</v>
      </c>
      <c r="D533">
        <v>12.25</v>
      </c>
    </row>
    <row r="534" spans="1:4" x14ac:dyDescent="0.45">
      <c r="A534" t="s">
        <v>34</v>
      </c>
      <c r="B534">
        <v>2011</v>
      </c>
      <c r="C534" t="s">
        <v>76</v>
      </c>
      <c r="D534">
        <v>1551.27</v>
      </c>
    </row>
    <row r="535" spans="1:4" x14ac:dyDescent="0.45">
      <c r="A535" t="s">
        <v>36</v>
      </c>
      <c r="B535">
        <v>2011</v>
      </c>
      <c r="C535" t="s">
        <v>76</v>
      </c>
      <c r="D535">
        <v>511.98</v>
      </c>
    </row>
    <row r="536" spans="1:4" x14ac:dyDescent="0.45">
      <c r="A536" t="s">
        <v>56</v>
      </c>
      <c r="B536">
        <v>2011</v>
      </c>
      <c r="C536" t="s">
        <v>76</v>
      </c>
      <c r="D536">
        <v>7.44</v>
      </c>
    </row>
    <row r="537" spans="1:4" x14ac:dyDescent="0.45">
      <c r="A537" t="s">
        <v>57</v>
      </c>
      <c r="B537">
        <v>2011</v>
      </c>
      <c r="C537" t="s">
        <v>76</v>
      </c>
      <c r="D537">
        <v>4.0199999999999996</v>
      </c>
    </row>
    <row r="538" spans="1:4" x14ac:dyDescent="0.45">
      <c r="A538" t="s">
        <v>38</v>
      </c>
      <c r="B538">
        <v>2011</v>
      </c>
      <c r="C538" t="s">
        <v>76</v>
      </c>
      <c r="D538">
        <v>27.51</v>
      </c>
    </row>
    <row r="539" spans="1:4" x14ac:dyDescent="0.45">
      <c r="A539" t="s">
        <v>32</v>
      </c>
      <c r="B539">
        <v>2011</v>
      </c>
      <c r="C539" t="s">
        <v>76</v>
      </c>
      <c r="D539">
        <v>0.68</v>
      </c>
    </row>
    <row r="540" spans="1:4" x14ac:dyDescent="0.45">
      <c r="A540" t="s">
        <v>58</v>
      </c>
      <c r="B540">
        <v>2011</v>
      </c>
      <c r="C540" t="s">
        <v>76</v>
      </c>
      <c r="D540">
        <v>0.09</v>
      </c>
    </row>
    <row r="541" spans="1:4" x14ac:dyDescent="0.45">
      <c r="A541" t="s">
        <v>91</v>
      </c>
      <c r="B541">
        <v>2011</v>
      </c>
      <c r="C541" t="s">
        <v>76</v>
      </c>
      <c r="D541">
        <v>1.01</v>
      </c>
    </row>
    <row r="542" spans="1:4" x14ac:dyDescent="0.45">
      <c r="A542" t="s">
        <v>32</v>
      </c>
      <c r="B542">
        <v>2012</v>
      </c>
      <c r="C542" t="s">
        <v>76</v>
      </c>
      <c r="D542">
        <v>12.46</v>
      </c>
    </row>
    <row r="543" spans="1:4" x14ac:dyDescent="0.45">
      <c r="A543" t="s">
        <v>34</v>
      </c>
      <c r="B543">
        <v>2012</v>
      </c>
      <c r="C543" t="s">
        <v>76</v>
      </c>
      <c r="D543">
        <v>1354.25</v>
      </c>
    </row>
    <row r="544" spans="1:4" x14ac:dyDescent="0.45">
      <c r="A544" t="s">
        <v>36</v>
      </c>
      <c r="B544">
        <v>2012</v>
      </c>
      <c r="C544" t="s">
        <v>76</v>
      </c>
      <c r="D544">
        <v>619.15</v>
      </c>
    </row>
    <row r="545" spans="1:4" x14ac:dyDescent="0.45">
      <c r="A545" t="s">
        <v>56</v>
      </c>
      <c r="B545">
        <v>2012</v>
      </c>
      <c r="C545" t="s">
        <v>76</v>
      </c>
      <c r="D545">
        <v>6.45</v>
      </c>
    </row>
    <row r="546" spans="1:4" x14ac:dyDescent="0.45">
      <c r="A546" t="s">
        <v>57</v>
      </c>
      <c r="B546">
        <v>2012</v>
      </c>
      <c r="C546" t="s">
        <v>76</v>
      </c>
      <c r="D546">
        <v>3.92</v>
      </c>
    </row>
    <row r="547" spans="1:4" x14ac:dyDescent="0.45">
      <c r="A547" t="s">
        <v>38</v>
      </c>
      <c r="B547">
        <v>2012</v>
      </c>
      <c r="C547" t="s">
        <v>76</v>
      </c>
      <c r="D547">
        <v>25.72</v>
      </c>
    </row>
    <row r="548" spans="1:4" x14ac:dyDescent="0.45">
      <c r="A548" t="s">
        <v>32</v>
      </c>
      <c r="B548">
        <v>2012</v>
      </c>
      <c r="C548" t="s">
        <v>76</v>
      </c>
      <c r="D548">
        <v>0.69</v>
      </c>
    </row>
    <row r="549" spans="1:4" x14ac:dyDescent="0.45">
      <c r="A549" t="s">
        <v>58</v>
      </c>
      <c r="B549">
        <v>2012</v>
      </c>
      <c r="C549" t="s">
        <v>76</v>
      </c>
      <c r="D549">
        <v>0.21</v>
      </c>
    </row>
    <row r="550" spans="1:4" x14ac:dyDescent="0.45">
      <c r="A550" t="s">
        <v>91</v>
      </c>
      <c r="B550">
        <v>2012</v>
      </c>
      <c r="C550" t="s">
        <v>76</v>
      </c>
      <c r="D550">
        <v>1.19</v>
      </c>
    </row>
    <row r="551" spans="1:4" x14ac:dyDescent="0.45">
      <c r="A551" t="s">
        <v>32</v>
      </c>
      <c r="B551">
        <v>2013</v>
      </c>
      <c r="C551" t="s">
        <v>76</v>
      </c>
      <c r="D551">
        <v>13.16</v>
      </c>
    </row>
    <row r="552" spans="1:4" x14ac:dyDescent="0.45">
      <c r="A552" t="s">
        <v>34</v>
      </c>
      <c r="B552">
        <v>2013</v>
      </c>
      <c r="C552" t="s">
        <v>76</v>
      </c>
      <c r="D552">
        <v>1413.46</v>
      </c>
    </row>
    <row r="553" spans="1:4" x14ac:dyDescent="0.45">
      <c r="A553" t="s">
        <v>36</v>
      </c>
      <c r="B553">
        <v>2013</v>
      </c>
      <c r="C553" t="s">
        <v>76</v>
      </c>
      <c r="D553">
        <v>568.12</v>
      </c>
    </row>
    <row r="554" spans="1:4" x14ac:dyDescent="0.45">
      <c r="A554" t="s">
        <v>56</v>
      </c>
      <c r="B554">
        <v>2013</v>
      </c>
      <c r="C554" t="s">
        <v>76</v>
      </c>
      <c r="D554">
        <v>6.27</v>
      </c>
    </row>
    <row r="555" spans="1:4" x14ac:dyDescent="0.45">
      <c r="A555" t="s">
        <v>57</v>
      </c>
      <c r="B555">
        <v>2013</v>
      </c>
      <c r="C555" t="s">
        <v>76</v>
      </c>
      <c r="D555">
        <v>4.0199999999999996</v>
      </c>
    </row>
    <row r="556" spans="1:4" x14ac:dyDescent="0.45">
      <c r="A556" t="s">
        <v>38</v>
      </c>
      <c r="B556">
        <v>2013</v>
      </c>
      <c r="C556" t="s">
        <v>76</v>
      </c>
      <c r="D556">
        <v>26.49</v>
      </c>
    </row>
    <row r="557" spans="1:4" x14ac:dyDescent="0.45">
      <c r="A557" t="s">
        <v>32</v>
      </c>
      <c r="B557">
        <v>2013</v>
      </c>
      <c r="C557" t="s">
        <v>76</v>
      </c>
      <c r="D557">
        <v>0.71</v>
      </c>
    </row>
    <row r="558" spans="1:4" x14ac:dyDescent="0.45">
      <c r="A558" t="s">
        <v>58</v>
      </c>
      <c r="B558">
        <v>2013</v>
      </c>
      <c r="C558" t="s">
        <v>76</v>
      </c>
      <c r="D558">
        <v>0.43</v>
      </c>
    </row>
    <row r="559" spans="1:4" x14ac:dyDescent="0.45">
      <c r="A559" t="s">
        <v>91</v>
      </c>
      <c r="B559">
        <v>2013</v>
      </c>
      <c r="C559" t="s">
        <v>76</v>
      </c>
      <c r="D559">
        <v>1.41</v>
      </c>
    </row>
    <row r="560" spans="1:4" x14ac:dyDescent="0.45">
      <c r="A560" t="s">
        <v>32</v>
      </c>
      <c r="B560">
        <v>2014</v>
      </c>
      <c r="C560" t="s">
        <v>76</v>
      </c>
      <c r="D560">
        <v>13.83</v>
      </c>
    </row>
    <row r="561" spans="1:4" x14ac:dyDescent="0.45">
      <c r="A561" t="s">
        <v>34</v>
      </c>
      <c r="B561">
        <v>2014</v>
      </c>
      <c r="C561" t="s">
        <v>76</v>
      </c>
      <c r="D561">
        <v>1413.53</v>
      </c>
    </row>
    <row r="562" spans="1:4" x14ac:dyDescent="0.45">
      <c r="A562" t="s">
        <v>36</v>
      </c>
      <c r="B562">
        <v>2014</v>
      </c>
      <c r="C562" t="s">
        <v>76</v>
      </c>
      <c r="D562">
        <v>569.01</v>
      </c>
    </row>
    <row r="563" spans="1:4" x14ac:dyDescent="0.45">
      <c r="A563" t="s">
        <v>56</v>
      </c>
      <c r="B563">
        <v>2014</v>
      </c>
      <c r="C563" t="s">
        <v>76</v>
      </c>
      <c r="D563">
        <v>6.02</v>
      </c>
    </row>
    <row r="564" spans="1:4" x14ac:dyDescent="0.45">
      <c r="A564" t="s">
        <v>57</v>
      </c>
      <c r="B564">
        <v>2014</v>
      </c>
      <c r="C564" t="s">
        <v>76</v>
      </c>
      <c r="D564">
        <v>4.0599999999999996</v>
      </c>
    </row>
    <row r="565" spans="1:4" x14ac:dyDescent="0.45">
      <c r="A565" t="s">
        <v>38</v>
      </c>
      <c r="B565">
        <v>2014</v>
      </c>
      <c r="C565" t="s">
        <v>76</v>
      </c>
      <c r="D565">
        <v>28.75</v>
      </c>
    </row>
    <row r="566" spans="1:4" x14ac:dyDescent="0.45">
      <c r="A566" t="s">
        <v>32</v>
      </c>
      <c r="B566">
        <v>2014</v>
      </c>
      <c r="C566" t="s">
        <v>76</v>
      </c>
      <c r="D566">
        <v>0.72</v>
      </c>
    </row>
    <row r="567" spans="1:4" x14ac:dyDescent="0.45">
      <c r="A567" t="s">
        <v>58</v>
      </c>
      <c r="B567">
        <v>2014</v>
      </c>
      <c r="C567" t="s">
        <v>76</v>
      </c>
      <c r="D567">
        <v>1.37</v>
      </c>
    </row>
    <row r="568" spans="1:4" x14ac:dyDescent="0.45">
      <c r="A568" t="s">
        <v>91</v>
      </c>
      <c r="B568">
        <v>2014</v>
      </c>
      <c r="C568" t="s">
        <v>76</v>
      </c>
      <c r="D568">
        <v>1.53</v>
      </c>
    </row>
    <row r="569" spans="1:4" x14ac:dyDescent="0.45">
      <c r="A569" t="s">
        <v>32</v>
      </c>
      <c r="B569">
        <v>2015</v>
      </c>
      <c r="C569" t="s">
        <v>76</v>
      </c>
      <c r="D569">
        <v>13.76</v>
      </c>
    </row>
    <row r="570" spans="1:4" x14ac:dyDescent="0.45">
      <c r="A570" t="s">
        <v>34</v>
      </c>
      <c r="B570">
        <v>2015</v>
      </c>
      <c r="C570" t="s">
        <v>76</v>
      </c>
      <c r="D570">
        <v>1208.29</v>
      </c>
    </row>
    <row r="571" spans="1:4" x14ac:dyDescent="0.45">
      <c r="A571" t="s">
        <v>36</v>
      </c>
      <c r="B571">
        <v>2015</v>
      </c>
      <c r="C571" t="s">
        <v>76</v>
      </c>
      <c r="D571">
        <v>673.49</v>
      </c>
    </row>
    <row r="572" spans="1:4" x14ac:dyDescent="0.45">
      <c r="A572" t="s">
        <v>56</v>
      </c>
      <c r="B572">
        <v>2015</v>
      </c>
      <c r="C572" t="s">
        <v>76</v>
      </c>
      <c r="D572">
        <v>5.8</v>
      </c>
    </row>
    <row r="573" spans="1:4" x14ac:dyDescent="0.45">
      <c r="A573" t="s">
        <v>57</v>
      </c>
      <c r="B573">
        <v>2015</v>
      </c>
      <c r="C573" t="s">
        <v>76</v>
      </c>
      <c r="D573">
        <v>4.0599999999999996</v>
      </c>
    </row>
    <row r="574" spans="1:4" x14ac:dyDescent="0.45">
      <c r="A574" t="s">
        <v>38</v>
      </c>
      <c r="B574">
        <v>2015</v>
      </c>
      <c r="C574" t="s">
        <v>76</v>
      </c>
      <c r="D574">
        <v>29.24</v>
      </c>
    </row>
    <row r="575" spans="1:4" x14ac:dyDescent="0.45">
      <c r="A575" t="s">
        <v>32</v>
      </c>
      <c r="B575">
        <v>2015</v>
      </c>
      <c r="C575" t="s">
        <v>76</v>
      </c>
      <c r="D575">
        <v>0.72</v>
      </c>
    </row>
    <row r="576" spans="1:4" x14ac:dyDescent="0.45">
      <c r="A576" t="s">
        <v>58</v>
      </c>
      <c r="B576">
        <v>2015</v>
      </c>
      <c r="C576" t="s">
        <v>76</v>
      </c>
      <c r="D576">
        <v>1.85</v>
      </c>
    </row>
    <row r="577" spans="1:4" x14ac:dyDescent="0.45">
      <c r="A577" t="s">
        <v>91</v>
      </c>
      <c r="B577">
        <v>2015</v>
      </c>
      <c r="C577" t="s">
        <v>76</v>
      </c>
      <c r="D577">
        <v>1.61</v>
      </c>
    </row>
    <row r="578" spans="1:4" x14ac:dyDescent="0.45">
      <c r="A578" t="s">
        <v>32</v>
      </c>
      <c r="B578">
        <v>2016</v>
      </c>
      <c r="C578" t="s">
        <v>76</v>
      </c>
      <c r="D578">
        <v>13.57</v>
      </c>
    </row>
    <row r="579" spans="1:4" x14ac:dyDescent="0.45">
      <c r="A579" t="s">
        <v>34</v>
      </c>
      <c r="B579">
        <v>2016</v>
      </c>
      <c r="C579" t="s">
        <v>76</v>
      </c>
      <c r="D579">
        <v>1106.54</v>
      </c>
    </row>
    <row r="580" spans="1:4" x14ac:dyDescent="0.45">
      <c r="A580" t="s">
        <v>36</v>
      </c>
      <c r="B580">
        <v>2016</v>
      </c>
      <c r="C580" t="s">
        <v>76</v>
      </c>
      <c r="D580">
        <v>696.14</v>
      </c>
    </row>
    <row r="581" spans="1:4" x14ac:dyDescent="0.45">
      <c r="A581" t="s">
        <v>56</v>
      </c>
      <c r="B581">
        <v>2016</v>
      </c>
      <c r="C581" t="s">
        <v>76</v>
      </c>
      <c r="D581">
        <v>6.2</v>
      </c>
    </row>
    <row r="582" spans="1:4" x14ac:dyDescent="0.45">
      <c r="A582" t="s">
        <v>57</v>
      </c>
      <c r="B582">
        <v>2016</v>
      </c>
      <c r="C582" t="s">
        <v>76</v>
      </c>
      <c r="D582">
        <v>4.0999999999999996</v>
      </c>
    </row>
    <row r="583" spans="1:4" x14ac:dyDescent="0.45">
      <c r="A583" t="s">
        <v>38</v>
      </c>
      <c r="B583">
        <v>2016</v>
      </c>
      <c r="C583" t="s">
        <v>76</v>
      </c>
      <c r="D583">
        <v>25.99</v>
      </c>
    </row>
    <row r="584" spans="1:4" x14ac:dyDescent="0.45">
      <c r="A584" t="s">
        <v>32</v>
      </c>
      <c r="B584">
        <v>2016</v>
      </c>
      <c r="C584" t="s">
        <v>76</v>
      </c>
      <c r="D584">
        <v>0.72</v>
      </c>
    </row>
    <row r="585" spans="1:4" x14ac:dyDescent="0.45">
      <c r="A585" t="s">
        <v>58</v>
      </c>
      <c r="B585">
        <v>2016</v>
      </c>
      <c r="C585" t="s">
        <v>76</v>
      </c>
      <c r="D585">
        <v>2.61</v>
      </c>
    </row>
    <row r="586" spans="1:4" x14ac:dyDescent="0.45">
      <c r="A586" t="s">
        <v>91</v>
      </c>
      <c r="B586">
        <v>2016</v>
      </c>
      <c r="C586" t="s">
        <v>76</v>
      </c>
      <c r="D586">
        <v>1.91</v>
      </c>
    </row>
    <row r="587" spans="1:4" x14ac:dyDescent="0.45">
      <c r="A587" t="s">
        <v>32</v>
      </c>
      <c r="B587">
        <v>2017</v>
      </c>
      <c r="C587" t="s">
        <v>76</v>
      </c>
      <c r="D587">
        <v>13.56</v>
      </c>
    </row>
    <row r="588" spans="1:4" x14ac:dyDescent="0.45">
      <c r="A588" t="s">
        <v>34</v>
      </c>
      <c r="B588">
        <v>2017</v>
      </c>
      <c r="C588" t="s">
        <v>76</v>
      </c>
      <c r="D588">
        <v>1076.3800000000001</v>
      </c>
    </row>
    <row r="589" spans="1:4" x14ac:dyDescent="0.45">
      <c r="A589" t="s">
        <v>36</v>
      </c>
      <c r="B589">
        <v>2017</v>
      </c>
      <c r="C589" t="s">
        <v>76</v>
      </c>
      <c r="D589">
        <v>654.79</v>
      </c>
    </row>
    <row r="590" spans="1:4" x14ac:dyDescent="0.45">
      <c r="A590" t="s">
        <v>56</v>
      </c>
      <c r="B590">
        <v>2017</v>
      </c>
      <c r="C590" t="s">
        <v>76</v>
      </c>
      <c r="D590">
        <v>6.98</v>
      </c>
    </row>
    <row r="591" spans="1:4" x14ac:dyDescent="0.45">
      <c r="A591" t="s">
        <v>57</v>
      </c>
      <c r="B591">
        <v>2017</v>
      </c>
      <c r="C591" t="s">
        <v>76</v>
      </c>
      <c r="D591">
        <v>4.0999999999999996</v>
      </c>
    </row>
    <row r="592" spans="1:4" x14ac:dyDescent="0.45">
      <c r="A592" t="s">
        <v>38</v>
      </c>
      <c r="B592">
        <v>2017</v>
      </c>
      <c r="C592" t="s">
        <v>76</v>
      </c>
      <c r="D592">
        <v>24.93</v>
      </c>
    </row>
    <row r="593" spans="1:4" x14ac:dyDescent="0.45">
      <c r="A593" t="s">
        <v>32</v>
      </c>
      <c r="B593">
        <v>2017</v>
      </c>
      <c r="C593" t="s">
        <v>76</v>
      </c>
      <c r="D593">
        <v>0.72</v>
      </c>
    </row>
    <row r="594" spans="1:4" x14ac:dyDescent="0.45">
      <c r="A594" t="s">
        <v>58</v>
      </c>
      <c r="B594">
        <v>2017</v>
      </c>
      <c r="C594" t="s">
        <v>76</v>
      </c>
      <c r="D594">
        <v>3.67</v>
      </c>
    </row>
    <row r="595" spans="1:4" x14ac:dyDescent="0.45">
      <c r="A595" t="s">
        <v>91</v>
      </c>
      <c r="B595">
        <v>2017</v>
      </c>
      <c r="C595" t="s">
        <v>76</v>
      </c>
      <c r="D595">
        <v>2.14</v>
      </c>
    </row>
    <row r="596" spans="1:4" x14ac:dyDescent="0.45">
      <c r="A596" t="s">
        <v>32</v>
      </c>
      <c r="B596">
        <v>2018</v>
      </c>
      <c r="C596" t="s">
        <v>76</v>
      </c>
      <c r="D596">
        <v>13.37</v>
      </c>
    </row>
    <row r="597" spans="1:4" x14ac:dyDescent="0.45">
      <c r="A597" t="s">
        <v>34</v>
      </c>
      <c r="B597">
        <v>2018</v>
      </c>
      <c r="C597" t="s">
        <v>76</v>
      </c>
      <c r="D597">
        <v>1025.8800000000001</v>
      </c>
    </row>
    <row r="598" spans="1:4" x14ac:dyDescent="0.45">
      <c r="A598" t="s">
        <v>36</v>
      </c>
      <c r="B598">
        <v>2018</v>
      </c>
      <c r="C598" t="s">
        <v>76</v>
      </c>
      <c r="D598">
        <v>742.01</v>
      </c>
    </row>
    <row r="599" spans="1:4" x14ac:dyDescent="0.45">
      <c r="A599" t="s">
        <v>56</v>
      </c>
      <c r="B599">
        <v>2018</v>
      </c>
      <c r="C599" t="s">
        <v>76</v>
      </c>
      <c r="D599">
        <v>6.81</v>
      </c>
    </row>
    <row r="600" spans="1:4" x14ac:dyDescent="0.45">
      <c r="A600" t="s">
        <v>57</v>
      </c>
      <c r="B600">
        <v>2018</v>
      </c>
      <c r="C600" t="s">
        <v>76</v>
      </c>
      <c r="D600">
        <v>4.1100000000000003</v>
      </c>
    </row>
    <row r="601" spans="1:4" x14ac:dyDescent="0.45">
      <c r="A601" t="s">
        <v>38</v>
      </c>
      <c r="B601">
        <v>2018</v>
      </c>
      <c r="C601" t="s">
        <v>76</v>
      </c>
      <c r="D601">
        <v>28.08</v>
      </c>
    </row>
    <row r="602" spans="1:4" x14ac:dyDescent="0.45">
      <c r="A602" t="s">
        <v>32</v>
      </c>
      <c r="B602">
        <v>2018</v>
      </c>
      <c r="C602" t="s">
        <v>76</v>
      </c>
      <c r="D602">
        <v>0.7</v>
      </c>
    </row>
    <row r="603" spans="1:4" x14ac:dyDescent="0.45">
      <c r="A603" t="s">
        <v>58</v>
      </c>
      <c r="B603">
        <v>2018</v>
      </c>
      <c r="C603" t="s">
        <v>76</v>
      </c>
      <c r="D603">
        <v>4.4400000000000004</v>
      </c>
    </row>
    <row r="604" spans="1:4" x14ac:dyDescent="0.45">
      <c r="A604" t="s">
        <v>91</v>
      </c>
      <c r="B604">
        <v>2018</v>
      </c>
      <c r="C604" t="s">
        <v>76</v>
      </c>
      <c r="D604">
        <v>2.2999999999999998</v>
      </c>
    </row>
    <row r="605" spans="1:4" x14ac:dyDescent="0.45">
      <c r="A605" t="s">
        <v>32</v>
      </c>
      <c r="B605">
        <v>2019</v>
      </c>
      <c r="C605" t="s">
        <v>76</v>
      </c>
      <c r="D605">
        <v>12.43</v>
      </c>
    </row>
    <row r="606" spans="1:4" x14ac:dyDescent="0.45">
      <c r="A606" t="s">
        <v>34</v>
      </c>
      <c r="B606">
        <v>2019</v>
      </c>
      <c r="C606" t="s">
        <v>76</v>
      </c>
      <c r="D606">
        <v>861.26</v>
      </c>
    </row>
    <row r="607" spans="1:4" x14ac:dyDescent="0.45">
      <c r="A607" t="s">
        <v>36</v>
      </c>
      <c r="B607">
        <v>2019</v>
      </c>
      <c r="C607" t="s">
        <v>76</v>
      </c>
      <c r="D607">
        <v>800.94</v>
      </c>
    </row>
    <row r="608" spans="1:4" x14ac:dyDescent="0.45">
      <c r="A608" t="s">
        <v>56</v>
      </c>
      <c r="B608">
        <v>2019</v>
      </c>
      <c r="C608" t="s">
        <v>76</v>
      </c>
      <c r="D608">
        <v>6.71</v>
      </c>
    </row>
    <row r="609" spans="1:4" x14ac:dyDescent="0.45">
      <c r="A609" t="s">
        <v>57</v>
      </c>
      <c r="B609">
        <v>2019</v>
      </c>
      <c r="C609" t="s">
        <v>76</v>
      </c>
      <c r="D609">
        <v>4.12</v>
      </c>
    </row>
    <row r="610" spans="1:4" x14ac:dyDescent="0.45">
      <c r="A610" t="s">
        <v>38</v>
      </c>
      <c r="B610">
        <v>2019</v>
      </c>
      <c r="C610" t="s">
        <v>76</v>
      </c>
      <c r="D610">
        <v>24.64</v>
      </c>
    </row>
    <row r="611" spans="1:4" x14ac:dyDescent="0.45">
      <c r="A611" t="s">
        <v>32</v>
      </c>
      <c r="B611">
        <v>2019</v>
      </c>
      <c r="C611" t="s">
        <v>76</v>
      </c>
      <c r="D611">
        <v>0.67</v>
      </c>
    </row>
    <row r="612" spans="1:4" x14ac:dyDescent="0.45">
      <c r="A612" t="s">
        <v>58</v>
      </c>
      <c r="B612">
        <v>2019</v>
      </c>
      <c r="C612" t="s">
        <v>76</v>
      </c>
      <c r="D612">
        <v>5.08</v>
      </c>
    </row>
    <row r="613" spans="1:4" x14ac:dyDescent="0.45">
      <c r="A613" t="s">
        <v>91</v>
      </c>
      <c r="B613">
        <v>2019</v>
      </c>
      <c r="C613" t="s">
        <v>76</v>
      </c>
      <c r="D613">
        <v>2.4900000000000002</v>
      </c>
    </row>
    <row r="614" spans="1:4" x14ac:dyDescent="0.45">
      <c r="A614" t="s">
        <v>32</v>
      </c>
      <c r="B614">
        <v>2020</v>
      </c>
      <c r="C614" t="s">
        <v>76</v>
      </c>
      <c r="D614">
        <v>11.83</v>
      </c>
    </row>
    <row r="615" spans="1:4" x14ac:dyDescent="0.45">
      <c r="A615" t="s">
        <v>34</v>
      </c>
      <c r="B615">
        <v>2020</v>
      </c>
      <c r="C615" t="s">
        <v>76</v>
      </c>
      <c r="D615">
        <v>690.37</v>
      </c>
    </row>
    <row r="616" spans="1:4" x14ac:dyDescent="0.45">
      <c r="A616" t="s">
        <v>36</v>
      </c>
      <c r="B616">
        <v>2020</v>
      </c>
      <c r="C616" t="s">
        <v>76</v>
      </c>
      <c r="D616">
        <v>820.31</v>
      </c>
    </row>
    <row r="617" spans="1:4" x14ac:dyDescent="0.45">
      <c r="A617" t="s">
        <v>56</v>
      </c>
      <c r="B617">
        <v>2020</v>
      </c>
      <c r="C617" t="s">
        <v>76</v>
      </c>
      <c r="D617">
        <v>6.65</v>
      </c>
    </row>
    <row r="618" spans="1:4" x14ac:dyDescent="0.45">
      <c r="A618" t="s">
        <v>57</v>
      </c>
      <c r="B618">
        <v>2020</v>
      </c>
      <c r="C618" t="s">
        <v>76</v>
      </c>
      <c r="D618">
        <v>4.0199999999999996</v>
      </c>
    </row>
    <row r="619" spans="1:4" x14ac:dyDescent="0.45">
      <c r="A619" t="s">
        <v>38</v>
      </c>
      <c r="B619">
        <v>2020</v>
      </c>
      <c r="C619" t="s">
        <v>76</v>
      </c>
      <c r="D619">
        <v>22.6</v>
      </c>
    </row>
    <row r="620" spans="1:4" x14ac:dyDescent="0.45">
      <c r="A620" t="s">
        <v>32</v>
      </c>
      <c r="B620">
        <v>2020</v>
      </c>
      <c r="C620" t="s">
        <v>76</v>
      </c>
      <c r="D620">
        <v>0.68</v>
      </c>
    </row>
    <row r="621" spans="1:4" x14ac:dyDescent="0.45">
      <c r="A621" t="s">
        <v>58</v>
      </c>
      <c r="B621">
        <v>2020</v>
      </c>
      <c r="C621" t="s">
        <v>76</v>
      </c>
      <c r="D621">
        <v>6.21</v>
      </c>
    </row>
    <row r="622" spans="1:4" x14ac:dyDescent="0.45">
      <c r="A622" t="s">
        <v>91</v>
      </c>
      <c r="B622">
        <v>2020</v>
      </c>
      <c r="C622" t="s">
        <v>76</v>
      </c>
      <c r="D622">
        <v>2.85</v>
      </c>
    </row>
    <row r="623" spans="1:4" x14ac:dyDescent="0.45">
      <c r="A623" t="s">
        <v>32</v>
      </c>
      <c r="B623">
        <v>2021</v>
      </c>
      <c r="C623" t="s">
        <v>76</v>
      </c>
      <c r="D623">
        <v>11.73</v>
      </c>
    </row>
    <row r="624" spans="1:4" x14ac:dyDescent="0.45">
      <c r="A624" t="s">
        <v>34</v>
      </c>
      <c r="B624">
        <v>2021</v>
      </c>
      <c r="C624" t="s">
        <v>76</v>
      </c>
      <c r="D624">
        <v>801.35</v>
      </c>
    </row>
    <row r="625" spans="1:4" x14ac:dyDescent="0.45">
      <c r="A625" t="s">
        <v>36</v>
      </c>
      <c r="B625">
        <v>2021</v>
      </c>
      <c r="C625" t="s">
        <v>76</v>
      </c>
      <c r="D625">
        <v>797.59</v>
      </c>
    </row>
    <row r="626" spans="1:4" x14ac:dyDescent="0.45">
      <c r="A626" t="s">
        <v>56</v>
      </c>
      <c r="B626">
        <v>2021</v>
      </c>
      <c r="C626" t="s">
        <v>76</v>
      </c>
      <c r="D626">
        <v>5.86</v>
      </c>
    </row>
    <row r="627" spans="1:4" x14ac:dyDescent="0.45">
      <c r="A627" t="s">
        <v>57</v>
      </c>
      <c r="B627">
        <v>2021</v>
      </c>
      <c r="C627" t="s">
        <v>76</v>
      </c>
      <c r="D627">
        <v>3.97</v>
      </c>
    </row>
    <row r="628" spans="1:4" x14ac:dyDescent="0.45">
      <c r="A628" t="s">
        <v>38</v>
      </c>
      <c r="B628">
        <v>2021</v>
      </c>
      <c r="C628" t="s">
        <v>76</v>
      </c>
      <c r="D628">
        <v>23.16</v>
      </c>
    </row>
    <row r="629" spans="1:4" x14ac:dyDescent="0.45">
      <c r="A629" t="s">
        <v>32</v>
      </c>
      <c r="B629">
        <v>2021</v>
      </c>
      <c r="C629" t="s">
        <v>76</v>
      </c>
      <c r="D629">
        <v>0.69</v>
      </c>
    </row>
    <row r="630" spans="1:4" x14ac:dyDescent="0.45">
      <c r="A630" t="s">
        <v>58</v>
      </c>
      <c r="B630">
        <v>2021</v>
      </c>
      <c r="C630" t="s">
        <v>76</v>
      </c>
      <c r="D630">
        <v>7.81</v>
      </c>
    </row>
    <row r="631" spans="1:4" x14ac:dyDescent="0.45">
      <c r="A631" t="s">
        <v>91</v>
      </c>
      <c r="B631">
        <v>2021</v>
      </c>
      <c r="C631" t="s">
        <v>76</v>
      </c>
      <c r="D631">
        <v>3.19</v>
      </c>
    </row>
    <row r="632" spans="1:4" x14ac:dyDescent="0.45">
      <c r="A632" t="s">
        <v>32</v>
      </c>
      <c r="B632">
        <v>2022</v>
      </c>
      <c r="C632" t="s">
        <v>76</v>
      </c>
      <c r="D632">
        <v>11.21</v>
      </c>
    </row>
    <row r="633" spans="1:4" x14ac:dyDescent="0.45">
      <c r="A633" t="s">
        <v>34</v>
      </c>
      <c r="B633">
        <v>2022</v>
      </c>
      <c r="C633" t="s">
        <v>76</v>
      </c>
      <c r="D633">
        <v>742.01</v>
      </c>
    </row>
    <row r="634" spans="1:4" x14ac:dyDescent="0.45">
      <c r="A634" t="s">
        <v>36</v>
      </c>
      <c r="B634">
        <v>2022</v>
      </c>
      <c r="C634" t="s">
        <v>76</v>
      </c>
      <c r="D634">
        <v>852.07</v>
      </c>
    </row>
    <row r="635" spans="1:4" x14ac:dyDescent="0.45">
      <c r="A635" t="s">
        <v>56</v>
      </c>
      <c r="B635">
        <v>2022</v>
      </c>
      <c r="C635" t="s">
        <v>76</v>
      </c>
      <c r="D635">
        <v>5.91</v>
      </c>
    </row>
    <row r="636" spans="1:4" x14ac:dyDescent="0.45">
      <c r="A636" t="s">
        <v>57</v>
      </c>
      <c r="B636">
        <v>2022</v>
      </c>
      <c r="C636" t="s">
        <v>76</v>
      </c>
      <c r="D636">
        <v>3.93</v>
      </c>
    </row>
    <row r="637" spans="1:4" x14ac:dyDescent="0.45">
      <c r="A637" t="s">
        <v>38</v>
      </c>
      <c r="B637">
        <v>2022</v>
      </c>
      <c r="C637" t="s">
        <v>76</v>
      </c>
      <c r="D637">
        <v>25.43</v>
      </c>
    </row>
    <row r="638" spans="1:4" x14ac:dyDescent="0.45">
      <c r="A638" t="s">
        <v>32</v>
      </c>
      <c r="B638">
        <v>2022</v>
      </c>
      <c r="C638" t="s">
        <v>76</v>
      </c>
      <c r="D638">
        <v>0.68</v>
      </c>
    </row>
    <row r="639" spans="1:4" x14ac:dyDescent="0.45">
      <c r="A639" t="s">
        <v>58</v>
      </c>
      <c r="B639">
        <v>2022</v>
      </c>
      <c r="C639" t="s">
        <v>76</v>
      </c>
      <c r="D639">
        <v>9.74</v>
      </c>
    </row>
    <row r="640" spans="1:4" x14ac:dyDescent="0.45">
      <c r="A640" t="s">
        <v>91</v>
      </c>
      <c r="B640">
        <v>2022</v>
      </c>
      <c r="C640" t="s">
        <v>76</v>
      </c>
      <c r="D640">
        <v>3.66</v>
      </c>
    </row>
    <row r="641" spans="1:4" x14ac:dyDescent="0.45">
      <c r="A641" t="s">
        <v>32</v>
      </c>
      <c r="B641">
        <v>2023</v>
      </c>
      <c r="C641" t="s">
        <v>76</v>
      </c>
      <c r="D641">
        <v>10.199999999999999</v>
      </c>
    </row>
    <row r="642" spans="1:4" x14ac:dyDescent="0.45">
      <c r="A642" t="s">
        <v>34</v>
      </c>
      <c r="B642">
        <v>2023</v>
      </c>
      <c r="C642" t="s">
        <v>76</v>
      </c>
      <c r="D642">
        <v>602.54</v>
      </c>
    </row>
    <row r="643" spans="1:4" x14ac:dyDescent="0.45">
      <c r="A643" t="s">
        <v>36</v>
      </c>
      <c r="B643">
        <v>2023</v>
      </c>
      <c r="C643" t="s">
        <v>76</v>
      </c>
      <c r="D643">
        <v>912.18</v>
      </c>
    </row>
    <row r="644" spans="1:4" x14ac:dyDescent="0.45">
      <c r="A644" t="s">
        <v>56</v>
      </c>
      <c r="B644">
        <v>2023</v>
      </c>
      <c r="C644" t="s">
        <v>76</v>
      </c>
      <c r="D644">
        <v>5.68</v>
      </c>
    </row>
    <row r="645" spans="1:4" x14ac:dyDescent="0.45">
      <c r="A645" t="s">
        <v>57</v>
      </c>
      <c r="B645">
        <v>2023</v>
      </c>
      <c r="C645" t="s">
        <v>76</v>
      </c>
      <c r="D645">
        <v>3.94</v>
      </c>
    </row>
    <row r="646" spans="1:4" x14ac:dyDescent="0.45">
      <c r="A646" t="s">
        <v>38</v>
      </c>
      <c r="B646">
        <v>2023</v>
      </c>
      <c r="C646" t="s">
        <v>76</v>
      </c>
      <c r="D646">
        <v>21.8</v>
      </c>
    </row>
    <row r="647" spans="1:4" x14ac:dyDescent="0.45">
      <c r="A647" t="s">
        <v>32</v>
      </c>
      <c r="B647">
        <v>2023</v>
      </c>
      <c r="C647" t="s">
        <v>76</v>
      </c>
      <c r="D647">
        <v>0.69</v>
      </c>
    </row>
    <row r="648" spans="1:4" x14ac:dyDescent="0.45">
      <c r="A648" t="s">
        <v>58</v>
      </c>
      <c r="B648">
        <v>2023</v>
      </c>
      <c r="C648" t="s">
        <v>76</v>
      </c>
      <c r="D648">
        <v>11.35</v>
      </c>
    </row>
    <row r="649" spans="1:4" x14ac:dyDescent="0.45">
      <c r="A649" t="s">
        <v>91</v>
      </c>
      <c r="B649">
        <v>2023</v>
      </c>
      <c r="C649" t="s">
        <v>76</v>
      </c>
      <c r="D649">
        <v>3.55</v>
      </c>
    </row>
    <row r="650" spans="1:4" x14ac:dyDescent="0.45">
      <c r="A650" t="s">
        <v>59</v>
      </c>
      <c r="B650">
        <v>2000</v>
      </c>
      <c r="C650" t="s">
        <v>74</v>
      </c>
      <c r="D650">
        <v>14.7</v>
      </c>
    </row>
    <row r="651" spans="1:4" x14ac:dyDescent="0.45">
      <c r="A651" t="s">
        <v>60</v>
      </c>
      <c r="B651">
        <v>2000</v>
      </c>
      <c r="C651" t="s">
        <v>74</v>
      </c>
      <c r="D651">
        <v>48.6</v>
      </c>
    </row>
    <row r="652" spans="1:4" x14ac:dyDescent="0.45">
      <c r="A652" t="s">
        <v>59</v>
      </c>
      <c r="B652">
        <v>2001</v>
      </c>
      <c r="C652" t="s">
        <v>74</v>
      </c>
      <c r="D652">
        <v>16.5</v>
      </c>
    </row>
    <row r="653" spans="1:4" x14ac:dyDescent="0.45">
      <c r="A653" t="s">
        <v>60</v>
      </c>
      <c r="B653">
        <v>2001</v>
      </c>
      <c r="C653" t="s">
        <v>74</v>
      </c>
      <c r="D653">
        <v>38.5</v>
      </c>
    </row>
    <row r="654" spans="1:4" x14ac:dyDescent="0.45">
      <c r="A654" t="s">
        <v>59</v>
      </c>
      <c r="B654">
        <v>2002</v>
      </c>
      <c r="C654" t="s">
        <v>74</v>
      </c>
      <c r="D654">
        <v>13.6</v>
      </c>
    </row>
    <row r="655" spans="1:4" x14ac:dyDescent="0.45">
      <c r="A655" t="s">
        <v>60</v>
      </c>
      <c r="B655">
        <v>2002</v>
      </c>
      <c r="C655" t="s">
        <v>74</v>
      </c>
      <c r="D655">
        <v>36.4</v>
      </c>
    </row>
    <row r="656" spans="1:4" x14ac:dyDescent="0.45">
      <c r="A656" t="s">
        <v>59</v>
      </c>
      <c r="B656">
        <v>2003</v>
      </c>
      <c r="C656" t="s">
        <v>74</v>
      </c>
      <c r="D656">
        <v>24</v>
      </c>
    </row>
    <row r="657" spans="1:4" x14ac:dyDescent="0.45">
      <c r="A657" t="s">
        <v>60</v>
      </c>
      <c r="B657">
        <v>2003</v>
      </c>
      <c r="C657" t="s">
        <v>74</v>
      </c>
      <c r="D657">
        <v>30.4</v>
      </c>
    </row>
    <row r="658" spans="1:4" x14ac:dyDescent="0.45">
      <c r="A658" t="s">
        <v>59</v>
      </c>
      <c r="B658">
        <v>2004</v>
      </c>
      <c r="C658" t="s">
        <v>74</v>
      </c>
      <c r="D658">
        <v>22.9</v>
      </c>
    </row>
    <row r="659" spans="1:4" x14ac:dyDescent="0.45">
      <c r="A659" t="s">
        <v>60</v>
      </c>
      <c r="B659">
        <v>2004</v>
      </c>
      <c r="C659" t="s">
        <v>74</v>
      </c>
      <c r="D659">
        <v>34.200000000000003</v>
      </c>
    </row>
    <row r="660" spans="1:4" x14ac:dyDescent="0.45">
      <c r="A660" t="s">
        <v>59</v>
      </c>
      <c r="B660">
        <v>2005</v>
      </c>
      <c r="C660" t="s">
        <v>74</v>
      </c>
      <c r="D660">
        <v>19.8</v>
      </c>
    </row>
    <row r="661" spans="1:4" x14ac:dyDescent="0.45">
      <c r="A661" t="s">
        <v>60</v>
      </c>
      <c r="B661">
        <v>2005</v>
      </c>
      <c r="C661" t="s">
        <v>74</v>
      </c>
      <c r="D661">
        <v>44.5</v>
      </c>
    </row>
    <row r="662" spans="1:4" x14ac:dyDescent="0.45">
      <c r="A662" t="s">
        <v>59</v>
      </c>
      <c r="B662">
        <v>2006</v>
      </c>
      <c r="C662" t="s">
        <v>74</v>
      </c>
      <c r="D662">
        <v>24.3</v>
      </c>
    </row>
    <row r="663" spans="1:4" x14ac:dyDescent="0.45">
      <c r="A663" t="s">
        <v>60</v>
      </c>
      <c r="B663">
        <v>2006</v>
      </c>
      <c r="C663" t="s">
        <v>74</v>
      </c>
      <c r="D663">
        <v>42.7</v>
      </c>
    </row>
    <row r="664" spans="1:4" x14ac:dyDescent="0.45">
      <c r="A664" t="s">
        <v>59</v>
      </c>
      <c r="B664">
        <v>2007</v>
      </c>
      <c r="C664" t="s">
        <v>74</v>
      </c>
      <c r="D664">
        <v>20.100000000000001</v>
      </c>
    </row>
    <row r="665" spans="1:4" x14ac:dyDescent="0.45">
      <c r="A665" t="s">
        <v>60</v>
      </c>
      <c r="B665">
        <v>2007</v>
      </c>
      <c r="C665" t="s">
        <v>74</v>
      </c>
      <c r="D665">
        <v>51.4</v>
      </c>
    </row>
    <row r="666" spans="1:4" x14ac:dyDescent="0.45">
      <c r="A666" t="s">
        <v>59</v>
      </c>
      <c r="B666">
        <v>2008</v>
      </c>
      <c r="C666" t="s">
        <v>74</v>
      </c>
      <c r="D666">
        <v>24.2</v>
      </c>
    </row>
    <row r="667" spans="1:4" x14ac:dyDescent="0.45">
      <c r="A667" t="s">
        <v>60</v>
      </c>
      <c r="B667">
        <v>2008</v>
      </c>
      <c r="C667" t="s">
        <v>74</v>
      </c>
      <c r="D667">
        <v>57</v>
      </c>
    </row>
    <row r="668" spans="1:4" x14ac:dyDescent="0.45">
      <c r="A668" t="s">
        <v>59</v>
      </c>
      <c r="B668">
        <v>2009</v>
      </c>
      <c r="C668" t="s">
        <v>74</v>
      </c>
      <c r="D668">
        <v>18.100000000000001</v>
      </c>
    </row>
    <row r="669" spans="1:4" x14ac:dyDescent="0.45">
      <c r="A669" t="s">
        <v>60</v>
      </c>
      <c r="B669">
        <v>2009</v>
      </c>
      <c r="C669" t="s">
        <v>74</v>
      </c>
      <c r="D669">
        <v>52.2</v>
      </c>
    </row>
    <row r="670" spans="1:4" x14ac:dyDescent="0.45">
      <c r="A670" t="s">
        <v>59</v>
      </c>
      <c r="B670">
        <v>2010</v>
      </c>
      <c r="C670" t="s">
        <v>74</v>
      </c>
      <c r="D670">
        <v>19.100000000000001</v>
      </c>
    </row>
    <row r="671" spans="1:4" x14ac:dyDescent="0.45">
      <c r="A671" t="s">
        <v>60</v>
      </c>
      <c r="B671">
        <v>2010</v>
      </c>
      <c r="C671" t="s">
        <v>74</v>
      </c>
      <c r="D671">
        <v>45.1</v>
      </c>
    </row>
    <row r="672" spans="1:4" x14ac:dyDescent="0.45">
      <c r="A672" t="s">
        <v>59</v>
      </c>
      <c r="B672">
        <v>2011</v>
      </c>
      <c r="C672" t="s">
        <v>74</v>
      </c>
      <c r="D672">
        <v>15</v>
      </c>
    </row>
    <row r="673" spans="1:4" x14ac:dyDescent="0.45">
      <c r="A673" t="s">
        <v>60</v>
      </c>
      <c r="B673">
        <v>2011</v>
      </c>
      <c r="C673" t="s">
        <v>74</v>
      </c>
      <c r="D673">
        <v>52.3</v>
      </c>
    </row>
    <row r="674" spans="1:4" x14ac:dyDescent="0.45">
      <c r="A674" t="s">
        <v>59</v>
      </c>
      <c r="B674">
        <v>2012</v>
      </c>
      <c r="C674" t="s">
        <v>74</v>
      </c>
      <c r="D674">
        <v>12</v>
      </c>
    </row>
    <row r="675" spans="1:4" x14ac:dyDescent="0.45">
      <c r="A675" t="s">
        <v>60</v>
      </c>
      <c r="B675">
        <v>2012</v>
      </c>
      <c r="C675" t="s">
        <v>74</v>
      </c>
      <c r="D675">
        <v>59.3</v>
      </c>
    </row>
    <row r="676" spans="1:4" x14ac:dyDescent="0.45">
      <c r="A676" t="s">
        <v>59</v>
      </c>
      <c r="B676">
        <v>2013</v>
      </c>
      <c r="C676" t="s">
        <v>74</v>
      </c>
      <c r="D676">
        <v>11.4</v>
      </c>
    </row>
    <row r="677" spans="1:4" x14ac:dyDescent="0.45">
      <c r="A677" t="s">
        <v>60</v>
      </c>
      <c r="B677">
        <v>2013</v>
      </c>
      <c r="C677" t="s">
        <v>74</v>
      </c>
      <c r="D677">
        <v>70.400000000000006</v>
      </c>
    </row>
    <row r="678" spans="1:4" x14ac:dyDescent="0.45">
      <c r="A678" t="s">
        <v>59</v>
      </c>
      <c r="B678">
        <v>2014</v>
      </c>
      <c r="C678" t="s">
        <v>74</v>
      </c>
      <c r="D678">
        <v>13.3</v>
      </c>
    </row>
    <row r="679" spans="1:4" x14ac:dyDescent="0.45">
      <c r="A679" t="s">
        <v>60</v>
      </c>
      <c r="B679">
        <v>2014</v>
      </c>
      <c r="C679" t="s">
        <v>74</v>
      </c>
      <c r="D679">
        <v>66.5</v>
      </c>
    </row>
    <row r="680" spans="1:4" x14ac:dyDescent="0.45">
      <c r="A680" t="s">
        <v>59</v>
      </c>
      <c r="B680">
        <v>2015</v>
      </c>
      <c r="C680" t="s">
        <v>74</v>
      </c>
      <c r="D680">
        <v>9.1</v>
      </c>
    </row>
    <row r="681" spans="1:4" x14ac:dyDescent="0.45">
      <c r="A681" t="s">
        <v>60</v>
      </c>
      <c r="B681">
        <v>2015</v>
      </c>
      <c r="C681" t="s">
        <v>74</v>
      </c>
      <c r="D681">
        <v>75.8</v>
      </c>
    </row>
    <row r="682" spans="1:4" x14ac:dyDescent="0.45">
      <c r="A682" t="s">
        <v>59</v>
      </c>
      <c r="B682">
        <v>2016</v>
      </c>
      <c r="C682" t="s">
        <v>74</v>
      </c>
      <c r="D682">
        <v>6.2</v>
      </c>
    </row>
    <row r="683" spans="1:4" x14ac:dyDescent="0.45">
      <c r="A683" t="s">
        <v>60</v>
      </c>
      <c r="B683">
        <v>2016</v>
      </c>
      <c r="C683" t="s">
        <v>74</v>
      </c>
      <c r="D683">
        <v>72.7</v>
      </c>
    </row>
    <row r="684" spans="1:4" x14ac:dyDescent="0.45">
      <c r="A684" t="s">
        <v>59</v>
      </c>
      <c r="B684">
        <v>2017</v>
      </c>
      <c r="C684" t="s">
        <v>74</v>
      </c>
      <c r="D684">
        <v>9.4</v>
      </c>
    </row>
    <row r="685" spans="1:4" x14ac:dyDescent="0.45">
      <c r="A685" t="s">
        <v>60</v>
      </c>
      <c r="B685">
        <v>2017</v>
      </c>
      <c r="C685" t="s">
        <v>74</v>
      </c>
      <c r="D685">
        <v>65.7</v>
      </c>
    </row>
    <row r="686" spans="1:4" x14ac:dyDescent="0.45">
      <c r="A686" t="s">
        <v>59</v>
      </c>
      <c r="B686">
        <v>2018</v>
      </c>
      <c r="C686" t="s">
        <v>74</v>
      </c>
      <c r="D686">
        <v>13.8</v>
      </c>
    </row>
    <row r="687" spans="1:4" x14ac:dyDescent="0.45">
      <c r="A687" t="s">
        <v>60</v>
      </c>
      <c r="B687">
        <v>2018</v>
      </c>
      <c r="C687" t="s">
        <v>74</v>
      </c>
      <c r="D687">
        <v>58.3</v>
      </c>
    </row>
    <row r="688" spans="1:4" x14ac:dyDescent="0.45">
      <c r="A688" t="s">
        <v>59</v>
      </c>
      <c r="B688">
        <v>2019</v>
      </c>
      <c r="C688" t="s">
        <v>74</v>
      </c>
      <c r="D688">
        <v>20</v>
      </c>
    </row>
    <row r="689" spans="1:4" x14ac:dyDescent="0.45">
      <c r="A689" t="s">
        <v>60</v>
      </c>
      <c r="B689">
        <v>2019</v>
      </c>
      <c r="C689" t="s">
        <v>74</v>
      </c>
      <c r="D689">
        <v>59.1</v>
      </c>
    </row>
    <row r="690" spans="1:4" x14ac:dyDescent="0.45">
      <c r="A690" t="s">
        <v>59</v>
      </c>
      <c r="B690">
        <v>2020</v>
      </c>
      <c r="C690" t="s">
        <v>74</v>
      </c>
      <c r="D690">
        <v>14.1</v>
      </c>
    </row>
    <row r="691" spans="1:4" x14ac:dyDescent="0.45">
      <c r="A691" t="s">
        <v>60</v>
      </c>
      <c r="B691">
        <v>2020</v>
      </c>
      <c r="C691" t="s">
        <v>74</v>
      </c>
      <c r="D691">
        <v>61.4</v>
      </c>
    </row>
    <row r="692" spans="1:4" x14ac:dyDescent="0.45">
      <c r="A692" t="s">
        <v>59</v>
      </c>
      <c r="B692">
        <v>2021</v>
      </c>
      <c r="C692" t="s">
        <v>74</v>
      </c>
      <c r="D692">
        <v>13.9</v>
      </c>
    </row>
    <row r="693" spans="1:4" x14ac:dyDescent="0.45">
      <c r="A693" t="s">
        <v>60</v>
      </c>
      <c r="B693">
        <v>2021</v>
      </c>
      <c r="C693" t="s">
        <v>74</v>
      </c>
      <c r="D693">
        <v>53.2</v>
      </c>
    </row>
    <row r="694" spans="1:4" x14ac:dyDescent="0.45">
      <c r="A694" t="s">
        <v>59</v>
      </c>
      <c r="B694">
        <v>2022</v>
      </c>
      <c r="C694" t="s">
        <v>74</v>
      </c>
      <c r="D694">
        <v>15.8</v>
      </c>
    </row>
    <row r="695" spans="1:4" x14ac:dyDescent="0.45">
      <c r="A695" t="s">
        <v>60</v>
      </c>
      <c r="B695">
        <v>2022</v>
      </c>
      <c r="C695" t="s">
        <v>74</v>
      </c>
      <c r="D695">
        <v>57</v>
      </c>
    </row>
    <row r="696" spans="1:4" x14ac:dyDescent="0.45">
      <c r="A696" t="s">
        <v>59</v>
      </c>
      <c r="B696">
        <v>2023</v>
      </c>
      <c r="C696" t="s">
        <v>74</v>
      </c>
      <c r="D696">
        <v>19.899999999999999</v>
      </c>
    </row>
    <row r="697" spans="1:4" x14ac:dyDescent="0.45">
      <c r="A697" t="s">
        <v>60</v>
      </c>
      <c r="B697">
        <v>2023</v>
      </c>
      <c r="C697" t="s">
        <v>74</v>
      </c>
      <c r="D697">
        <v>38.9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448.7842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230.9298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69.795000000000002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36.143000000000001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15.547599999999999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4.8786000000000005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0.50760000000000005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241.16400000000002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2025</v>
      </c>
      <c r="J10">
        <v>340.87900000000002</v>
      </c>
      <c r="K10" t="s">
        <v>53</v>
      </c>
      <c r="L10">
        <v>55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2030</v>
      </c>
      <c r="J11">
        <v>371.58550000000002</v>
      </c>
      <c r="K11" t="s">
        <v>53</v>
      </c>
      <c r="L11">
        <v>55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438.04750000000001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2040</v>
      </c>
      <c r="J13">
        <v>480.50749999999999</v>
      </c>
      <c r="K13" t="s">
        <v>53</v>
      </c>
      <c r="L13">
        <v>55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2045</v>
      </c>
      <c r="J14">
        <v>476.839</v>
      </c>
      <c r="K14" t="s">
        <v>53</v>
      </c>
      <c r="L14">
        <v>55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2050</v>
      </c>
      <c r="J15">
        <v>382.87700000000001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47.194000000000003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2025</v>
      </c>
      <c r="J17">
        <v>41.845999999999997</v>
      </c>
      <c r="K17" t="s">
        <v>54</v>
      </c>
      <c r="L17">
        <v>70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2030</v>
      </c>
      <c r="J18">
        <v>22.148</v>
      </c>
      <c r="K18" t="s">
        <v>54</v>
      </c>
      <c r="L18">
        <v>70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2035</v>
      </c>
      <c r="J19">
        <v>1.169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2040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2045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448.21080000000001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471.66379999999998</v>
      </c>
      <c r="K24" t="s">
        <v>52</v>
      </c>
      <c r="L24">
        <v>94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430.64219999999995</v>
      </c>
      <c r="K25" t="s">
        <v>52</v>
      </c>
      <c r="L25">
        <v>94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357.88620000000003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217.76040000000003</v>
      </c>
      <c r="K27" t="s">
        <v>52</v>
      </c>
      <c r="L27">
        <v>94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240.9502</v>
      </c>
      <c r="K28" t="s">
        <v>52</v>
      </c>
      <c r="L28">
        <v>94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245.857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2020</v>
      </c>
      <c r="J30">
        <v>240.85599999999999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281.1875</v>
      </c>
      <c r="K31" t="s">
        <v>53</v>
      </c>
      <c r="L31">
        <v>55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2030</v>
      </c>
      <c r="J32">
        <v>368.27449999999999</v>
      </c>
      <c r="K32" t="s">
        <v>53</v>
      </c>
      <c r="L32">
        <v>55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409.01300000000003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2040</v>
      </c>
      <c r="J34">
        <v>443.56400000000002</v>
      </c>
      <c r="K34" t="s">
        <v>53</v>
      </c>
      <c r="L34">
        <v>55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2045</v>
      </c>
      <c r="J35">
        <v>484.58300000000003</v>
      </c>
      <c r="K35" t="s">
        <v>53</v>
      </c>
      <c r="L35">
        <v>55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2050</v>
      </c>
      <c r="J36">
        <v>539.60500000000002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2020</v>
      </c>
      <c r="J37">
        <v>47.088999999999999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46.823</v>
      </c>
      <c r="K38" t="s">
        <v>54</v>
      </c>
      <c r="L38">
        <v>70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2030</v>
      </c>
      <c r="J39">
        <v>33.991999999999997</v>
      </c>
      <c r="K39" t="s">
        <v>54</v>
      </c>
      <c r="L39">
        <v>70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2035</v>
      </c>
      <c r="J40">
        <v>17.423000000000002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2040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2045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448.33299999999997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471.91760000000005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430.97120000000007</v>
      </c>
      <c r="K46" t="s">
        <v>52</v>
      </c>
      <c r="L46">
        <v>94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44.828600000000002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6.3826000000000001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0.67679999999999996</v>
      </c>
      <c r="K49" t="s">
        <v>52</v>
      </c>
      <c r="L49">
        <v>94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0.68620000000000003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240.9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281.29749999999996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368.5</v>
      </c>
      <c r="K53" t="s">
        <v>53</v>
      </c>
      <c r="L53">
        <v>55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438.78449999999998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447.64499999999998</v>
      </c>
      <c r="K55" t="s">
        <v>53</v>
      </c>
      <c r="L55">
        <v>55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391.8365</v>
      </c>
      <c r="K56" t="s">
        <v>53</v>
      </c>
      <c r="L56">
        <v>55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303.05550000000005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2020</v>
      </c>
      <c r="J58">
        <v>47.082000000000001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2025</v>
      </c>
      <c r="J59">
        <v>46.830000000000005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33.991999999999997</v>
      </c>
      <c r="K60" t="s">
        <v>54</v>
      </c>
      <c r="L60">
        <v>70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2035</v>
      </c>
      <c r="J61">
        <v>15.540000000000001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2040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2045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448.62439999999998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2025</v>
      </c>
      <c r="J66">
        <v>472.39699999999999</v>
      </c>
      <c r="K66" t="s">
        <v>52</v>
      </c>
      <c r="L66">
        <v>94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2030</v>
      </c>
      <c r="J67">
        <v>431.601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197.30600000000001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2040</v>
      </c>
      <c r="J69">
        <v>64.474599999999995</v>
      </c>
      <c r="K69" t="s">
        <v>52</v>
      </c>
      <c r="L69">
        <v>94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2045</v>
      </c>
      <c r="J70">
        <v>5.734</v>
      </c>
      <c r="K70" t="s">
        <v>52</v>
      </c>
      <c r="L70">
        <v>94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2050</v>
      </c>
      <c r="J71">
        <v>0.53580000000000005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241.05950000000001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281.57250000000005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369.02800000000002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409.87650000000002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481.79450000000003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472.24649999999997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396.59399999999999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2020</v>
      </c>
      <c r="J79">
        <v>47.144999999999996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2025</v>
      </c>
      <c r="J80">
        <v>46.893000000000001</v>
      </c>
      <c r="K80" t="s">
        <v>54</v>
      </c>
      <c r="L80">
        <v>70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2030</v>
      </c>
      <c r="J81">
        <v>34.055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15.029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2040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2045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448.60560000000004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2025</v>
      </c>
      <c r="J87">
        <v>230.73240000000001</v>
      </c>
      <c r="K87" t="s">
        <v>52</v>
      </c>
      <c r="L87">
        <v>94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2030</v>
      </c>
      <c r="J88">
        <v>60.911999999999999</v>
      </c>
      <c r="K88" t="s">
        <v>52</v>
      </c>
      <c r="L88">
        <v>94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2035</v>
      </c>
      <c r="J89">
        <v>21.497799999999998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7.2285999999999992</v>
      </c>
      <c r="K90" t="s">
        <v>52</v>
      </c>
      <c r="L90">
        <v>94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2045</v>
      </c>
      <c r="J91">
        <v>3.1678000000000002</v>
      </c>
      <c r="K91" t="s">
        <v>52</v>
      </c>
      <c r="L91">
        <v>94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2050</v>
      </c>
      <c r="J92">
        <v>3.6472000000000002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241.08699999999999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340.6755</v>
      </c>
      <c r="K94" t="s">
        <v>53</v>
      </c>
      <c r="L94">
        <v>55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263.846</v>
      </c>
      <c r="K95" t="s">
        <v>53</v>
      </c>
      <c r="L95">
        <v>55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152.00899999999999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62.452500000000001</v>
      </c>
      <c r="K97" t="s">
        <v>53</v>
      </c>
      <c r="L97">
        <v>55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89.369500000000002</v>
      </c>
      <c r="K98" t="s">
        <v>53</v>
      </c>
      <c r="L98">
        <v>55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131.21350000000001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47.187000000000005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41.845999999999997</v>
      </c>
      <c r="K101" t="s">
        <v>54</v>
      </c>
      <c r="L101">
        <v>70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11.417</v>
      </c>
      <c r="K102" t="s">
        <v>54</v>
      </c>
      <c r="L102">
        <v>70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448.34239999999994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2025</v>
      </c>
      <c r="J108">
        <v>230.53500000000003</v>
      </c>
      <c r="K108" t="s">
        <v>52</v>
      </c>
      <c r="L108">
        <v>94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2030</v>
      </c>
      <c r="J109">
        <v>144.70360000000002</v>
      </c>
      <c r="K109" t="s">
        <v>52</v>
      </c>
      <c r="L109">
        <v>94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2035</v>
      </c>
      <c r="J110">
        <v>42.751199999999997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2040</v>
      </c>
      <c r="J111">
        <v>36.8386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14.015400000000001</v>
      </c>
      <c r="K112" t="s">
        <v>52</v>
      </c>
      <c r="L112">
        <v>94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2050</v>
      </c>
      <c r="J113">
        <v>1.2407999999999999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2020</v>
      </c>
      <c r="J114">
        <v>240.92749999999998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2025</v>
      </c>
      <c r="J115">
        <v>340.34</v>
      </c>
      <c r="K115" t="s">
        <v>53</v>
      </c>
      <c r="L115">
        <v>55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2030</v>
      </c>
      <c r="J116">
        <v>366.82799999999997</v>
      </c>
      <c r="K116" t="s">
        <v>53</v>
      </c>
      <c r="L116">
        <v>55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466.202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2040</v>
      </c>
      <c r="J118">
        <v>505.03749999999997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576.38349999999991</v>
      </c>
      <c r="K119" t="s">
        <v>53</v>
      </c>
      <c r="L119">
        <v>55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2050</v>
      </c>
      <c r="J120">
        <v>669.12450000000001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47.117000000000004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41.748000000000005</v>
      </c>
      <c r="K122" t="s">
        <v>54</v>
      </c>
      <c r="L122">
        <v>70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24.626000000000001</v>
      </c>
      <c r="K123" t="s">
        <v>54</v>
      </c>
      <c r="L123">
        <v>70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4.109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448.66199999999998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2025</v>
      </c>
      <c r="J129">
        <v>230.79819999999998</v>
      </c>
      <c r="K129" t="s">
        <v>52</v>
      </c>
      <c r="L129">
        <v>94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2030</v>
      </c>
      <c r="J130">
        <v>29.967199999999998</v>
      </c>
      <c r="K130" t="s">
        <v>52</v>
      </c>
      <c r="L130">
        <v>94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2035</v>
      </c>
      <c r="J131">
        <v>18.123200000000001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2040</v>
      </c>
      <c r="J132">
        <v>1.6450000000000002</v>
      </c>
      <c r="K132" t="s">
        <v>52</v>
      </c>
      <c r="L132">
        <v>94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2045</v>
      </c>
      <c r="J133">
        <v>3.1678000000000002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1.9740000000000002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2020</v>
      </c>
      <c r="J135">
        <v>241.11449999999999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2025</v>
      </c>
      <c r="J136">
        <v>340.74700000000001</v>
      </c>
      <c r="K136" t="s">
        <v>53</v>
      </c>
      <c r="L136">
        <v>55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2030</v>
      </c>
      <c r="J137">
        <v>186.35650000000001</v>
      </c>
      <c r="K137" t="s">
        <v>53</v>
      </c>
      <c r="L137">
        <v>55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30.772500000000001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2040</v>
      </c>
      <c r="J139">
        <v>16.0105</v>
      </c>
      <c r="K139" t="s">
        <v>53</v>
      </c>
      <c r="L139">
        <v>55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2045</v>
      </c>
      <c r="J140">
        <v>15.345000000000001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4.8784999999999998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47.194000000000003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41.838999999999999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5.2640000000000002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2.2551000000000001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28.1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96.32804999999999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287.94645000000003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445.5077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497.42680000000001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481.72950000000003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439.80394999999999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391.27895000000001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346.76305000000002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302.24689999999998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223.99020000000002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145.73349999999999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102.0025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58.271500000000003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52.834400000000002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47.397300000000001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2.2551000000000001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21.057200000000002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41.073750000000004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41.905550000000005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41.634100000000004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40.929249999999996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39.454799999999999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36.78895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32.365749999999998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24.141300000000001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15.91695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8.0740999999999996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0.23120000000000002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0.11560000000000001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2.2551000000000001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21.057200000000002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41.073750000000004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56.916499999999999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340.44650000000001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608.04195000000004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700.66560000000004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711.17699999999991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687.70894999999996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652.00030000000004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616.29160000000002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522.06635000000006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427.84105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288.05615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148.27115000000001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114.9593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81.647449999999992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2.2551000000000001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21.057200000000002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41.073750000000004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50.921900000000001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121.9267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165.47389999999999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213.83555000000001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246.53320000000002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214.96125000000001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192.74914999999999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170.53694999999999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138.0796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105.62224999999999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61.954049999999995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18.28585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10.505749999999999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2.7254999999999998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2.2551000000000001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28.1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221.6283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356.21505000000002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446.5025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512.11054999999999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570.63840000000005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618.85995000000003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670.84839999999997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640.97855000000004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611.10879999999997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529.63329999999996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448.15775000000002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374.89519999999999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301.63255000000004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249.41200000000001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197.19125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2.2551000000000001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28.1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146.31625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395.01105000000001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608.06629999999996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637.68790000000001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600.67555000000004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577.72865000000002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528.32240000000002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468.74350000000004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409.16454999999996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293.51855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177.8725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94.437100000000001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11.001799999999999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5.5008999999999997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0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2.2551000000000001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28.1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395.4486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712.78549999999996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810.19509999999991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780.39380000000006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735.1268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708.21195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647.03570000000002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551.18544999999995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455.33510000000001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311.62284999999997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167.91064999999998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126.274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84.637200000000007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86.268650000000008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87.900100000000009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4048.3285999999998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3259.13645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2309.7064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1301.73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421.87139999999999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-197.50049999999999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-520.3365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-708.51610000000005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-885.47694999999999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-918.25890000000004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-951.04089999999997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-890.49450000000002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-829.94810000000007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-824.05825000000004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-818.16845000000001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-820.58300000000008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-822.99770000000001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4048.3285999999998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3328.6814999999997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2914.9965999999999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2373.4708000000001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1789.1857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1399.5437999999999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1210.7779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946.78364999999997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765.62689999999998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653.75465000000008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541.88239999999996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454.54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367.19765000000001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313.90109999999999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260.6046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219.46594999999999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178.3272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4048.3285999999998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3328.6814999999997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2914.9965999999999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2081.6940500000001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153.9117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-890.71365000000003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-1253.4927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-1334.4291499999999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-1477.4032999999999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-1483.3557499999999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-1489.3081999999999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-1405.4004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-1321.4926499999999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-1174.2372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-1026.9817499999999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-992.54984999999999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-958.11799999999994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4048.3285999999998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3328.6814999999997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2914.9965999999999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2200.0179499999999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906.39415000000008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145.19305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-248.4324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-545.95794999999998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-720.54364999999996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-797.05269999999996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-873.56175000000007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-859.48164999999995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-845.40159999999992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-818.23804999999993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-791.07449999999994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-788.96589999999992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-786.85735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4048.3285999999998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2998.5160000000001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1279.5106000000001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239.73745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-566.20409999999993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-899.74890000000005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-1130.0226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-1272.7759999999998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-1379.6008499999998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-1378.6531500000001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-1377.7054000000001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-1323.8603000000001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-1270.0151999999998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-1200.0723499999999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-1130.1295500000001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-1080.40905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-1030.6886500000001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4048.3285999999998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3189.2897499999999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1992.7847999999999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905.39549999999997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35.138800000000003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-451.32309999999995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-750.53035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-885.08709999999996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-962.58929999999998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-955.04044999999996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-947.49154999999996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-882.89709999999991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-818.30264999999997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-735.93634999999995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-653.57005000000004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-650.10114999999996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-646.63229999999999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4048.3285999999998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3090.7280000000001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1465.443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94.269350000000003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-852.46550000000002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-1214.5183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-1427.3263000000002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-1523.7858999999999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-1521.6818499999999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-1446.9391500000002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-1372.1963499999999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-1215.96255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-1059.7289000000001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-1015.4433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-971.15785000000005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-978.06510000000003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-984.97244999999998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4763.2656999999999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3973.5726500000001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3061.7802000000001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2044.0720000000001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1181.9149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595.86615000000006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290.27975000000004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105.22300000000001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-76.649349999999998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-108.6892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-140.72899999999998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-78.415300000000002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-16.101600000000001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-6.6039000000000003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2.8936999999999999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6.4674500000000004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10.0412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4763.2656999999999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4032.451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3632.3980499999998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3104.0267999999996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2532.93995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2157.2194500000001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1982.8693000000001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1721.3561500000001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1541.57665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1430.248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1318.9194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1231.7662500000001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1144.6132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1090.9312500000001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1037.24935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996.96145000000001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956.67359999999996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4763.2656999999999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4032.451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3632.3980499999998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2857.9033499999996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993.83100000000002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-5.3573500000000003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-341.93754999999999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-425.53424999999999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-590.21690000000001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-602.39184999999998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-614.56680000000006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-529.83439999999996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-445.10199999999998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-296.03964999999999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-146.97730000000001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-108.7226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-70.4679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4763.2656999999999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4032.451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3632.3980499999998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2943.6269000000002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1671.14355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928.51170000000002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550.89710000000002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306.55340000000001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134.17529999999999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60.08175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-14.011749999999999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4.4596000000000018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22.930900000000001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52.968150000000001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83.005400000000009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88.409750000000003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93.814050000000009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4763.2656999999999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3724.0314499999999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2038.17155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1007.8833999999999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229.41034999999999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-80.426200000000009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-293.04685000000001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-432.31885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-539.18049999999994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-535.22019999999998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-531.25985000000003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-475.29269999999997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-419.32549999999998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-350.06674999999996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-280.80795000000001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-232.26990000000001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-183.73185000000001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4763.2656999999999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3906.9557999999997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2714.8809000000001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1645.2379000000001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791.73209999999995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321.78904999999997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38.020449999999997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-89.801249999999996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-167.36189999999999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-160.79169999999999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-154.22145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-92.317399999999992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-30.413350000000001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48.387799999999999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127.18899999999999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131.26425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135.33949999999999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4763.2656999999999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3816.3136500000001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2233.0242499999999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873.40515000000005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-24.759249999999998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-337.01644999999996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-512.89335000000005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-602.92574999999999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-616.94904999999994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-551.04750000000001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-485.14589999999998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-334.00030000000004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-182.85480000000001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-136.88164999999998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-90.908600000000007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-93.414749999999998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-95.920999999999992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3.1556000000000002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3.2135500000000001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3.6166499999999999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4.0356500000000004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4.4558499999999999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4.5503499999999999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4.6404499999999995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4.3832500000000003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3.88395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3.7268499999999998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3.5697999999999999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3.4262000000000001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3.2827000000000002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3.1438999999999999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3.00515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2.8617499999999998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2.7184499999999998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3.1556000000000002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3.1617999999999999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3.6275500000000003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3.9077500000000001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4.0379500000000004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4.1091999999999995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4.1444999999999999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3.89255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3.6504500000000002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3.5335000000000001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3.41655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3.2712500000000002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3.1260000000000003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2.9741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2.8221499999999997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2.6944999999999997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2.5669000000000004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3.1556000000000002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3.1617999999999999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3.6275500000000003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4.0733999999999995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5.0272000000000006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5.0395500000000002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4.8654999999999999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4.5471500000000002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4.0819999999999999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3.9368499999999997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3.7917500000000004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3.6660000000000004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3.5403500000000001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3.3529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3.1654499999999999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3.0136500000000002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2.8618000000000001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3.1556000000000002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3.1617999999999999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3.6275500000000003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3.8657500000000002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4.0753000000000004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4.3157500000000004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4.2684999999999995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4.2705000000000002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3.8537499999999998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3.7120500000000001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3.5703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3.4535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3.3367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3.1511499999999999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2.9657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2.8161999999999998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2.6666999999999996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3.1556000000000002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2.4101999999999997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2.4428999999999998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2.4975500000000004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2.4566499999999998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2.4170499999999997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2.3616999999999999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2.2012499999999999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1.9998499999999999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1.9094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1.819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1.7764500000000001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1.7339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1.6973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1.6607500000000002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1.59765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1.5345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3.1556000000000002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3.19625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3.5033000000000003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4.2302499999999998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4.5490500000000003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4.8561499999999995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4.7333999999999996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4.3180499999999995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3.7541000000000002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3.6227999999999998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3.4915000000000003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3.3815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3.2714499999999997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3.0762499999999999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2.8810500000000001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2.7641499999999999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2.6473499999999999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3.1556000000000002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3.1898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3.7167500000000002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4.1225500000000004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4.8772500000000001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5.11205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4.7871500000000005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4.5244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4.1191499999999994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4.0318000000000005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3.94435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3.7861000000000002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3.62785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3.5125999999999999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3.3973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3.1837999999999997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2.9702000000000002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10.713200000000001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10.6814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11.10275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11.627649999999999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12.32095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12.491499999999998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12.8047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12.0525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11.8939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11.8665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11.838999999999999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12.015650000000001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12.192250000000001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12.4482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12.704050000000001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12.760199999999999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12.81625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10.713200000000001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10.597850000000001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11.264849999999999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11.6105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11.545850000000002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11.321149999999999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11.282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10.641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10.72425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10.70035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10.676400000000001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10.90165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11.126850000000001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11.305900000000001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11.4849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11.6031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11.721350000000001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10.713200000000001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10.597850000000001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11.264849999999999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11.76285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11.977399999999999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13.335049999999999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13.812650000000001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12.653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12.573250000000002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12.522500000000001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12.47175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12.7212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12.970700000000001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12.9482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12.925800000000001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12.93515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12.94445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10.713200000000001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10.597850000000001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11.264849999999999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11.9758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12.04415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12.3447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12.317350000000001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12.002000000000001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11.862500000000001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11.75845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11.654500000000001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11.9529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12.251300000000001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12.2849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12.31855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12.400649999999999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12.482800000000001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10.713200000000001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10.875350000000001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10.227450000000001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11.129100000000001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11.2964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11.66015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11.908300000000001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10.907350000000001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10.9125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10.55415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10.19585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10.482900000000001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10.76995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10.961300000000001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11.1526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11.2005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11.24835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10.713200000000001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10.643000000000001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10.7216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11.83555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12.4758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13.063750000000001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12.7865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11.7387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11.44605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11.547450000000001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11.648800000000001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11.87495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12.101099999999999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12.0785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12.055900000000001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12.2102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12.364549999999999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10.713200000000001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10.565799999999999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10.92825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12.090299999999999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13.45185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13.886050000000001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13.5787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12.5654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12.7653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12.716650000000001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12.668099999999999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12.795349999999999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12.922650000000001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13.1906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13.458500000000001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13.428599999999999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13.39875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0.27579999999999999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0.62165000000000004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1.4724499999999998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2.5973000000000002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3.5593000000000004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3.9570499999999997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4.2729999999999997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4.4013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4.5603499999999997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4.6829000000000001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4.8053999999999997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4.9305000000000003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5.0555000000000003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5.1689500000000006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5.2823500000000001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5.3956499999999998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5.5090000000000003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0.27579999999999999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0.68564999999999998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1.4014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2.2556000000000003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2.9039000000000001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3.20465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3.4223499999999998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3.5962999999999998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3.7658500000000004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3.8737499999999998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3.9817499999999999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4.0880000000000001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4.1942000000000004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4.2860499999999995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4.3779000000000003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4.4697499999999994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4.5616000000000003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0.27579999999999999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0.68564999999999998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1.4014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2.3236499999999998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2.9717000000000002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3.3170500000000001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3.5781499999999999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3.7424499999999998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3.9017499999999998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4.0325499999999996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4.1632999999999996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4.2818500000000004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4.4003499999999995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4.4958500000000008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4.5913000000000004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4.7007000000000003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4.8101000000000003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0.27579999999999999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0.68564999999999998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1.4014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2.31385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2.97655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3.2968999999999999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3.5095999999999998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3.6974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3.8411999999999997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3.9530500000000002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4.0648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4.1784499999999998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4.2920499999999997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4.3967000000000001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4.5013500000000004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4.6070000000000002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4.71265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0.27579999999999999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0.59135000000000004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1.3069999999999999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2.2339500000000001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2.90605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3.0732499999999998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2.80715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3.3488499999999997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3.4975000000000001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3.5662000000000003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3.6349499999999999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3.7350500000000002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3.8352000000000004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3.9293500000000003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4.0235500000000002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4.1267999999999994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4.2300500000000003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0.27579999999999999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0.69300000000000006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1.4089499999999999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2.2906500000000003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2.9651000000000001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3.27475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3.5293000000000001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3.6537500000000001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3.8108500000000003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3.9248500000000002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4.0388000000000002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4.1442499999999995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4.2496999999999998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4.3517999999999999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4.4538500000000001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4.5531000000000006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4.65245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0.27579999999999999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0.64319999999999999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1.5113000000000001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2.6759500000000003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3.6368999999999998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4.0548000000000002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4.3002500000000001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4.4215499999999999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4.6055000000000001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4.7298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4.8540500000000009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4.9845500000000005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5.1150500000000001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5.2322500000000005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5.34945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5.4516999999999998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5.5539500000000004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5.8411499999999998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5.4642999999999997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5.5946499999999997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3.8373499999999998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5.5946499999999997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9.3986999999999998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5.5946499999999997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6.7579000000000002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7.7720500000000001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2.2276500000000001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1.7549000000000001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1.4066000000000001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1.3738000000000001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2.37805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2.49315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1.4066000000000001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2.2480000000000002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1.90195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1.47685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1.714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1.1793999999999998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2.1265499999999999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2.0613000000000001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1.8179000000000001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1.8801999999999999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1.7513000000000001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1.4137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4.5770499999999998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5.2363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5.0498499999999993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4.8432000000000004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4.8777499999999998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4.6098499999999998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4.6098499999999998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5.7273500000000004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5.2990500000000003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4.7379999999999995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4.6098499999999998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4.9486500000000007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5.3717000000000006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5.4856999999999996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4.3168500000000005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4.7407500000000002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5.0349500000000003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5.35215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5.8657500000000002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81.473500000000001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98.146549999999991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94.337100000000007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85.162450000000007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90.070650000000001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98.563249999999996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116.7009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122.35735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188.40039999999999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220.24995000000001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252.09944999999999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244.2689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236.43835000000001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256.55574999999999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276.67314999999996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298.55770000000001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320.44220000000001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81.473500000000001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96.299599999999998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96.438600000000008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79.112249999999989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100.39179999999999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103.7486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112.1673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120.0831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180.93989999999999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222.8562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264.77250000000004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263.81110000000001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262.84969999999998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259.07730000000004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255.3048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253.88220000000001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252.4597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81.473500000000001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96.299599999999998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96.438600000000008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54.075850000000003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108.68989999999999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132.29650000000001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129.71885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137.81555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214.59870000000001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294.41639999999995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374.23405000000002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389.82595000000003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405.41790000000003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394.06894999999997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382.72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388.76785000000001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394.81574999999998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81.473500000000001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96.299599999999998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96.438600000000008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55.305999999999997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99.294550000000001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109.262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126.56909999999999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129.7654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187.57485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221.18959999999998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254.80445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271.97109999999998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289.13785000000001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286.10069999999996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283.06349999999998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302.07745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321.09134999999998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81.473500000000001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65.561549999999997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77.154449999999997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83.237899999999996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96.67734999999999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85.596149999999994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111.8875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125.91630000000001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181.773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224.9675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268.16199999999998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263.53305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258.90409999999997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272.87954999999999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286.85495000000003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320.5027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354.15039999999999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81.473500000000001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93.140349999999998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90.895250000000004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93.968400000000003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101.27680000000001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108.22225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124.41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134.39150000000001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191.25700000000001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213.9205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236.58409999999998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259.20485000000002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281.82560000000001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266.38959999999997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250.95355000000001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277.02755000000002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303.10149999999999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81.473500000000001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91.422750000000008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90.229849999999999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95.118349999999992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111.45779999999999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106.08315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120.13804999999999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132.06335000000001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229.3304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302.83524999999997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376.34005000000002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401.12594999999999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425.91179999999997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442.71434999999997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459.51684999999998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484.97794999999996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510.43905000000001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3.0137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1.2032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6.4999999999999997E-3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1.1000000000000001E-3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8.9999999999999998E-4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5.0000000000000001E-4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2.0000000000000001E-4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1E-4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3.0137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1.2363999999999999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0.96730000000000005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0.73819999999999997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8.1600000000000006E-2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7.1999999999999998E-3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5.7000000000000002E-3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2.085E-2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9.1749999999999998E-2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0.26469999999999999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0.43769999999999998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0.72365000000000002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1.0097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1.3045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1.5992500000000001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1.67225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1.74525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3.0137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1.2363999999999999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0.96730000000000005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0.621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1.1000000000000001E-3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5.0000000000000001E-4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2.0000000000000001E-4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1E-4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3.0137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1.2363999999999999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0.96730000000000005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0.65710000000000002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1.4E-3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6.9999999999999999E-4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4.0000000000000002E-4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1.5000000000000001E-4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3.0137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1.0499000000000001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6.1999999999999998E-3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8.9999999999999998E-4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6.9999999999999999E-4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4.0000000000000002E-4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2.0000000000000001E-4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1E-4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3.0137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1.1422000000000001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6.1999999999999998E-3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8.9999999999999998E-4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6.9999999999999999E-4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4.0000000000000002E-4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2.0000000000000001E-4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1E-4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3.0137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1.0508999999999999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6.0000000000000001E-3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8.0000000000000004E-4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5.9999999999999995E-4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4.0000000000000002E-4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2.0000000000000001E-4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1E-4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7.1176000000000004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7.2470999999999997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5.7461000000000002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2.7808999999999999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1.5029999999999999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0.16370000000000001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0.1512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0.13514999999999999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0.10489999999999999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6.4850000000000005E-2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2.4799999999999999E-2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1.255E-2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2.9999999999999997E-4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1.5000000000000001E-4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7.1176000000000004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7.3855000000000004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6.8080999999999996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5.4237000000000002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4.05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2.2517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1.3666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0.56725000000000003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0.22839999999999999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0.24174999999999999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0.25514999999999999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0.28860000000000002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0.32205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0.34975000000000001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0.3775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0.38419999999999999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0.39085000000000003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7.1176000000000004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7.3855000000000004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6.8080999999999996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4.8364000000000003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1.8084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4.7800000000000002E-2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3.4099999999999998E-2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2.0799999999999999E-2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8.7999999999999988E-3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4.45E-3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1E-4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7.1176000000000004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7.3855000000000004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6.8080999999999996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5.2579000000000002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2.1999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0.40529999999999999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0.2298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0.22954999999999998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0.1976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0.1479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9.8250000000000004E-2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5.7100000000000005E-2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1.5949999999999999E-2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8.0000000000000002E-3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5.0000000000000002E-5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0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7.1176000000000004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6.8305999999999996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3.4314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1.2662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1.5800000000000002E-2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1.2E-2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9.5999999999999992E-3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7.7999999999999996E-3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4.4000000000000003E-3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2.2000000000000001E-3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7.1176000000000004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7.1794000000000002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4.4108999999999998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2.2948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0.6502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0.1002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0.09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7.4950000000000003E-2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5.1199999999999996E-2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2.8199999999999999E-2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5.2999999999999992E-3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2.6499999999999996E-3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7.1176000000000004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6.9039000000000001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3.4455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0.41749999999999998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9.1000000000000004E-3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5.3E-3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3.0999999999999999E-3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2.3E-3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8.9999999999999998E-4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4.4999999999999999E-4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0.128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7.9000000000000001E-2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2.7E-2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0.128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7.9000000000000001E-2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2.7E-2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0.128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7.9000000000000001E-2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2.7E-2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0.128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7.9000000000000001E-2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2.7E-2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0.128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7.9000000000000001E-2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2.7E-2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0.128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7.9000000000000001E-2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2.7E-2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0.128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7.9000000000000001E-2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2.7E-2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0.1113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0.46655000000000002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0.83630000000000004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1.1794500000000001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1.6255999999999999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2.3479000000000001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3.7441499999999999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5.6319499999999998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8.6744000000000003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9.8619000000000003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11.04945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12.25145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13.45345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13.6549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13.856349999999999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13.2241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12.591899999999999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0.1113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0.49419999999999997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0.84894999999999998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1.1212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1.2922500000000001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1.4058999999999999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1.63395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1.6122000000000001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2.4160000000000004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3.6513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4.8865999999999996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6.9611000000000001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9.0356000000000005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10.8324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12.629200000000001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13.066649999999999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13.504049999999999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0.1113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0.49419999999999997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0.84894999999999998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1.1789499999999999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2.0072000000000001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3.9919000000000002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7.1994999999999996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10.2332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13.4748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13.98915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14.503550000000001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14.6403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14.777049999999999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15.2201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15.663150000000002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15.479099999999999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15.29495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0.1113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0.49419999999999997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0.84894999999999998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1.1021000000000001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1.46665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2.67665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5.0285000000000002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6.8306500000000003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9.8933999999999997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11.0002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12.106950000000001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12.91825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13.72955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14.718299999999999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15.707100000000001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15.27155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14.83595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0.1113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0.36029999999999995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0.68759999999999999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1.1589499999999999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1.6034000000000002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1.8732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2.1103500000000004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1.9706000000000001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2.0337999999999998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2.2101999999999999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2.3865499999999997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2.8246000000000002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3.2626499999999998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3.68465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4.1065500000000004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4.3266499999999999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4.5466999999999995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0.1113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0.46484999999999999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0.87165000000000004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1.48925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2.3957999999999999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3.9722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6.2991999999999999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8.6658499999999989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11.68155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12.373699999999999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13.065750000000001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13.989599999999999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14.913450000000001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15.764800000000001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16.616149999999998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15.838849999999999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15.0616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0.1113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0.43369999999999997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1.0763500000000001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2.3922999999999996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4.0547500000000003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5.8657500000000002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7.7442500000000001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9.2441500000000012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10.83755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11.2875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11.737400000000001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12.517949999999999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13.298500000000001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13.224499999999999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13.150500000000001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12.87355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12.596599999999999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12.654999999999999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50.764099999999999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87.387500000000003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168.45259999999999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277.5609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2.0451000000000001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2.0756999999999999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2.1764999999999999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2.2477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2.3068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2.3565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2.5503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11.8245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13.077400000000001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13.196999999999999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13.458299999999999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14.0802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14.643000000000001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15.2393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4.6699999999999998E-2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4.24E-2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0.31619999999999998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0.79659999999999997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1.6315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3.0617999999999999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4.7785000000000002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0.1328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0.12770000000000001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5.4699999999999999E-2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5.2699999999999997E-2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0.1017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0.27329999999999999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0.43430000000000002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448.7842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230.9298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69.795000000000002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36.143000000000001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15.547599999999999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4.8786000000000005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0.50760000000000005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241.16400000000002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340.87900000000002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371.58550000000002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438.04750000000001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480.50749999999999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476.839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382.87700000000001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47.194000000000003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41.845999999999997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22.148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1.169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4.4684999999999997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3.3054000000000001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6.8269000000000002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4.9569999999999999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9.1260999999999992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2.4399000000000002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2.2303000000000002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1.9238999999999999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0.61919999999999997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0.30980000000000002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2.8115999999999999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3.6044999999999998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4.1002999999999998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4.5384000000000002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4.6368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4.9682000000000004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5.1093000000000002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5.6074000000000002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3.5491999999999999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4.7690000000000001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5.2050999999999998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5.9802999999999997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3496.8701999999998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3009.8681999999999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2015.9817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1777.3175000000001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1431.9012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980.6585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366.85219999999998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4762.6923999999999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4344.6644999999999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3515.8908999999999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3314.0185000000001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3011.2728999999999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2546.7710999999999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1919.1588999999999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2.0367000000000002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2.1808999999999998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2.2601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2.3056999999999999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2.3428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2.4138999999999999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2.4895999999999998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11.7905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12.517300000000001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13.0969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13.7766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14.2948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14.661099999999999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14.9033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4.6600000000000003E-2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4.1399999999999999E-2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3.9899999999999998E-2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3.6700000000000003E-2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0.1132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0.42209999999999998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0.87119999999999997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0.13400000000000001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0.13730000000000001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0.13589999999999999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0.25600000000000001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0.24399999999999999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0.2432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0.1201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448.21080000000001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471.66379999999998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430.64219999999995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357.88620000000003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217.76040000000003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240.9502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245.857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240.85599999999999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281.1875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368.27449999999999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409.01300000000003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443.56400000000002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484.58300000000003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539.60500000000002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47.088999999999999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46.823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33.991999999999997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17.423000000000002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4.4684999999999997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1.9009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6.2432999999999996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2.8513000000000002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5.9336000000000002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3.2418999999999998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4.3316999999999997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2.4399000000000002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2.6446000000000001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2.5596999999999999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2.5588000000000002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2.6313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2.6126999999999998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2.6955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3.6044999999999998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3.7021000000000002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4.2958999999999996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4.4800000000000004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4.6310000000000002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4.8533999999999997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5.0925000000000002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3.5491999999999999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4.9105999999999996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4.7489999999999997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5.4027000000000003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5.6605999999999996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6.1624999999999996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3511.7665999999999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3780.5221999999999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3392.7710000000002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3429.3721999999998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2866.6705000000002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2928.8069999999998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3093.7332000000001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4777.4350000000004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5165.2668000000003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4953.5533999999998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5047.5425999999998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4540.8406000000004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4656.5820999999996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4873.9349000000002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43.261200000000002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113.5538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188.36539999999999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295.85820000000001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2.0274999999999999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2.1676000000000002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2.2418999999999998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2.3003999999999998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2.3864000000000001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2.6766000000000001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2.9030999999999998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11.7866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12.5116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13.088900000000001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13.764900000000001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14.372999999999999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15.040900000000001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15.8461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4.6100000000000002E-2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4.0599999999999997E-2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3.8899999999999997E-2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0.31319999999999998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0.80410000000000004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1.6491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3.097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0.13400000000000001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0.13730000000000001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0.13600000000000001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0.2646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0.39639999999999997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0.55089999999999995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0.79769999999999996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448.33299999999997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471.91760000000005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430.97120000000007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44.828600000000002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6.3826000000000001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0.67679999999999996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0.68620000000000003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240.9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281.29749999999996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368.5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438.78449999999998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447.64499999999998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391.8365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303.05550000000005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47.082000000000001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46.830000000000005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33.991999999999997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15.540000000000001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4.4684999999999997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1.9009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6.2432999999999996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6.7606999999999999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12.1509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2.4399000000000002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2.6446000000000001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2.5596999999999999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-0.2319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0.63670000000000004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1.0358000000000001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3.6044999999999998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3.7021000000000002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4.2958999999999996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4.7169999999999996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4.9889999999999999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5.2314999999999996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5.8547000000000002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3.5491999999999999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4.9105999999999996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4.7489999999999997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5.7652000000000001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5.3186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6.2645999999999997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6.8101000000000003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3511.9951999999998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3834.7415000000001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3500.6311000000001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2423.9598999999998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1912.0378000000001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1355.3801000000001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771.41719999999998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4777.7187000000004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5166.0857999999998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4954.5560999999998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3919.0261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3454.6601999999998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2888.5947000000001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2294.7570999999998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12.634600000000001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42.2288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108.2948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206.87100000000001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2.0305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2.1701000000000001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2.2464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2.2654000000000001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2.3170999999999999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2.5537999999999998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2.7471000000000001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11.803900000000001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12.5365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13.1234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13.6639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13.974600000000001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14.073499999999999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14.361800000000001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4.6199999999999998E-2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4.0800000000000003E-2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3.9E-2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0.315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0.80740000000000001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1.6549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3.1082999999999998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0.13339999999999999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0.13669999999999999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0.1353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0.18329999999999999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0.2152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0.2606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0.21870000000000001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448.62439999999998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472.39699999999999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431.601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197.30600000000001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64.474599999999995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5.734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0.53580000000000005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241.05950000000001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281.57250000000005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369.02800000000002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409.87650000000002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481.79450000000003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472.24649999999997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396.59399999999999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47.144999999999996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46.893000000000001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34.055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15.029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4.4684999999999997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1.9009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6.2432999999999996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2.4399000000000002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2.6446000000000001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2.5596999999999999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2.6768000000000001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2.0129000000000001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0.74380000000000002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1.1781999999999999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3.6044999999999998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3.7021000000000002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4.2958999999999996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4.7013999999999996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4.7167000000000003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5.2339000000000002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5.7249999999999996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3.5491999999999999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4.9105999999999996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4.7489999999999997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5.9751000000000003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5.306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6.8552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6.8875999999999999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3499.0915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3792.1082999999999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3429.6617000000001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2838.4924999999998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2181.6372999999999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1575.3838000000001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1027.3495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4765.1273000000001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5150.5231999999996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4937.4916000000003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4415.7775000000001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3833.6682999999998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3272.2867000000001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2767.2750000000001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135.07660000000001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199.6585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245.0718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387.81760000000003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554.16380000000004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2.0655999999999999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2.1213000000000002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2.0327000000000002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1.9692000000000001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1.8892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1.7710999999999999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1.6294999999999999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11.845000000000001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13.0947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11.6676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11.54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10.930300000000001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10.329000000000001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9.4115000000000002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4.9599999999999998E-2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4.7399999999999998E-2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0.2873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0.7097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1.4334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2.6806999999999999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4.8047000000000004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0.13120000000000001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0.1258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0.42899999999999999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0.87960000000000005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1.2337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1.76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2.2824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448.60560000000004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230.73240000000001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60.911999999999999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21.497799999999998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7.2285999999999992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3.1678000000000002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3.6472000000000002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241.08699999999999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340.6755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263.846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152.00899999999999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62.452500000000001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89.369500000000002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131.21350000000001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47.187000000000005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41.845999999999997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11.417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4.4684999999999997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3.3054000000000001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13.4735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20.0123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2.4399000000000002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2.2303000000000002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-10.6768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-5.3540000000000001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3.6063999999999998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4.5979000000000001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3.6044999999999998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4.1002999999999998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1.7803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-9.1899999999999996E-2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3.5255999999999998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7.0002000000000004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6.1596000000000002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3.5491999999999999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4.7690000000000001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5.4531999999999998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10.267799999999999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3.3336999999999999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3460.0346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2954.0470999999998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1089.3561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458.01740000000001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-50.011299999999999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-345.88900000000001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-690.66070000000002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4726.8642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4290.0275000000001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2609.8845999999999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1948.6714999999999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1413.0741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1103.4302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745.19169999999997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12.667199999999999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31.706199999999999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71.197800000000001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106.4661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2.0396999999999998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2.0741000000000001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2.1427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2.2610000000000001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2.3451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2.4175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2.4678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11.7982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13.0306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13.152900000000001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14.105700000000001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14.003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14.217000000000001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14.3277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4.6699999999999998E-2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4.24E-2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0.29759999999999998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0.76519999999999999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1.5788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2.9714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4.5190999999999999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0.1336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0.12859999999999999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0.1244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0.11940000000000001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0.11509999999999999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9.3200000000000005E-2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0.1046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448.34239999999994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230.53500000000003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144.70360000000002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42.751199999999997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36.8386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14.015400000000001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1.2407999999999999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240.92749999999998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340.34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366.82799999999997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466.202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505.03749999999997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576.38349999999991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669.12450000000001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47.117000000000004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41.748000000000005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24.626000000000001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4.109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4.4684999999999997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3.3054000000000001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5.1925999999999997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5.8891999999999998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7.2515999999999998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2.4399000000000002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2.2303000000000002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1.5405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7.2599999999999998E-2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0.78210000000000002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1.796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3.6044999999999998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4.1002999999999998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4.5500999999999996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4.7310999999999996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4.8822000000000001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5.1181999999999999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5.3502999999999998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3.5491999999999999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4.7690000000000001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4.7930999999999999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5.4271000000000003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5.2074999999999996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6.0766999999999998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6.2126000000000001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3504.6698000000001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2994.8148000000001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2295.7707999999998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2107.7370000000001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1780.7761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1463.3371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1321.7732000000001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4770.5772999999999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4356.5048999999999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3844.0466999999999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3717.3164000000002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3447.8739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3165.9227999999998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3062.1396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213.22739999999999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244.25659999999999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222.36619999999999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324.7688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295.0283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2.0680999999999998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2.1147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2.4839000000000002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2.8763000000000001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3.2075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3.5516000000000001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3.9205000000000001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11.848699999999999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13.113099999999999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14.072900000000001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15.4162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16.447299999999998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17.144300000000001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17.7699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4.7699999999999999E-2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4.4200000000000003E-2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0.32069999999999999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0.80020000000000002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1.6148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3.0192999999999999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5.0453000000000001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0.1328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0.1278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0.21310000000000001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0.437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0.82379999999999998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1.3889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1.5147999999999999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448.66199999999998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230.79819999999998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29.967199999999998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18.123200000000001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1.6450000000000002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3.1678000000000002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1.9740000000000002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241.11449999999999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340.74700000000001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186.35650000000001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30.772500000000001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16.0105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15.345000000000001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4.8784999999999998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47.194000000000003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41.838999999999999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5.2640000000000002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4.4684999999999997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3.3054000000000001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41.438499999999998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22.3018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36.462699999999998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43.105600000000003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39.630600000000001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2.4399000000000002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2.2303000000000002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-22.0642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-7.1971999999999996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6.1932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7.0406000000000004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9.2357999999999993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3.6044999999999998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4.1002999999999998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13.1716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-11.7966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9.2448999999999995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7.7660999999999998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8.3611000000000004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3.5491999999999999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4.7690000000000001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3496.8627000000001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3010.7838000000002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1033.8266000000001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251.49430000000001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-192.68780000000001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-630.91039999999998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-945.87819999999999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4762.5577000000003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4345.2551000000003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2560.8157000000001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1772.7556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1331.9151999999999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871.11369999999999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534.24360000000001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2.2551000000000001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28.100100000000001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100.4532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286.07389999999998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443.42410000000001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492.4633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475.44540000000001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435.67160000000001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387.61610000000002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343.8066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299.99680000000001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223.6148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147.2329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102.78019999999999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58.327500000000001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53.179400000000001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48.031300000000002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3.1556000000000002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3.2275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3.6009000000000002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4.1048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4.4416000000000002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4.5331000000000001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4.6062000000000003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4.3338999999999999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3.8309000000000002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3.6735000000000002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3.5160999999999998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3.3772000000000002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3.2383999999999999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3.0954999999999999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2.9527000000000001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2.8127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2.6728000000000001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10.713200000000001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10.6761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11.010899999999999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11.6373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12.2278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12.3132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12.5669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11.9274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11.731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11.6759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11.620699999999999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11.811400000000001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12.0021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12.2301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12.458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12.523999999999999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12.5899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0.27579999999999999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0.62529999999999997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1.4742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2.5908000000000002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3.5348000000000002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3.9154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4.1315999999999997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4.3608000000000002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4.5091000000000001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4.6257999999999999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4.7424999999999997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4.8677999999999999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4.9930000000000003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5.1054000000000004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5.2178000000000004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5.3250999999999999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5.4324000000000003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0.1113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0.46550000000000002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0.8367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1.1998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1.6485000000000001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2.3511000000000002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3.6972999999999998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5.5067000000000004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8.4076000000000004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9.5820000000000007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10.756500000000001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11.9367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13.117000000000001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13.388199999999999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13.6594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13.0198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12.3803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3.0137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1.2278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6.4000000000000003E-3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1.1000000000000001E-3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8.9999999999999998E-4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5.0000000000000001E-4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2.0000000000000001E-4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1E-4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7.1176000000000004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7.1668000000000003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5.4526000000000003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2.8108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1.4540999999999999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0.16370000000000001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0.1512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0.1326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0.1026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6.3100000000000003E-2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2.3699999999999999E-2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1.2E-2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2.9999999999999997E-4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1E-4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0.128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7.9000000000000001E-2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2.7E-2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81.473500000000001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96.573499999999996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94.260900000000007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85.382199999999997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89.889300000000006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98.190899999999999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117.0594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121.16330000000001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186.35249999999999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220.37299999999999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254.39340000000001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241.624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228.8546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250.29159999999999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271.7285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295.00130000000001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318.274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4048.3285999999998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3259.5691000000002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2282.5079000000001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1244.7788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377.73570000000001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-218.4418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-530.18820000000005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-692.53560000000004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-875.21349999999995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-910.93470000000002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-946.65589999999997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-883.05399999999997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-819.45209999999997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-818.81029999999998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-818.16859999999997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-820.87570000000005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-823.58299999999997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4763.2656999999999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3964.8647999999998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3006.3262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1999.2280000000001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1160.9712999999999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590.65020000000004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296.28399999999999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133.45050000000001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-59.344999999999999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-96.186099999999996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-133.02709999999999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-68.148600000000002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-3.2700999999999998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0.99160000000000004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5.2531999999999996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8.4662000000000006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11.6792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2.2551000000000001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21.053100000000001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40.809600000000003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41.465000000000003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41.194400000000002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40.492899999999999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39.027000000000001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36.363599999999998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31.969799999999999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23.806999999999999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15.6442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7.9139999999999997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0.18360000000000001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9.1800000000000007E-2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3.1556000000000002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3.1738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3.6254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3.9076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4.0278999999999998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4.0853000000000002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4.1036999999999999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3.8399000000000001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3.5752000000000002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3.4529999999999998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3.3308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3.1831999999999998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3.0356000000000001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2.8894000000000002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2.7431999999999999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2.6126999999999998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2.4822000000000002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10.713200000000001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10.604900000000001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11.2433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11.615399999999999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11.486800000000001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11.188800000000001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11.0608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10.532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10.552199999999999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10.4856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10.419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10.6325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10.8459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11.0045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11.163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11.2563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11.349600000000001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0.27579999999999999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0.68559999999999999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1.4006000000000001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2.2530999999999999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2.8961000000000001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3.1863000000000001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3.39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3.5522999999999998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3.7006000000000001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3.7942999999999998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3.8881000000000001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3.9889000000000001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4.0895999999999999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4.1730999999999998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4.2565999999999997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4.3396999999999997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4.4227999999999996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0.1113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0.49349999999999999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0.84870000000000001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1.1191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1.2839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1.3873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1.6053999999999999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1.583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2.2930000000000001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3.4401000000000002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4.5872000000000002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6.56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8.5327000000000002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10.3337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12.1347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12.5724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13.0101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3.0137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1.2690999999999999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0.96730000000000005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0.73819999999999997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8.6E-3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6.3E-3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4.1999999999999997E-3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1.8599999999999998E-2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8.4199999999999997E-2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0.24729999999999999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0.41049999999999998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0.68300000000000005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0.9556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1.2487999999999999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1.5419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1.6174999999999999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1.6930000000000001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7.1176000000000004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7.3632999999999997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6.7834000000000003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5.4009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4.0266999999999999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2.1071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1.2375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0.55900000000000005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0.2223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0.2334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0.24460000000000001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0.27600000000000002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0.30740000000000001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0.33479999999999999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0.36220000000000002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0.37259999999999999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0.38290000000000002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0.128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7.9000000000000001E-2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2.7E-2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81.473500000000001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96.311400000000006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96.558400000000006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79.232799999999997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100.2007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103.40519999999999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111.4328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118.66589999999999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178.75069999999999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221.33199999999999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263.91329999999999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262.10250000000002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260.29169999999999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258.57870000000003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256.86559999999997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252.48349999999999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248.10149999999999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4048.3285999999998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3334.7948999999999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2905.3874000000001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2357.2347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1742.0451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1328.7973999999999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1129.4963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910.37159999999994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727.51120000000003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614.00630000000001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500.50130000000001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416.54590000000002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332.59059999999999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290.77379999999999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248.9571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207.38939999999999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165.82159999999999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4763.2656999999999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4037.5998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3619.9416000000001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3085.2979999999998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2484.6444999999999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2087.1143000000002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1903.6488999999999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1686.1294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1504.3405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1391.3487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1278.3569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1194.5752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1110.7936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1068.7165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1026.6394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985.9529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945.26639999999998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2.2551000000000001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21.053100000000001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40.809600000000003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57.687399999999997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388.65929999999997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610.79560000000004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705.61490000000003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718.46569999999997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694.8836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659.37030000000004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623.8569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528.74929999999995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433.64170000000001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292.56360000000001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151.4854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120.7432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90.000900000000001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3.1556000000000002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3.1738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3.6254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4.1056999999999997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5.0171999999999999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5.0206999999999997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4.8174000000000001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4.4983000000000004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4.0259999999999998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3.8780999999999999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3.7303000000000002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3.6051000000000002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3.48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3.2959000000000001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3.1116999999999999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2.9670000000000001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2.8222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10.713200000000001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10.604900000000001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11.2433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11.725300000000001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11.907299999999999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13.149699999999999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13.5335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12.540100000000001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12.401300000000001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12.325200000000001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12.249000000000001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12.4964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12.7438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12.73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12.7163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12.7318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12.747299999999999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0.27579999999999999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0.68559999999999999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1.4006000000000001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2.3220999999999998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2.9609999999999999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3.2890000000000001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3.5386000000000002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3.7006999999999999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3.8540999999999999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3.9792000000000001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4.1043000000000003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4.2180999999999997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4.3319000000000001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4.4263000000000003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4.5206999999999997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4.6291000000000002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4.7374999999999998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0.1113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0.49349999999999999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0.84870000000000001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1.1763999999999999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2.0032000000000001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3.9643000000000002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7.0824999999999996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9.9954000000000001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13.1219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13.6349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14.148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14.307399999999999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14.466799999999999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14.893800000000001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15.3209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15.076000000000001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14.831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3.0137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1.2690999999999999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0.96730000000000005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0.61990000000000001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1E-3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5.0000000000000001E-4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2.0000000000000001E-4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7.1176000000000004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7.3632999999999997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6.7834000000000003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4.8174999999999999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1.7997000000000001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4.7800000000000002E-2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3.4099999999999998E-2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2.06E-2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8.6999999999999994E-3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4.4000000000000003E-3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1E-4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0.128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7.9000000000000001E-2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2.7E-2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81.473500000000001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96.311400000000006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96.558400000000006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53.237900000000003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108.46469999999999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136.08150000000001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129.5942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136.7749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212.02629999999999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291.80259999999998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371.5788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385.97399999999999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400.36919999999998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389.52519999999998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378.68119999999999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387.07330000000002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395.46550000000002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4048.3285999999998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3334.7948999999999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2905.3874000000001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2060.4978000000001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99.885900000000007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-897.66560000000004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-1262.4371000000001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-1338.6929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-1485.8765000000001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-1494.6805999999999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-1503.4848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-1415.4069999999999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-1327.3291999999999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-1177.8423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-1028.3553999999999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-996.91800000000001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-965.48069999999996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4763.2656999999999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4037.5998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3619.9416000000001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2830.5655999999999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930.76199999999994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-20.28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-359.28539999999998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-438.40039999999999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-601.16600000000005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-614.41690000000006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-627.66780000000006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-539.27070000000003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-450.87360000000001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-300.791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-150.70840000000001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-115.7754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-80.842399999999998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2.2551000000000001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21.053100000000001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40.809600000000003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52.921500000000002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209.2353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302.51139999999998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300.52109999999999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276.298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240.41149999999999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216.82579999999999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193.24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157.18680000000001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121.13379999999999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69.649799999999999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18.165900000000001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9.0830000000000002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3.1556000000000002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3.1738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3.6254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3.8298000000000001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4.2111000000000001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4.2967000000000004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4.2416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4.2378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3.8146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3.6528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3.4910000000000001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3.3845999999999998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3.2780999999999998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3.1179999999999999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2.9580000000000002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2.8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2.6419999999999999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10.713200000000001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10.604900000000001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11.2433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12.032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12.0846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12.162599999999999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12.1942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11.921900000000001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11.801500000000001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11.6639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11.526400000000001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11.7818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12.0372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12.151999999999999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12.2668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12.3156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12.3644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0.27579999999999999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0.68559999999999999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1.4006000000000001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2.3288000000000002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2.9820000000000002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3.2942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3.4872000000000001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3.6671999999999998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3.7864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3.9003999999999999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4.0143000000000004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4.1254999999999997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4.2366999999999999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4.3421000000000003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4.4474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4.5540000000000003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4.6605999999999996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0.1113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0.49349999999999999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0.84870000000000001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1.1186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1.786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3.5697999999999999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5.7923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7.6193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10.498200000000001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11.420999999999999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12.3438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13.0787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13.813700000000001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14.4977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15.181699999999999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14.7493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14.316800000000001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3.0137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1.2690999999999999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0.96730000000000005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0.64729999999999999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1.2999999999999999E-3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6.9999999999999999E-4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2.9999999999999997E-4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1E-4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7.1176000000000004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7.3632999999999997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6.7834000000000003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5.1558999999999999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2.1328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0.37240000000000001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0.2298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0.21079999999999999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0.1789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0.1298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8.0799999999999997E-2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4.4200000000000003E-2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7.7000000000000002E-3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3.8E-3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0.128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7.9000000000000001E-2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2.7E-2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81.473500000000001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96.311400000000006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96.558400000000006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48.980699999999999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101.7205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109.0718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126.3901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131.3552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185.55539999999999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215.61949999999999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245.68369999999999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267.98480000000001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290.286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294.34399999999999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298.40199999999999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317.29230000000001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336.18259999999998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4048.3285999999998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3334.7948999999999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2905.3874000000001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2113.3476999999998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551.88720000000001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-215.142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-551.13149999999996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-726.01170000000002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-872.52369999999996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-908.3723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-944.221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-915.74980000000005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-887.27859999999998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-852.72370000000001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-818.16880000000003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-818.7242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-819.2799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4763.2656999999999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4037.5998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3619.9416000000001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2873.3063000000002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1355.5264999999999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646.09450000000004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350.4717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184.71180000000001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27.312100000000001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-16.201799999999999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-59.715699999999998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-34.966999999999999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-10.218299999999999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25.999300000000002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62.216999999999999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69.039299999999997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75.861500000000007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2.2551000000000001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28.1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221.06950000000001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353.19099999999997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439.35070000000002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505.91520000000003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557.87879999999996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604.57410000000004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655.09649999999999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630.0607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605.02499999999998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523.49450000000002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441.96390000000002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363.91719999999998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285.87040000000002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225.63659999999999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165.4025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3.1556000000000002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2.423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2.4377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2.4942000000000002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2.4342000000000001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2.3919999999999999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2.3412000000000002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2.1783999999999999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1.9782999999999999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1.8858999999999999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1.7936000000000001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1.7543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1.7150000000000001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1.6776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1.6403000000000001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1.5712999999999999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1.5022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10.713200000000001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10.8813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10.195399999999999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11.102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11.2204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11.5562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11.7692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10.7468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10.718299999999999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10.377800000000001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10.0374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10.3315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10.6257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10.825900000000001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11.0261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11.0518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11.077500000000001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0.27579999999999999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0.59050000000000002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1.3048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2.2277999999999998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2.8921999999999999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3.0499000000000001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2.7437999999999998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3.3144999999999998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3.4575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3.5255000000000001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3.5935999999999999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3.6932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3.7928000000000002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3.8881000000000001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3.9834000000000001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4.0861999999999998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4.1890999999999998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0.1113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0.35909999999999997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0.68340000000000001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1.1424000000000001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1.5641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1.8186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1.9160999999999999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1.8786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1.9067000000000001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2.052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2.1972999999999998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2.694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3.1907000000000001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3.6949999999999998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4.1992000000000003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4.5625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4.9257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3.0137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1.0787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6.1999999999999998E-3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8.9999999999999998E-4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6.9999999999999999E-4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4.0000000000000002E-4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2.0000000000000001E-4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7.1176000000000004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6.8224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3.4308000000000001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1.3211999999999999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2.1100000000000001E-2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1.66E-2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1.3599999999999999E-2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9.2999999999999992E-3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5.5999999999999999E-3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2.8E-3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0.128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7.9000000000000001E-2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2.7E-2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81.473500000000001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65.838899999999995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77.018199999999993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83.183899999999994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95.883799999999994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85.020499999999998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111.76990000000001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124.9843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180.66079999999999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218.3809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256.10109999999997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257.16730000000001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258.23349999999999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269.9864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281.73919999999998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312.28019999999998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342.8211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4048.3285999999998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3018.4337999999998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1302.4432999999999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250.5283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-544.79409999999996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-876.39790000000005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-1100.0881999999999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-1231.4867999999999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-1336.7502999999999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-1330.5050000000001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-1324.2597000000001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-1276.0588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-1227.8579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-1153.1159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-1078.374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-1022.6835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-966.9932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4763.2656999999999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3727.67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2039.7387000000001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1019.1079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251.16300000000001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-56.634300000000003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-263.19420000000002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-394.67430000000002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-509.04289999999997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-505.89769999999999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-502.75240000000002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-456.03640000000001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-409.32029999999997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-335.27269999999999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-261.2251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-206.43709999999999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-151.64920000000001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2.2551000000000001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28.1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145.85720000000001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393.3596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605.202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633.35540000000003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596.40470000000005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575.27970000000005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515.36419999999998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456.7919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398.21949999999998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285.22699999999998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172.23439999999999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91.419399999999996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10.6044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5.3022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3.1556000000000002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3.2077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3.5044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4.2230999999999996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4.5331000000000001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4.8137999999999996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4.6917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4.2747000000000002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3.6993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3.5617999999999999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3.4243000000000001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3.3142999999999998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3.2042999999999999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3.0118999999999998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2.8193999999999999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2.7035999999999998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2.5878999999999999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10.713200000000001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10.6496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10.723100000000001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11.812799999999999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12.393000000000001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12.8635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12.553800000000001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11.6229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11.2629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11.3337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11.404500000000001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11.6144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11.824299999999999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11.8119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11.7995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11.931900000000001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12.064299999999999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0.27579999999999999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0.69289999999999996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1.4079999999999999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2.2862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2.9540999999999999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3.2541000000000002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3.4489999999999998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3.6122000000000001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3.7519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3.8553999999999999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3.9588000000000001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4.0617999999999999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4.1647999999999996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4.2621000000000002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4.3593999999999999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4.4538000000000002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4.5483000000000002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0.1113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0.46410000000000001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0.86939999999999995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1.4767999999999999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2.3607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3.8784000000000001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6.1109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8.3934999999999995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11.3127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12.001300000000001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12.6898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13.6609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14.632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15.477600000000001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16.3232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15.570499999999999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14.8179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3.0137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1.1759999999999999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6.1999999999999998E-3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1E-3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8.0000000000000004E-4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5.0000000000000001E-4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2.0000000000000001E-4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1E-4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7.1176000000000004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7.1628999999999996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4.4108999999999998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2.2948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0.65629999999999999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0.1027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9.2399999999999996E-2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7.6600000000000001E-2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5.2699999999999997E-2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2.92E-2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5.7999999999999996E-3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2.8999999999999998E-3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0.128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7.9000000000000001E-2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2.7E-2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81.473500000000001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93.567599999999999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90.874300000000005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93.824100000000001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101.2522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108.2436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124.8801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132.96279999999999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189.9468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212.34389999999999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234.74109999999999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255.88030000000001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277.01940000000002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262.63350000000003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248.24760000000001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272.63339999999999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297.01909999999998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4048.3285999999998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3207.5850999999998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1992.3222000000001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901.33029999999997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32.2273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-485.08629999999999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-782.2921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-916.96519999999998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-990.04539999999997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-959.98009999999999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-929.91480000000001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-874.12189999999998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-818.32899999999995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-738.82079999999996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-659.31259999999997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-655.93169999999998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-652.55089999999996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4763.2656999999999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3912.8503000000001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2713.7487000000001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1640.2961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788.50400000000002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288.47430000000003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8.0991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-121.24639999999999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-194.31800000000001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-165.44919999999999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-136.58029999999999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-83.167199999999994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-29.754100000000001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46.2408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122.23569999999999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126.26430000000001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130.2929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2.2551000000000001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28.1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385.47949999999997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703.99639999999999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805.50099999999998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787.38019999999995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734.1662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708.67780000000005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647.43240000000003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554.51660000000004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461.60059999999999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319.31299999999999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177.02539999999999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134.59729999999999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92.1691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90.004000000000005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87.838999999999999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3.1556000000000002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3.2054999999999998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3.698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4.0991999999999997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4.8236999999999997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5.0423999999999998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4.7401999999999997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4.4603999999999999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4.0415999999999999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3.9527999999999999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3.8639000000000001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3.72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3.5760999999999998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3.4586000000000001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3.3410000000000002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3.1335999999999999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2.9260999999999999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10.713200000000001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10.58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10.8797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11.9217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13.2239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13.650399999999999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13.193899999999999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12.3698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12.5032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12.462300000000001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12.4215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12.5777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12.7339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13.0029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13.271800000000001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13.2462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13.220599999999999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0.27579999999999999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0.64270000000000005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1.5071000000000001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2.6663999999999999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3.6141000000000001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4.0258000000000003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4.1997999999999998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4.3716999999999997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4.5423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4.6624999999999996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4.7826000000000004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4.915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5.0473999999999997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5.1653000000000002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5.2831999999999999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5.3830999999999998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5.4829999999999997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0.1113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0.43330000000000002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1.0515000000000001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2.2999999999999998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3.8794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5.5975000000000001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7.4884000000000004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8.9486000000000008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10.570600000000001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11.0449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11.5192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12.302300000000001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13.0855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13.0642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13.042899999999999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12.7928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12.5427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3.0137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1.0840000000000001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6.0000000000000001E-3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8.0000000000000004E-4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5.9999999999999995E-4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4.0000000000000002E-4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2.0000000000000001E-4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7.1176000000000004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6.9157000000000002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3.4845000000000002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0.46810000000000002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1.32E-2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1.01E-2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6.7000000000000002E-3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3.3999999999999998E-3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1.4E-3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6.9999999999999999E-4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0.128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7.9000000000000001E-2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2.7E-2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81.473500000000001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92.322199999999995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89.651799999999994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93.965000000000003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111.3095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104.8934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119.3544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129.11080000000001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224.61850000000001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295.3689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366.11930000000001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391.517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416.91469999999998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435.26490000000001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453.61500000000001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479.42099999999999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505.2269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4048.3285999999998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3114.9712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1506.0208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114.702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-841.42989999999998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-1191.7438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-1409.6457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-1517.1142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-1534.9870000000001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-1456.9828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-1378.9784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-1225.1996999999999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-1071.4212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-1026.4987000000001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-981.57650000000001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-983.43650000000002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-985.29669999999999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4763.2656999999999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3824.4766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2244.8557000000001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893.57849999999996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-16.178899999999999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-317.61419999999998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-497.28579999999999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-595.18709999999999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-626.22439999999995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-556.75630000000001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-487.28809999999999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-338.96600000000001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-190.64400000000001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-144.5282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-98.412499999999994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-96.526700000000005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-94.641000000000005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2.2551000000000001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28.1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97.329899999999995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289.81900000000002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447.59129999999999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502.39030000000002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488.0136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443.93630000000002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394.9418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349.71949999999998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304.49700000000001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224.3656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144.23410000000001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101.2248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58.215499999999999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52.489400000000003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46.763300000000001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3.1556000000000002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3.2082000000000002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3.6324000000000001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4.0289000000000001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4.4701000000000004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4.5675999999999997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4.6746999999999996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4.4325999999999999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3.9369999999999998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3.7801999999999998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3.6234999999999999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3.4752000000000001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3.327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3.1922999999999999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3.0575999999999999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2.9108000000000001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2.7641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10.713200000000001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10.665900000000001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11.0945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11.6045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12.276999999999999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12.404999999999999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12.7067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12.1776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12.056800000000001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12.0571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12.0573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12.219900000000001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12.382400000000001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12.6663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12.950100000000001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12.9964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13.0426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0.27579999999999999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0.62309999999999999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1.4748000000000001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2.6038000000000001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3.5838000000000001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3.9986999999999999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4.2534000000000001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4.4417999999999997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4.6116000000000001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4.74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4.8682999999999996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4.9931999999999999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5.1180000000000003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5.2324999999999999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5.3468999999999998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5.4661999999999997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5.5856000000000003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0.1113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0.46789999999999998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0.83589999999999998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1.1597999999999999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1.6027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2.3447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3.7909999999999999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5.7572000000000001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8.9412000000000003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10.1418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11.3424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12.5662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13.789899999999999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13.9216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14.0533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13.4284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12.8035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3.0137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1.1516999999999999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6.4999999999999997E-3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1.1999999999999999E-3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8.9999999999999998E-4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5.9999999999999995E-4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2.9999999999999997E-4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1E-4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7.1176000000000004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7.2529000000000003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5.7461000000000002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2.7808999999999999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1.5137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0.1691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0.1565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0.13769999999999999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0.1072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6.6600000000000006E-2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2.5899999999999999E-2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1.3100000000000001E-2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2.9999999999999997E-4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2.0000000000000001E-4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0.128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7.9000000000000001E-2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2.7E-2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81.473500000000001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99.7196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94.413300000000007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84.942700000000002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90.251999999999995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98.935599999999994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116.5057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123.5514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190.44829999999999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220.12690000000001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249.80549999999999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246.91380000000001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244.02209999999999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262.81990000000002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281.61779999999999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302.11410000000001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322.61040000000003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4048.3285999999998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3258.7037999999998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2336.9049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1311.2606000000001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444.01159999999999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-176.5592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-510.48480000000001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-724.49659999999994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-895.74040000000002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-925.58309999999994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-955.42589999999996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-897.93499999999995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-840.44410000000005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-829.30619999999999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-818.16830000000004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-820.2903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-822.41240000000005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4763.2656999999999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3963.63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3056.8083000000001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2052.2129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1202.8585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601.08209999999997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284.27550000000002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76.995500000000007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-93.953699999999998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-121.1923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-148.43090000000001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-88.682000000000002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-28.9331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-14.199400000000001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0.53420000000000001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4.4687000000000001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8.4032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2.2551000000000001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21.063199999999998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41.337899999999998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42.371000000000002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42.0989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41.391599999999997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39.910200000000003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37.214300000000001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32.761699999999998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24.4756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16.189699999999998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8.2341999999999995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0.27879999999999999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0.1394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3.1556000000000002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3.1581999999999999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3.6297000000000001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3.9079000000000002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4.048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4.1330999999999998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4.1852999999999998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3.9451999999999998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3.7256999999999998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3.6139999999999999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3.5023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3.3593000000000002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3.2164000000000001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3.0588000000000002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2.9011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2.7763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2.6516000000000002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10.713200000000001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10.5779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11.257300000000001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11.605600000000001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11.5303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11.291399999999999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11.232200000000001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10.75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10.8963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10.915100000000001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10.9338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11.1708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11.4078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11.6073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11.806800000000001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11.9499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12.0931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0.27579999999999999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0.68569999999999998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1.403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2.2581000000000002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2.9117000000000002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3.2229999999999999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3.4546999999999999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3.6402999999999999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3.8311000000000002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3.9531999999999998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4.0754000000000001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4.1871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4.2988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4.399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4.4992000000000001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4.5998000000000001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4.7004000000000001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0.1113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0.49580000000000002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0.84989999999999999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1.1233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1.3006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1.4245000000000001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1.6625000000000001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1.6414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2.5390000000000001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3.8624999999999998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5.1859999999999999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7.3621999999999996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9.5385000000000009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11.331099999999999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13.123699999999999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13.5609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13.997999999999999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3.0137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1.1867000000000001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0.96409999999999996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0.73619999999999997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8.1600000000000006E-2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7.7999999999999996E-3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5.7000000000000002E-3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2.3099999999999999E-2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9.9299999999999999E-2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0.28210000000000002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0.46489999999999998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0.76429999999999998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1.0638000000000001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1.3602000000000001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1.6566000000000001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1.7270000000000001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1.7975000000000001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7.1176000000000004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7.3954000000000004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6.8179999999999996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5.4333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4.0586000000000002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2.2517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1.3666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0.57550000000000001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0.23449999999999999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0.25009999999999999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0.26569999999999999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0.30120000000000002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0.3367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0.36470000000000002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0.39279999999999998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0.39579999999999999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0.39879999999999999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0.128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7.9000000000000001E-2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2.7E-2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81.473500000000001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96.601799999999997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96.683800000000005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78.991699999999994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100.5829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104.092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112.90179999999999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121.5003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183.12909999999999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224.38040000000001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265.63170000000002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265.5197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265.40769999999998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259.57589999999999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253.744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255.2809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256.81790000000001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4048.3285999999998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3310.0953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2906.741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2366.2359000000001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1774.5207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1390.1529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1199.7173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983.19569999999999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803.74260000000004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693.50300000000004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583.26350000000002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492.53410000000002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401.80470000000003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337.02839999999998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272.25209999999998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231.54249999999999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190.83279999999999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4763.2656999999999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4016.0133000000001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3624.1966000000002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3096.4573999999998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2517.9778999999999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2147.5409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1971.5205000000001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1756.5829000000001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1578.8127999999999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1469.1473000000001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1359.4819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1268.9573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1178.4328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1113.146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1047.8593000000001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1007.97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968.08079999999995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2.2551000000000001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21.063199999999998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41.337899999999998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58.418399999999998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386.44029999999998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608.36900000000003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695.71630000000005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703.88829999999996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680.53430000000003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644.63030000000003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608.72630000000004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515.38340000000005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422.04039999999998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283.5487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145.05690000000001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109.1754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73.293999999999997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3.1556000000000002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3.1581999999999999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3.6297000000000001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4.1010999999999997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5.0372000000000003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5.0583999999999998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4.9135999999999997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4.5960000000000001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4.1379999999999999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3.9956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3.8532000000000002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3.7269000000000001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3.6006999999999998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3.4098999999999999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3.2191999999999998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3.0602999999999998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2.9014000000000002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10.713200000000001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10.5779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11.257300000000001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11.731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11.960100000000001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13.3025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13.733700000000001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12.7659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12.745200000000001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12.719799999999999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12.6945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12.946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13.1976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13.166399999999999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13.135300000000001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13.138500000000001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13.1416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0.27579999999999999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0.68569999999999998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1.403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2.3252000000000002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2.9824000000000002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3.3451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3.6177000000000001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3.7841999999999998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3.9493999999999998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4.0858999999999996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4.2222999999999997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4.3456000000000001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4.4687999999999999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4.5654000000000003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4.6619000000000002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4.7723000000000004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4.8826999999999998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0.1113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0.49580000000000002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0.84989999999999999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1.1815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2.0112000000000001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4.0194999999999999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7.3164999999999996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10.471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13.8277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14.343400000000001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14.8591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14.9732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15.087300000000001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15.5464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16.005400000000002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15.882199999999999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15.758900000000001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3.0137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1.1867000000000001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0.96409999999999996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0.621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1.1999999999999999E-3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5.0000000000000001E-4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2.0000000000000001E-4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7.1176000000000004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7.3954000000000004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6.8179999999999996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4.8482000000000003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1.8149999999999999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4.8599999999999997E-2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3.4799999999999998E-2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2.1000000000000001E-2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8.8999999999999999E-3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4.4999999999999997E-3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1E-4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0.128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7.9000000000000001E-2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2.7E-2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81.473500000000001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96.601799999999997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96.683800000000005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54.913800000000002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108.9151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134.39920000000001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129.84350000000001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138.8562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217.1711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297.03019999999998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376.88929999999999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393.67790000000002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410.46660000000003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398.61270000000002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386.75880000000001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390.4624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394.166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4048.3285999999998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3310.0953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2906.741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2066.3503000000001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98.439400000000006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-905.65890000000002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-1260.6741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-1330.1654000000001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-1468.9301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-1472.0309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-1475.1315999999999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-1395.3938000000001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-1315.6560999999999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-1170.6321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-1025.6080999999999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-988.18169999999998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-950.75530000000003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4763.2656999999999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4016.0133000000001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3624.1966000000002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2848.5650999999998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952.72450000000003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3.1193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-328.51069999999999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-412.66809999999998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-579.26779999999997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-590.36680000000001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-601.46579999999994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-520.3981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-439.3304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-291.28829999999999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-143.24619999999999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-101.6698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-60.093400000000003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2.2551000000000001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21.063199999999998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41.337899999999998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52.480800000000002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156.0111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222.65299999999999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220.80009999999999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216.76840000000001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189.511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168.67250000000001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147.8339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118.97239999999999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90.110699999999994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54.258299999999998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18.405799999999999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11.9285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5.4509999999999996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3.1556000000000002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3.1581999999999999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3.6297000000000001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3.9077000000000002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4.0502000000000002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4.3348000000000004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4.2953999999999999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4.3032000000000004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3.8929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3.7713000000000001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3.6496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3.5224000000000002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3.3953000000000002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3.1842999999999999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2.9733999999999998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2.8323999999999998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2.6913999999999998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10.713200000000001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10.5779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11.257300000000001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11.890599999999999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11.876899999999999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12.180199999999999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12.3019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12.082100000000001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11.923500000000001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11.853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11.7826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12.124000000000001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12.465400000000001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12.4178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12.3703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12.4857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12.6012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0.27579999999999999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0.68569999999999998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1.403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2.3090999999999999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2.9710999999999999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3.2995999999999999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3.532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3.7275999999999998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3.8959999999999999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4.0057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4.1153000000000004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4.2313999999999998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4.3474000000000004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4.4512999999999998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4.5552999999999999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4.66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4.7647000000000004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0.1113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0.49580000000000002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0.84989999999999999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1.0855999999999999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1.4592000000000001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2.3666999999999998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4.2647000000000004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6.0419999999999998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9.2886000000000006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10.5794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11.870100000000001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12.7578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13.6454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14.9389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16.232500000000002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15.793799999999999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15.3551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3.0137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1.1867000000000001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0.96409999999999996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0.65710000000000002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1.6999999999999999E-3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8.9999999999999998E-4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4.0000000000000002E-4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2.0000000000000001E-4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7.1176000000000004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7.3954000000000004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6.8179999999999996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5.2759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2.2071999999999998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0.42770000000000002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0.26679999999999998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0.24829999999999999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0.21629999999999999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0.16600000000000001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0.1157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7.0000000000000007E-2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2.4199999999999999E-2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1.2200000000000001E-2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0.128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7.9000000000000001E-2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2.7E-2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81.473500000000001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96.601799999999997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96.683800000000005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61.631300000000003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96.868600000000001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109.4522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126.74809999999999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128.1756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189.5943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226.75970000000001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263.92520000000002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275.95740000000001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287.98970000000003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277.85739999999998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267.72500000000002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286.86259999999999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306.00009999999997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4048.3285999999998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3310.0953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2906.741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2194.0038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923.76949999999999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193.941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-170.9812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-365.9042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-568.56359999999995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-685.73310000000004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-802.90250000000003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-803.21349999999995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-803.52459999999996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-783.75239999999997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-763.98019999999997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-759.20759999999996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-754.4348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4763.2656999999999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4016.0133000000001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3624.1966000000002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2931.857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1677.1142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962.36760000000004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615.59580000000005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428.39499999999998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241.0385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136.36529999999999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31.6922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43.886200000000002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56.080100000000002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79.936999999999998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103.7938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107.78019999999999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111.7666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2.2551000000000001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28.1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222.18709999999999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359.23910000000001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453.65429999999998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518.30589999999995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583.39800000000002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633.14580000000001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686.60029999999995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651.89639999999997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617.19259999999997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535.77210000000002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454.35160000000002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385.8732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317.3947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273.18740000000003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228.98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3.1556000000000002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2.4068999999999998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2.4481000000000002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2.5032999999999999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2.4790999999999999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2.4420999999999999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2.3822000000000001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2.2241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2.0213999999999999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1.9329000000000001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1.8444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1.7986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1.7527999999999999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1.7170000000000001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1.6812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1.6240000000000001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1.5668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10.713200000000001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10.853400000000001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10.2234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11.127000000000001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11.372400000000001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11.764099999999999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12.0474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11.0679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11.1067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10.730499999999999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10.3543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10.6343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10.914199999999999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11.0967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11.2791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11.3492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11.4192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0.27579999999999999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0.59219999999999995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1.3099000000000001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2.2401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2.9199000000000002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3.0966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2.7957000000000001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3.3832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3.5375000000000001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3.6069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3.6762999999999999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3.7768999999999999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3.8776000000000002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3.9706000000000001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4.0636999999999999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4.1673999999999998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4.2709999999999999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0.1113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0.36149999999999999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0.69179999999999997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1.1755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1.6427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1.9278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2.0628000000000002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2.0626000000000002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2.1608999999999998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2.3683999999999998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2.5758000000000001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2.9552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3.3346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3.6743000000000001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4.0138999999999996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4.0907999999999998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4.1677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3.0137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1.0017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6.1999999999999998E-3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8.9999999999999998E-4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6.9999999999999999E-4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4.0000000000000002E-4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2.0000000000000001E-4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7.1176000000000004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6.8620999999999999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3.4638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1.2662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1.5800000000000002E-2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1.2E-2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9.5999999999999992E-3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6.3E-3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3.2000000000000002E-3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1.6000000000000001E-3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0.128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7.9000000000000001E-2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2.7E-2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81.473500000000001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66.071299999999994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77.290700000000001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83.291899999999998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97.4709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86.171800000000005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112.0051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126.84829999999999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182.8852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231.55410000000001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280.22289999999998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269.89879999999999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259.57470000000001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275.77269999999999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291.97070000000002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328.72519999999997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365.47969999999998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4048.3285999999998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3001.2529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1298.8796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228.94659999999999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-587.61410000000001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-923.09990000000005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-1159.9570000000001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-1314.0652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-1422.4513999999999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-1426.8013000000001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-1431.1511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-1371.6618000000001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-1312.1724999999999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-1247.0288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-1181.8851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-1138.1346000000001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-1094.3841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4763.2656999999999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3710.6293999999998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2036.6043999999999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996.65890000000002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207.65770000000001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-104.21810000000001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-322.89949999999999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-469.96339999999998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-569.31809999999996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-564.54269999999997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-559.76729999999998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-494.54899999999998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-429.33069999999998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-364.86079999999998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-300.39080000000001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-258.10270000000003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-215.81450000000001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2.2551000000000001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28.1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146.77529999999999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398.17970000000003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617.05399999999997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642.0204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604.94640000000004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580.17759999999998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541.28060000000005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480.69510000000002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420.1096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301.81009999999998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183.51060000000001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97.454800000000006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11.3992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5.6996000000000002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3.1556000000000002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3.1936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3.5022000000000002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4.2374000000000001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4.5650000000000004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4.8985000000000003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4.7751000000000001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4.3613999999999997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3.8089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3.6838000000000002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3.5587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3.4487000000000001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3.3386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3.1406000000000001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2.9426999999999999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2.8247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2.7067999999999999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10.713200000000001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10.6218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10.698700000000001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11.8278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12.4602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13.075200000000001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12.7362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11.8545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11.629200000000001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11.761200000000001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11.8931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12.1355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12.3779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12.3451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12.3123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12.4885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12.6648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0.27579999999999999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0.69310000000000005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1.4098999999999999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2.2951000000000001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2.9761000000000002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3.2953999999999999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3.5116999999999998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3.6953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3.8698000000000001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3.9943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4.1188000000000002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4.2267000000000001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4.3346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4.4414999999999996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4.5483000000000002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4.6524000000000001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4.7565999999999997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0.1113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0.46650000000000003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0.87390000000000001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1.5133000000000001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2.4645000000000001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4.1074999999999999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6.5046999999999997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8.9382000000000001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12.0504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12.7461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13.441700000000001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14.318300000000001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15.194900000000001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16.052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16.909099999999999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16.107199999999999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15.305300000000001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3.0137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1.0922000000000001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6.1999999999999998E-3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8.9999999999999998E-4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6.9999999999999999E-4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4.0000000000000002E-4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2.0000000000000001E-4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1E-4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7.1176000000000004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7.1867000000000001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4.2561999999999998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2.1377999999999999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0.50660000000000005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9.9199999999999997E-2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8.8999999999999996E-2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7.3300000000000004E-2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4.9700000000000001E-2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2.7199999999999998E-2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4.7999999999999996E-3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2.3999999999999998E-3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0.128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7.9000000000000001E-2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2.7E-2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81.473500000000001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93.927800000000005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90.916200000000003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94.506200000000007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102.90689999999999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108.2009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123.93989999999999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135.8202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192.56720000000001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215.49709999999999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238.4271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262.52940000000001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286.6318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270.14569999999998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253.65950000000001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281.42169999999999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309.18389999999999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4048.3285999999998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3183.1986000000002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1986.2470000000001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907.03049999999996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32.2239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-431.61219999999997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-722.92550000000006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-853.20899999999995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-935.13319999999999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-950.10080000000005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-965.06830000000002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-891.67229999999995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-818.27629999999999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-733.05190000000005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-647.82749999999999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-644.27059999999994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-640.71370000000002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4763.2656999999999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3888.1632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2708.1055000000001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1646.5214000000001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788.73919999999998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341.69979999999998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66.681899999999999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-58.356099999999998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-140.4058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-156.13419999999999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-171.86259999999999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-101.4676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-31.072600000000001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50.534799999999997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132.14230000000001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136.26419999999999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140.3861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2.2551000000000001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28.1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405.41770000000002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721.57460000000003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814.88919999999996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773.40740000000005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736.0874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707.74609999999996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646.63900000000001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547.85429999999997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449.06959999999998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303.93270000000001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158.79589999999999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117.9507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77.1053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82.533299999999997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87.961200000000005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3.1556000000000002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3.1858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3.7355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4.1459000000000001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4.9307999999999996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5.1817000000000002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4.8341000000000003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4.5884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4.1966999999999999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4.1108000000000002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4.0247999999999999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3.8521999999999998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3.6796000000000002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3.5666000000000002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3.4535999999999998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3.234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3.0143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10.713200000000001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10.538500000000001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10.9284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12.0707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13.414199999999999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13.828900000000001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13.508599999999999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12.760999999999999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13.0274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12.971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12.9147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13.013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13.1114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13.378299999999999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13.645200000000001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13.611000000000001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13.5769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0.27579999999999999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0.64370000000000005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1.5155000000000001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2.6855000000000002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3.6597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4.0838000000000001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4.2834000000000003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4.4714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4.6687000000000003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4.7971000000000004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4.9255000000000004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5.0541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5.1826999999999996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5.2991999999999999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5.4157000000000002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5.5202999999999998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5.6249000000000002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0.1113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0.43409999999999999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1.1012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2.4845999999999999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4.2301000000000002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6.1639999999999997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8.0913000000000004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9.5396999999999998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11.1045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11.530099999999999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11.9556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12.733599999999999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13.5115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13.3848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13.258100000000001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12.9543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12.650499999999999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3.0137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1.0028999999999999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6.0000000000000001E-3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8.0000000000000004E-4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5.9999999999999995E-4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4.0000000000000002E-4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2.0000000000000001E-4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7.1176000000000004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6.9039000000000001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3.4455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0.41749999999999998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9.1000000000000004E-3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5.3E-3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3.0999999999999999E-3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1.1999999999999999E-3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4.0000000000000002E-4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2.0000000000000001E-4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0.128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7.9000000000000001E-2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2.7E-2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81.473500000000001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91.633300000000006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90.807900000000004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96.271699999999996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111.6061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107.27290000000001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128.29810000000001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135.01589999999999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234.04230000000001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310.30160000000001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386.56079999999997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410.73489999999998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434.90890000000002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450.16379999999998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465.4187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490.53489999999999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515.65120000000002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4048.3285999999998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3081.6779000000001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1482.9042999999999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73.836699999999993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-863.50109999999995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-1237.2927999999999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-1445.0069000000001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-1530.4576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-1508.3767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-1436.8955000000001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-1365.4142999999999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-1206.7254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-1048.0365999999999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-1004.3878999999999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-960.73919999999998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-972.69370000000004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-984.64819999999997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4763.2656999999999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3793.1853999999998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2221.1927999999998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853.23180000000002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-33.339599999999997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-356.4187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-528.5009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-610.6644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-607.67370000000005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-545.33870000000002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-483.00369999999998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-329.03460000000001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-175.06559999999999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-129.23509999999999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-83.404700000000005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-90.302800000000005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-97.200999999999993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2.2551000000000001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28.1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95.3262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300.61599999999999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465.8673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527.47080000000005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499.8963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3.1556000000000002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3.2189000000000001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3.6375999999999999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4.0423999999999998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4.5073999999999996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4.6212999999999997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4.7426000000000004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10.713200000000001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10.6867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11.111000000000001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11.618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12.3649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12.577999999999999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12.902699999999999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0.27579999999999999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0.62019999999999997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1.4706999999999999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2.6076000000000001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3.6017999999999999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4.0293999999999999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4.2926000000000002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0.1113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0.46760000000000002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0.83979999999999999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1.1991000000000001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1.6958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2.4992000000000001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4.0358999999999998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3.0137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1.2032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6.4999999999999997E-3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1.1000000000000001E-3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8.9999999999999998E-4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5.0000000000000001E-4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2.0000000000000001E-4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7.1176000000000004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7.2470999999999997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5.8121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2.7783000000000002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1.5029999999999999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0.1452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0.1333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0.128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7.9000000000000001E-2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2.7E-2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81.473500000000001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100.0288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94.7089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85.653199999999998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91.5381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99.497900000000001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116.8961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4048.3285999999998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3275.6950000000002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2344.4492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1292.1994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399.7312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-239.15299999999999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-583.15269999999998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4763.2656999999999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3982.2804999999998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3066.7521000000002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2035.9311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1160.6441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539.25070000000005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211.76949999999999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2.2551000000000001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21.061299999999999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41.474899999999998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42.3461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42.073799999999999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41.365600000000001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39.882599999999996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3.1556000000000002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3.1654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3.6345000000000001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3.9087000000000001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4.0640000000000001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4.1616999999999997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4.2251000000000003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10.713200000000001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10.5908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11.272399999999999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11.6013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11.561400000000001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11.350899999999999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11.331799999999999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0.27579999999999999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0.68579999999999997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1.4021999999999999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2.2614000000000001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2.923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3.2431000000000001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3.4910999999999999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0.1113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0.49490000000000001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0.84919999999999995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1.127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1.3048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1.4319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1.6989000000000001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3.0137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1.2363999999999999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1.0377000000000001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0.79279999999999995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0.16889999999999999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7.1999999999999998E-3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8.8999999999999999E-3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7.1176000000000004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7.3855000000000004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6.8080999999999996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5.4237000000000002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4.05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2.3302999999999998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1.4214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0.128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7.9000000000000001E-2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2.7E-2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81.473500000000001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96.287800000000004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96.318799999999996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79.684200000000004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101.03270000000001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104.5532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113.2666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4048.3285999999998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3322.5681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2923.2521999999999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2380.7057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1803.8507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1408.9347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1221.8385000000001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4763.2656999999999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4027.3022000000001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3640.5994999999998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3111.5962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2547.902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2166.8980000000001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1994.2181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2.2551000000000001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21.061299999999999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41.474899999999998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56.145600000000002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294.45269999999999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607.71489999999994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719.6105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3.1556000000000002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3.1654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3.6345000000000001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4.0457000000000001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5.0983000000000001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5.2164999999999999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4.9558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10.713200000000001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10.5908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11.272399999999999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11.794700000000001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11.9947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13.367599999999999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13.8916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0.27579999999999999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0.68579999999999997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1.4021999999999999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2.3332000000000002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2.9962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3.3593999999999999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3.6459000000000001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0.1113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0.49490000000000001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0.84919999999999995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1.1879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2.0771999999999999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4.2325999999999997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7.6985000000000001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3.0137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1.2363999999999999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1.0377000000000001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0.67320000000000002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1.1000000000000001E-3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5.0000000000000001E-4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2.0000000000000001E-4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7.1176000000000004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7.3855000000000004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6.8080999999999996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4.8364000000000003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1.8084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4.6600000000000003E-2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3.32E-2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0.128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7.9000000000000001E-2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2.7E-2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81.473500000000001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96.287800000000004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96.318799999999996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56.442900000000002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109.12139999999999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130.19380000000001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136.8897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4048.3285999999998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3322.5681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2923.2521999999999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2097.0378000000001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207.9375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-883.76170000000002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-1246.3113000000001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4763.2656999999999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4027.3022000000001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3640.5994999999998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2867.2415999999998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1034.9375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-13.834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-355.36439999999999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2.2551000000000001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21.061299999999999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41.474899999999998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49.363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87.842299999999994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106.72920000000001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105.07980000000001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3.1556000000000002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3.1654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3.6345000000000001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3.9016999999999999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4.1003999999999996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4.3922999999999996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4.4503000000000004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10.713200000000001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10.5908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11.272399999999999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11.919600000000001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12.0037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12.5092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12.332800000000001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0.27579999999999999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0.68579999999999997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1.4021999999999999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2.3186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2.9941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3.3426999999999998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3.5668000000000002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0.1113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0.49490000000000001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0.84919999999999995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1.1262000000000001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1.4741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2.9866000000000001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6.0290999999999997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3.0137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1.2363999999999999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1.0377000000000001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0.71519999999999995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1.4E-3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6.9999999999999999E-4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4.0000000000000002E-4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7.1176000000000004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7.3855000000000004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6.8080999999999996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5.2579000000000002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2.1999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0.40529999999999999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0.2225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0.128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7.9000000000000001E-2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2.7E-2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81.473500000000001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96.287800000000004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96.318799999999996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64.061899999999994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103.79040000000001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118.5767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133.4127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4048.3285999999998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3322.5681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2923.2521999999999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2206.0320999999999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889.01880000000006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96.445099999999996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-325.8836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4763.2656999999999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4027.3022000000001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3640.5994999999998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2955.3968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1665.1729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894.6558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486.19839999999999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2.2551000000000001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28.1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235.27760000000001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390.74900000000002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496.9554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567.75360000000001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631.35339999999997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3.1556000000000002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2.4135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2.4581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2.5009000000000001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2.5114000000000001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2.4651000000000001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2.3944000000000001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10.713200000000001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10.869400000000001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10.2315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11.1312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11.501300000000001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11.882300000000001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12.167999999999999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0.27579999999999999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0.59260000000000002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1.3091999999999999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2.246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2.9367999999999999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3.1202999999999999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2.8186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0.1113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0.36199999999999999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0.72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1.2616000000000001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1.7679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2.0476000000000001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2.1579000000000002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3.0137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1.0499000000000001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6.1999999999999998E-3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8.9999999999999998E-4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6.9999999999999999E-4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4.0000000000000002E-4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2.0000000000000001E-4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7.1176000000000004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6.8305999999999996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3.4314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1.1539999999999999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9.7999999999999997E-3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6.7999999999999996E-3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5.0000000000000001E-3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0.128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7.9000000000000001E-2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2.7E-2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81.473500000000001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65.284199999999998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77.5989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84.583100000000002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100.7944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86.818399999999997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113.788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4048.3285999999998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2995.7791000000002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1260.1415999999999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162.529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-656.1902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-988.11659999999995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-1202.4735000000001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4763.2656999999999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3720.3928999999998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2017.5029999999999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940.21900000000005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132.97800000000001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-182.4102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-376.4171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2.2551000000000001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28.1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146.88939999999999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396.66250000000002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610.93060000000003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659.34789999999998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608.67190000000005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3.1556000000000002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3.1989000000000001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3.5078999999999998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4.2422000000000004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4.5918000000000001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4.9286000000000003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4.8208000000000002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10.713200000000001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10.6364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10.7201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11.843299999999999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12.491400000000001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13.052300000000001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12.8368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0.27579999999999999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0.69350000000000001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1.4104000000000001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2.2984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2.9878999999999998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3.3178999999999998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3.5468999999999999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0.1113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0.46560000000000001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0.87409999999999999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1.5017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2.4308999999999998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4.0659999999999998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6.4874999999999998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3.0137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1.1422000000000001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6.1999999999999998E-3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8.9999999999999998E-4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6.9999999999999999E-4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4.0000000000000002E-4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2.0000000000000001E-4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7.1176000000000004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7.1794000000000002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4.4288999999999996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2.2959999999999998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0.6502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0.1002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0.09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0.128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7.9000000000000001E-2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2.7E-2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81.473500000000001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92.713099999999997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92.357699999999994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94.112700000000004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101.3014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110.8283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128.3501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4048.3285999999998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3195.3809000000001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1993.2474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903.76049999999998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38.0503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-471.03399999999999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-778.13520000000005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4763.2656999999999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3901.0612999999998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2716.0131000000001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1643.9544000000001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794.72500000000002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301.87830000000002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9.359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2.2551000000000001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28.1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409.72750000000002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733.52499999999998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831.18700000000001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789.0652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756.26790000000005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3.1556000000000002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3.1938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3.7389999999999999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4.1603000000000003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4.9630000000000001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5.2343999999999999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4.8895999999999997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10.713200000000001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10.551600000000001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10.928100000000001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12.1099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13.4895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13.943199999999999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13.6488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0.27579999999999999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0.64429999999999998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1.5179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2.6949000000000001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3.6798000000000002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4.1100000000000003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4.3170999999999999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0.1113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0.43430000000000002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1.1103000000000001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2.5289999999999999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4.2759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6.1340000000000003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8.0000999999999998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3.0137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1.0508999999999999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6.1999999999999998E-3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8.9999999999999998E-4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6.9999999999999999E-4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4.0000000000000002E-4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2.0000000000000001E-4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7.1176000000000004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6.8837000000000002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3.4211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0.39429999999999998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8.5000000000000006E-3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4.7999999999999996E-3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2.7000000000000001E-3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0.128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7.9000000000000001E-2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2.7E-2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81.473500000000001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91.212199999999996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91.621600000000001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97.105400000000003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112.27370000000001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108.9372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120.9217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4048.3285999999998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3099.7781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1447.9817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30.887499999999999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-891.54859999999996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-1251.7242000000001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-1446.3670999999999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4763.2656999999999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3808.1507000000001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2183.6635999999999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802.15970000000004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-81.720399999999998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-406.84120000000001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-576.75229999999999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2025-09-13T04:12:59Z</dcterms:modified>
</cp:coreProperties>
</file>